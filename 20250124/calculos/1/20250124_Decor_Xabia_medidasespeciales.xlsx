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8_{B7456407-3A86-427F-8337-7EC0AADF042E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<sst xmlns="http://schemas.openxmlformats.org/spreadsheetml/2006/main" count="5398" uniqueCount="1453">
  <si>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</si>
  <si>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</si>
  <si>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</si>
  <si>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</si>
  <si>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</si>
  <si>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</si>
  <si>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</si>
  <si>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</si>
  <si>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</si>
  <si>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</si>
  <si>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</si>
  <si>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</si>
  <si>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</si>
  <si>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</si>
  <si>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</si>
  <si>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</si>
  <si>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</si>
  <si>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</si>
  <si>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</si>
  <si>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</si>
  <si>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</si>
  <si>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</si>
  <si>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</si>
  <si>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</si>
  <si>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</si>
  <si>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</si>
  <si>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</si>
  <si>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</si>
  <si>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</si>
  <si>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</si>
  <si>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</si>
  <si>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</si>
  <si>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</si>
  <si>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</si>
  <si>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</si>
  <si>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</si>
  <si>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</si>
  <si>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</si>
  <si>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</si>
  <si>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</si>
  <si>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</si>
  <si>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</si>
  <si>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</si>
  <si>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</si>
  <si>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</si>
  <si>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</si>
  <si>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</si>
  <si>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</si>
  <si>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</si>
  <si>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</si>
  <si>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</si>
  <si>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</si>
  <si>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</si>
  <si>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</si>
  <si>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</si>
  <si>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</si>
  <si>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</si>
  <si>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</si>
  <si>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</si>
  <si>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</si>
  <si>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</si>
  <si>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</si>
  <si>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</si>
  <si>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</si>
  <si>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</si>
  <si>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</si>
  <si>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</si>
  <si>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</si>
  <si>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</si>
  <si>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</si>
  <si>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</si>
  <si>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</si>
  <si>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</si>
  <si>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</si>
  <si>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</si>
  <si>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</si>
  <si>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</si>
  <si>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</si>
  <si>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</si>
  <si>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</si>
  <si>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</si>
  <si>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</si>
  <si>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</si>
  <si>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</si>
  <si>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</si>
  <si>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</si>
  <si>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</si>
  <si>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</si>
  <si>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</si>
  <si>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</si>
  <si>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</si>
  <si>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</si>
  <si>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</si>
  <si>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</si>
  <si>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</si>
  <si>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</si>
  <si>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</si>
  <si>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</si>
  <si>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</si>
  <si>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</si>
  <si>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</si>
  <si>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</si>
  <si>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</si>
  <si>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</si>
  <si>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</si>
  <si>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</si>
  <si>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</si>
  <si>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</si>
  <si>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</si>
  <si>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</si>
  <si>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</si>
  <si>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</si>
  <si>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</si>
  <si>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</si>
  <si>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</si>
  <si>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</si>
  <si>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</si>
  <si>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</si>
  <si>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</si>
  <si>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</si>
  <si>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</si>
  <si>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</si>
  <si>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</si>
  <si>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</si>
  <si>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</si>
  <si>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</si>
  <si>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</si>
  <si>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</si>
  <si>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</si>
  <si>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</si>
  <si>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</si>
  <si>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</si>
  <si>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</si>
  <si>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</si>
  <si>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</si>
  <si>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</si>
  <si>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</si>
  <si>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</si>
  <si>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</si>
  <si>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</si>
  <si>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</si>
  <si>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</si>
  <si>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</si>
  <si>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</si>
  <si>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</si>
  <si>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</si>
  <si>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</si>
  <si>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</si>
  <si>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</si>
  <si>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</si>
  <si>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</si>
  <si>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</si>
  <si>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</si>
  <si>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</si>
  <si>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</si>
  <si>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</si>
  <si>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</si>
  <si>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</si>
  <si>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</si>
  <si>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</si>
  <si>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</si>
  <si>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</si>
  <si>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</si>
  <si>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</si>
  <si>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</si>
  <si>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</si>
  <si>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</si>
  <si>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</si>
  <si>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</si>
  <si>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</si>
  <si>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</si>
  <si>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</si>
  <si>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</si>
  <si>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</si>
  <si>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</si>
  <si>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</si>
  <si>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</si>
  <si>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</si>
  <si>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</si>
  <si>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</si>
  <si>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</si>
  <si>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</si>
  <si>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</si>
  <si>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</si>
  <si>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</si>
  <si>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</si>
  <si>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</si>
  <si>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</si>
  <si>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</si>
  <si>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</si>
  <si>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</si>
  <si>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</si>
  <si>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</si>
  <si>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</si>
  <si>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</si>
  <si>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</si>
  <si>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</si>
  <si>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</si>
  <si>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</si>
  <si>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</si>
  <si>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</si>
  <si>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</si>
  <si>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</si>
  <si>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</si>
  <si>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</si>
  <si>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</si>
  <si>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</si>
  <si>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</si>
  <si>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</si>
  <si>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</si>
  <si>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</si>
  <si>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</si>
  <si>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</si>
  <si>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</si>
  <si>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</si>
  <si>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</si>
  <si>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</si>
  <si>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</si>
  <si>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</si>
  <si>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</si>
  <si>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</si>
  <si>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</si>
  <si>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</si>
  <si>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</si>
  <si>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</si>
  <si>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</si>
  <si>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</si>
  <si>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</si>
  <si>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</si>
  <si>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</si>
  <si>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</si>
  <si>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</si>
  <si>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</si>
  <si>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</si>
  <si>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</si>
  <si>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</si>
  <si>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</si>
  <si>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</si>
  <si>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</si>
  <si>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</si>
  <si>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</si>
  <si>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</si>
  <si>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</si>
  <si>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</si>
  <si>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</si>
  <si>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</si>
  <si>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</si>
  <si>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</si>
  <si>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</si>
  <si>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</si>
  <si>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</si>
  <si>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</si>
  <si>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</si>
  <si>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</si>
  <si>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</si>
  <si>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</si>
  <si>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</si>
  <si>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</si>
  <si>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</si>
  <si>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</si>
  <si>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</si>
  <si>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</si>
  <si>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</si>
  <si>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</si>
  <si>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</si>
  <si>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</si>
  <si>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</si>
  <si>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</si>
  <si>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</si>
  <si>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</si>
  <si>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</si>
  <si>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</si>
  <si>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</si>
  <si>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</si>
  <si>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</si>
  <si>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</si>
  <si>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</si>
  <si>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</si>
  <si>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</si>
  <si>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</si>
  <si>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</si>
  <si>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</si>
  <si>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</si>
  <si>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</si>
  <si>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</si>
  <si>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</si>
  <si>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</si>
  <si>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</si>
  <si>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</si>
  <si>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</si>
  <si>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</si>
  <si>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</si>
  <si>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</si>
  <si>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</si>
  <si>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</si>
  <si>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</si>
  <si>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</si>
  <si>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</si>
  <si>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</si>
  <si>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</si>
  <si>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</si>
  <si>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</si>
  <si>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</si>
  <si>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</si>
  <si>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</si>
  <si>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</si>
  <si>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</si>
  <si>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</si>
  <si>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</si>
  <si>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</si>
  <si>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</si>
  <si>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</si>
  <si>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</si>
  <si>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</si>
  <si>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</si>
  <si>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</si>
  <si>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</si>
  <si>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</si>
  <si>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</si>
  <si>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</si>
  <si>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</si>
  <si>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</si>
  <si>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</si>
  <si>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</si>
  <si>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</si>
  <si>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</si>
  <si>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</si>
  <si>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</si>
  <si>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</si>
  <si>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</si>
  <si>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</si>
  <si>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</si>
  <si>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</si>
  <si>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</si>
  <si>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</si>
  <si>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</si>
  <si>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</si>
  <si>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</si>
  <si>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</si>
  <si>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</si>
  <si>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</si>
  <si>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</si>
  <si>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</si>
  <si>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</si>
  <si>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</si>
  <si>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</si>
  <si>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</si>
  <si>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</si>
  <si>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</si>
  <si>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</si>
  <si>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</si>
  <si>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</si>
  <si>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</si>
  <si>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</si>
  <si>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</si>
  <si>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</si>
  <si>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</si>
  <si>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</si>
  <si>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</si>
  <si>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</si>
  <si>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</si>
  <si>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</si>
  <si>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</si>
  <si>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</si>
  <si>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</si>
  <si>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</si>
  <si>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</si>
  <si>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</si>
  <si>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</si>
  <si>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</si>
  <si>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</si>
  <si>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</si>
  <si>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</si>
  <si>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</si>
  <si>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</si>
  <si>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</si>
  <si>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</si>
  <si>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</si>
  <si>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</si>
  <si>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</si>
  <si>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</si>
  <si>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</si>
  <si>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</si>
  <si>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</si>
  <si>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</si>
  <si>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</si>
  <si>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</si>
  <si>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</si>
  <si>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</si>
  <si>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</si>
  <si>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</si>
  <si>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</si>
  <si>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</si>
  <si>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</si>
  <si>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</si>
  <si>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</si>
  <si>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</si>
  <si>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</si>
  <si>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</si>
  <si>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</si>
  <si>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</si>
  <si>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</si>
  <si>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</si>
  <si>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</si>
  <si>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</si>
  <si>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</si>
  <si>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</si>
  <si>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</si>
  <si>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</si>
  <si>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</si>
  <si>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</si>
  <si>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</si>
  <si>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</si>
  <si>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</si>
  <si>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</si>
  <si>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</si>
  <si>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</si>
  <si>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</si>
  <si>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</si>
  <si>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</si>
  <si>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</si>
  <si>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</si>
  <si>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</si>
  <si>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</si>
  <si>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</si>
  <si>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</si>
  <si>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</si>
  <si>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</si>
  <si>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</si>
  <si>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</si>
  <si>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</si>
  <si>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</si>
  <si>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</si>
  <si>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</si>
  <si>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</si>
  <si>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</si>
  <si>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</si>
  <si>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</si>
  <si>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</si>
  <si>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</si>
  <si>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</si>
  <si>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</si>
  <si>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</si>
  <si>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</si>
  <si>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</si>
  <si>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</si>
  <si>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</si>
  <si>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</si>
  <si>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</si>
  <si>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</si>
  <si>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</si>
  <si>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</si>
  <si>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</si>
  <si>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</si>
  <si>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</si>
  <si>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</si>
  <si>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</si>
  <si>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</si>
  <si>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</si>
  <si>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</si>
  <si>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</si>
  <si>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</si>
  <si>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</si>
  <si>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</si>
  <si>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</si>
  <si>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</si>
  <si>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</si>
  <si>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</si>
  <si>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</si>
  <si>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</si>
  <si>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</si>
  <si>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</si>
  <si>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</si>
  <si>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</si>
  <si>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</si>
  <si>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</si>
  <si>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</si>
  <si>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</si>
  <si>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</si>
  <si>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</si>
  <si>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</si>
  <si>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</si>
  <si>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</si>
  <si>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</si>
  <si>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</si>
  <si>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</si>
  <si>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</si>
  <si>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</si>
  <si>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</si>
  <si>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</si>
  <si>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</si>
  <si>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</si>
  <si>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</si>
  <si>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</si>
  <si>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</si>
  <si>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</si>
  <si>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</si>
  <si>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</si>
  <si>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</si>
  <si>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</si>
  <si>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</si>
  <si>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</si>
  <si>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</si>
  <si>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</si>
  <si>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</si>
  <si>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</si>
  <si>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</si>
  <si>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</si>
  <si>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</si>
  <si>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</si>
  <si>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</si>
  <si>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</si>
  <si>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</si>
  <si>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</si>
  <si>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</si>
  <si>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</si>
  <si>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</si>
  <si>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</si>
  <si>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</si>
  <si>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</si>
  <si>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</si>
  <si>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</si>
  <si>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</si>
  <si>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</si>
  <si>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</si>
  <si>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</si>
  <si>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</si>
  <si>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</si>
  <si>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</si>
  <si>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</si>
  <si>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</si>
  <si>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</si>
  <si>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</si>
  <si>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</si>
  <si>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</si>
  <si>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</si>
  <si>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</si>
  <si>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</si>
  <si>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</si>
  <si>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</si>
  <si>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</si>
  <si>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</si>
  <si>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</si>
  <si>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</si>
  <si>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</si>
  <si>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</si>
  <si>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</si>
  <si>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</si>
  <si>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</si>
  <si>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</si>
  <si>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</si>
  <si>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</si>
  <si>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</si>
  <si>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</si>
  <si>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</si>
  <si>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</si>
  <si>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</si>
  <si>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</si>
  <si>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</si>
  <si>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</si>
  <si>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</si>
  <si>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</si>
  <si>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</si>
  <si>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</si>
  <si>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</si>
  <si>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</si>
  <si>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</si>
  <si>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</si>
  <si>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</si>
  <si>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</si>
  <si>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</si>
  <si>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</si>
  <si>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</si>
  <si>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</si>
  <si>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</si>
  <si>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</si>
  <si>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</si>
  <si>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</si>
  <si>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</si>
  <si>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</si>
  <si>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</si>
  <si>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</si>
  <si>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</si>
  <si>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</si>
  <si>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</si>
  <si>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</si>
  <si>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</si>
  <si>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</si>
  <si>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</si>
  <si>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</si>
  <si>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</si>
  <si>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</si>
  <si>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</si>
  <si>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</si>
  <si>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</si>
  <si>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</si>
  <si>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</si>
  <si>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</si>
  <si>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</si>
  <si>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</si>
  <si>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</si>
  <si>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</si>
  <si>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</si>
  <si>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</si>
  <si>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</si>
  <si>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</si>
  <si>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</si>
  <si>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</si>
  <si>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</si>
  <si>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</si>
  <si>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</si>
  <si>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</si>
  <si>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</si>
  <si>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</si>
  <si>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</si>
  <si>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</si>
  <si>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</si>
  <si>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</si>
  <si>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</si>
  <si>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</si>
  <si>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</si>
  <si>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</si>
  <si>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</si>
  <si>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</si>
  <si>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</si>
  <si>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</si>
  <si>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</si>
  <si>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</si>
  <si>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</si>
  <si>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</si>
  <si>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</si>
  <si>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</si>
  <si>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</si>
  <si>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</si>
  <si>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</si>
  <si>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</si>
  <si>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</si>
  <si>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</si>
  <si>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</si>
  <si>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</si>
  <si>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</si>
  <si>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</si>
  <si>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</si>
  <si>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</si>
  <si>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</si>
  <si>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</si>
  <si>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</si>
  <si>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</si>
  <si>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</si>
  <si>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</si>
  <si>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</si>
  <si>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</si>
  <si>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</si>
  <si>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</si>
  <si>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</si>
  <si>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</si>
  <si>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</si>
  <si>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</si>
  <si>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</si>
  <si>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</si>
  <si>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</si>
  <si>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</si>
  <si>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</si>
  <si>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</si>
  <si>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</si>
  <si>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</si>
  <si>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</si>
  <si>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</si>
  <si>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</si>
  <si>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</si>
  <si>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</si>
  <si>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</si>
  <si>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</si>
  <si>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</si>
  <si>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</si>
  <si>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</si>
  <si>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</si>
  <si>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</si>
  <si>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</si>
  <si>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</si>
  <si>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</si>
  <si>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</si>
  <si>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</si>
  <si>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</si>
  <si>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</si>
  <si>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</si>
  <si>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</si>
  <si>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</si>
  <si>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</si>
  <si>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</si>
  <si>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</si>
  <si>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</si>
  <si>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</si>
  <si>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</si>
  <si>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</si>
  <si>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</si>
  <si>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</si>
  <si>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</si>
  <si>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</si>
  <si>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</si>
  <si>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</si>
  <si>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</si>
  <si>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</si>
  <si>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</si>
  <si>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</si>
  <si>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</si>
  <si>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</si>
  <si>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</si>
  <si>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</si>
  <si>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</si>
  <si>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</si>
  <si>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</si>
  <si>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</si>
  <si>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</si>
  <si>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</si>
  <si>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</si>
  <si>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</si>
  <si>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</si>
  <si>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</si>
  <si>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</si>
  <si>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</si>
  <si>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</si>
  <si>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</si>
  <si>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</si>
  <si>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</si>
  <si>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</si>
  <si>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</si>
  <si>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</si>
  <si>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</si>
  <si>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</si>
  <si>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</si>
  <si>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</si>
  <si>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</si>
  <si>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</si>
  <si>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</si>
  <si>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</si>
  <si>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</si>
  <si>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</si>
  <si>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</si>
  <si>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</si>
  <si>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</si>
  <si>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</si>
  <si>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</si>
  <si>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</si>
  <si>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</si>
  <si>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</si>
  <si>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</si>
  <si>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</si>
  <si>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</si>
  <si>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</si>
  <si>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</si>
  <si>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</si>
  <si>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</si>
  <si>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</si>
  <si>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</si>
  <si>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</si>
  <si>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</si>
  <si>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</si>
  <si>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</si>
  <si>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</si>
  <si>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</si>
  <si>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</si>
  <si>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</si>
  <si>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</si>
  <si>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</si>
  <si>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</si>
  <si>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</si>
  <si>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</si>
  <si>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</si>
  <si>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</si>
  <si>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</si>
  <si>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</si>
  <si>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</si>
  <si>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</si>
  <si>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</si>
  <si>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</si>
  <si>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</si>
  <si>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</si>
  <si>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</si>
  <si>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</si>
  <si>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</si>
  <si>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</si>
  <si>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</si>
  <si>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</si>
  <si>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</si>
  <si>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</si>
  <si>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</si>
  <si>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</si>
  <si>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</si>
  <si>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</si>
  <si>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</si>
  <si>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</si>
  <si>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</si>
  <si>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</si>
  <si>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</si>
  <si>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</si>
  <si>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</si>
  <si>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</si>
  <si>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</si>
  <si>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</si>
  <si>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</si>
  <si>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</si>
  <si>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</si>
  <si>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</si>
  <si>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</si>
  <si>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</si>
  <si>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</si>
  <si>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</si>
  <si>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</si>
  <si>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</si>
  <si>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</si>
  <si>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</si>
  <si>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</si>
  <si>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</si>
  <si>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</si>
  <si>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</si>
  <si>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</si>
  <si>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</si>
  <si>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</si>
  <si>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</si>
  <si>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</si>
  <si>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</si>
  <si>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</si>
  <si>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</si>
  <si>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</si>
  <si>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</si>
  <si>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</si>
  <si>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</si>
  <si>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</si>
  <si>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</si>
  <si>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</si>
  <si>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</si>
  <si>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</si>
  <si>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</si>
  <si>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</si>
  <si>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</si>
  <si>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</si>
  <si>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</si>
  <si>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</si>
  <si>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</si>
  <si>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</si>
  <si>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</si>
  <si>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</si>
  <si>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</si>
  <si>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</si>
  <si>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</si>
  <si>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</si>
  <si>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</si>
  <si>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</si>
  <si>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</si>
  <si>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</si>
  <si>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</si>
  <si>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</si>
  <si>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</si>
  <si>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</si>
  <si>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</si>
  <si>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</si>
  <si>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</si>
  <si>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</si>
  <si>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</si>
  <si>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</si>
  <si>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</si>
  <si>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</si>
  <si>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</si>
  <si>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</si>
  <si>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</si>
  <si>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</si>
  <si>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</si>
  <si>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</si>
  <si>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</si>
  <si>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</si>
  <si>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</si>
  <si>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</si>
  <si>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</si>
  <si>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</si>
  <si>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</si>
  <si>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</si>
  <si>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</si>
  <si>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</si>
  <si>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</si>
  <si>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</si>
  <si>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</si>
  <si>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</si>
  <si>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</si>
  <si>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</si>
  <si>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</si>
  <si>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</si>
  <si>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</si>
  <si>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</si>
  <si>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</si>
  <si>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</si>
  <si>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</si>
  <si>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</si>
  <si>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</si>
  <si>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</si>
  <si>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</si>
  <si>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</si>
  <si>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</si>
  <si>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</si>
  <si>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</si>
  <si>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</si>
  <si>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</si>
  <si>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</si>
  <si>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</si>
  <si>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</si>
  <si>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</si>
  <si>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</si>
  <si>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</si>
  <si>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</si>
  <si>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</si>
  <si>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</si>
  <si>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</si>
  <si>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</si>
  <si>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</si>
  <si>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</si>
  <si>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</si>
  <si>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</si>
  <si>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</si>
  <si>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</si>
  <si>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</si>
  <si>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</si>
  <si>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</si>
  <si>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</si>
  <si>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</si>
  <si>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</si>
  <si>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</si>
  <si>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</si>
  <si>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</si>
  <si>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</si>
  <si>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</si>
  <si>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</si>
  <si>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</si>
  <si>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</si>
  <si>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</si>
  <si>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</si>
  <si>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</si>
  <si>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</si>
  <si>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</si>
  <si>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</si>
  <si>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</si>
  <si>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</si>
  <si>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</si>
  <si>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</si>
  <si>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</si>
  <si>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</si>
  <si>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</si>
  <si>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</si>
  <si>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</si>
  <si>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</si>
  <si>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</si>
  <si>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</si>
  <si>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</si>
  <si>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</si>
  <si>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</si>
  <si>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</si>
  <si>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</si>
  <si>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</si>
  <si>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</si>
  <si>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</si>
  <si>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</si>
  <si>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</si>
  <si>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</si>
  <si>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</si>
  <si>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</si>
  <si>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</si>
  <si>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</si>
  <si>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</si>
  <si>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</si>
  <si>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</si>
  <si>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</si>
  <si>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</si>
  <si>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</si>
  <si>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</si>
  <si>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</si>
  <si>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</si>
  <si>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</si>
  <si>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</si>
  <si>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</si>
  <si>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</si>
  <si>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</si>
  <si>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</si>
  <si>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</si>
  <si>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</si>
  <si>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</si>
  <si>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</si>
  <si>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</si>
  <si>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</si>
  <si>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</si>
  <si>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</si>
  <si>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</si>
  <si>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</si>
  <si>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</si>
  <si>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</si>
  <si>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</si>
  <si>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</si>
  <si>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</si>
  <si>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</si>
  <si>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</si>
  <si>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</si>
  <si>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</si>
  <si>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</si>
  <si>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</si>
  <si>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</si>
  <si>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</si>
  <si>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</si>
  <si>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</si>
  <si>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</si>
  <si>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</si>
  <si>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</si>
  <si>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</si>
  <si>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</si>
  <si>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</si>
  <si>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</si>
  <si>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</si>
  <si>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</si>
  <si>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</si>
  <si>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</si>
  <si>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</si>
  <si>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</si>
  <si>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</si>
  <si>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</si>
  <si>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</si>
  <si>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</si>
  <si>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</si>
  <si>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</si>
  <si>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</si>
  <si>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</si>
  <si>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</si>
  <si>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</si>
  <si>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</si>
  <si>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</si>
  <si>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</si>
  <si>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</si>
  <si>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</si>
  <si>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</si>
  <si>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</si>
  <si>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</si>
  <si>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</si>
  <si>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</si>
  <si>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</si>
  <si>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</si>
  <si>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</si>
  <si>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</si>
  <si>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</si>
  <si>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</si>
  <si>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</si>
  <si>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</si>
  <si>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</si>
  <si>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</si>
  <si>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</si>
  <si>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</si>
  <si>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</si>
  <si>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</si>
  <si>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</si>
  <si>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</si>
  <si>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</si>
  <si>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</si>
  <si>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</si>
  <si>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</si>
  <si>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</si>
  <si>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</si>
  <si>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</si>
  <si>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</si>
  <si>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</si>
  <si>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</si>
  <si>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</si>
  <si>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</si>
  <si>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</si>
  <si>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</si>
  <si>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</si>
  <si>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</si>
  <si>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</si>
  <si>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</si>
  <si>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</si>
  <si>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</si>
  <si>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</si>
  <si>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</si>
  <si>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</si>
  <si>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</si>
  <si>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</si>
  <si>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</si>
  <si>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</si>
  <si>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</si>
  <si>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</si>
  <si>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</si>
  <si>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</si>
  <si>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</si>
  <si>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</si>
  <si>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</si>
  <si>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</si>
  <si>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</si>
  <si>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</si>
  <si>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</si>
  <si>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</si>
  <si>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</si>
  <si>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</si>
  <si>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</si>
  <si>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</si>
  <si>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</si>
  <si>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</si>
  <si>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</si>
  <si>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</si>
  <si>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</si>
  <si>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</si>
  <si>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</si>
  <si>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</si>
  <si>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</si>
  <si>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</si>
  <si>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</si>
  <si>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</si>
  <si>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</si>
  <si>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</si>
  <si>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</si>
  <si>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</si>
  <si>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</si>
  <si>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</si>
  <si>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</si>
  <si>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</si>
  <si>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</si>
  <si>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</si>
  <si>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</si>
  <si>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</si>
  <si>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</si>
  <si>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</si>
  <si>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</si>
  <si>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</si>
  <si>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</si>
  <si>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</si>
  <si>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</si>
  <si>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</si>
  <si>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</si>
  <si>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</si>
  <si>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</si>
  <si>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</si>
  <si>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</si>
  <si>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</si>
  <si>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</si>
  <si>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</si>
  <si>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</si>
  <si>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</si>
  <si>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</si>
  <si>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</si>
  <si>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</si>
  <si>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</si>
  <si>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</si>
  <si>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</si>
  <si>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</si>
  <si>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</si>
  <si>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</si>
  <si>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</si>
  <si>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</si>
  <si>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</si>
  <si>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</si>
  <si>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</si>
  <si>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</si>
  <si>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</si>
  <si>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</si>
  <si>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</si>
  <si>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</si>
  <si>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</si>
  <si>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</si>
  <si>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</si>
  <si>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</si>
  <si>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</si>
  <si>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</si>
  <si>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</si>
  <si>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</si>
  <si>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</si>
  <si>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</si>
  <si>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</si>
  <si>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</si>
  <si>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</si>
  <si>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</si>
  <si>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</si>
  <si>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</si>
  <si>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</si>
  <si>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</si>
  <si>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</si>
  <si>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</si>
  <si>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</si>
  <si>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</si>
  <si>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</si>
  <si>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</si>
  <si>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</si>
  <si>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</si>
  <si>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</si>
  <si>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</si>
  <si>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</si>
  <si>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</si>
  <si>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</si>
  <si>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</si>
  <si>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</si>
  <si>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</si>
  <si>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</si>
  <si>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</si>
  <si>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</si>
  <si>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</si>
  <si>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</si>
  <si>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</si>
  <si>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</si>
  <si>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</si>
  <si>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</si>
  <si>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</si>
  <si>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</si>
  <si>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</si>
  <si>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</si>
  <si>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</si>
  <si>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</si>
  <si>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</si>
  <si>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</si>
  <si>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</si>
  <si>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</si>
  <si>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</si>
  <si>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</si>
  <si>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</si>
  <si>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</si>
  <si>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</si>
  <si>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</si>
  <si>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</si>
  <si>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</si>
  <si>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</si>
  <si>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</si>
  <si>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</si>
  <si>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</si>
  <si>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</si>
  <si>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</si>
  <si>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</si>
  <si>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</si>
  <si>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</si>
  <si>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</si>
  <si>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</si>
  <si>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</si>
  <si>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</si>
  <si>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</si>
  <si>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</si>
  <si>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</si>
  <si>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</si>
  <si>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</si>
  <si>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</si>
  <si>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</si>
  <si>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</si>
  <si>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</si>
  <si>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</si>
  <si>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</si>
  <si>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</si>
  <si>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</si>
  <si>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</si>
  <si>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</si>
  <si>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</si>
  <si>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</si>
  <si>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</si>
  <si>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</si>
  <si>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</si>
  <si>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</si>
  <si>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</si>
  <si>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</si>
  <si>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</si>
  <si>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</si>
  <si>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</si>
  <si>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</si>
  <si>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</si>
  <si>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</si>
  <si>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</si>
  <si>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</si>
  <si>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</si>
  <si>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</si>
  <si>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</si>
  <si>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</si>
  <si>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</si>
  <si>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</si>
  <si>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</si>
  <si>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</si>
  <si>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</si>
  <si>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</si>
  <si>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</si>
  <si>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</si>
  <si>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</si>
  <si>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</si>
  <si>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</si>
  <si>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</si>
  <si>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</si>
  <si>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</si>
  <si>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</si>
  <si>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</si>
  <si>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</si>
  <si>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</si>
  <si>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</si>
  <si>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</si>
  <si>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</si>
  <si>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</si>
  <si>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</si>
  <si>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</si>
  <si>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</si>
  <si>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</si>
  <si>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</si>
  <si>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</si>
  <si>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</si>
  <si>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</si>
  <si>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</si>
  <si>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</si>
  <si>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</si>
  <si>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</si>
  <si>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</si>
  <si>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</si>
  <si>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</si>
  <si>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</si>
  <si>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</si>
  <si>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</si>
  <si>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</si>
  <si>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</si>
  <si>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</si>
  <si>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</si>
  <si>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</si>
  <si>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</si>
  <si>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</si>
  <si>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</si>
  <si>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</si>
  <si>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</si>
  <si>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</si>
  <si>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</si>
  <si>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</si>
  <si>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</si>
  <si>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</si>
  <si>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</si>
  <si>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</si>
  <si>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</si>
  <si>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</si>
  <si>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</si>
  <si>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</si>
  <si>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</si>
  <si>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</si>
  <si>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</si>
  <si>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</si>
  <si>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</si>
  <si>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</si>
  <si>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</si>
  <si>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</si>
  <si>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</si>
  <si>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</si>
  <si>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</si>
  <si>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</si>
  <si>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</si>
  <si>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</si>
  <si>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</si>
  <si>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</si>
  <si>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</si>
  <si>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</si>
  <si>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</si>
  <si>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</si>
  <si>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</si>
  <si>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</si>
  <si>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</si>
  <si>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</si>
  <si>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</si>
  <si>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</si>
  <si>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</si>
  <si>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</si>
  <si>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</si>
  <si>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</si>
  <si>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</si>
  <si>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</si>
  <si>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</si>
  <si>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</si>
  <si>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</si>
  <si>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</si>
  <si>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</si>
  <si>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</si>
  <si>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</si>
  <si>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</si>
  <si>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</si>
  <si>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</si>
  <si>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</si>
  <si>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</si>
  <si>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</si>
  <si>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</si>
  <si>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</si>
  <si>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</si>
  <si>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</si>
  <si>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</si>
  <si>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</si>
  <si>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</si>
  <si>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</si>
  <si>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</si>
  <si>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</si>
  <si>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</si>
  <si>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</si>
  <si>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</si>
  <si>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</si>
  <si>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</si>
  <si>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</si>
  <si>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</si>
  <si>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</si>
  <si>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</si>
  <si>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</si>
  <si>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</si>
  <si>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</si>
  <si>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</si>
  <si>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</si>
  <si>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</si>
  <si>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</si>
  <si>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</si>
  <si>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</si>
  <si>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</si>
  <si>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</si>
  <si>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</si>
  <si>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</si>
  <si>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</si>
  <si>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</si>
  <si>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</si>
  <si>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</si>
  <si>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</si>
  <si>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</si>
  <si>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</si>
  <si>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</si>
  <si>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</si>
  <si>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</si>
  <si>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</si>
  <si>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</si>
  <si>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</si>
  <si>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</si>
  <si>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</si>
  <si>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</si>
  <si>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</si>
  <si>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</si>
  <si>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</si>
  <si>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</si>
  <si>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</si>
  <si>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</si>
  <si>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</si>
  <si>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</si>
  <si>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</si>
  <si>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</si>
  <si>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</si>
  <si>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</si>
  <si>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</si>
  <si>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</si>
  <si>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</si>
  <si>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</si>
  <si>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</si>
  <si>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</si>
  <si>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</si>
  <si>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</si>
  <si>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</si>
  <si>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</si>
  <si>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</si>
  <si>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</si>
  <si>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</si>
  <si>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</si>
  <si>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</si>
  <si>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</si>
  <si>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</si>
  <si>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Cardona Bañón</t>
  </si>
  <si>
    <t>4 correderas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</si>
</sst>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u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5" xfId="0" applyNumberFormat="1" applyFont="1" applyFill="1" applyBorder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2" zoomScale="95" zoomScaleNormal="95" workbookViewId="0">
      <selection activeCell="H31" sqref="H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20250124</v>
      </c>
      <c r="G7" s="8">
        <f ca="1">TODAY()</f>
        <v>45819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1419</v>
      </c>
      <c r="C13" s="77" t="str">
        <f>IFERROR(VLOOKUP($B13,Tarifa_all_20240711!$A$2:$G$660,2,FALSE()),"-")</f>
        <v>GUIA SUP TECHO PLUS LAC.NEGRO TEXTURADO-2 MTS</v>
      </c>
      <c r="D13" s="77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/>
      <c r="C14" s="77" t="str">
        <f>IFERROR(VLOOKUP($B14,Tarifa_all_20240711!$A$2:$G$660,2,FALSE()),"-")</f>
        <v>-</v>
      </c>
      <c r="D14" s="77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77" t="str">
        <f>IFERROR(VLOOKUP($B16,Tarifa_all_20240711!$A$2:$G$660,2,FALSE()),"-")</f>
        <v>-</v>
      </c>
      <c r="D16" s="77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343.48500000000007</v>
      </c>
      <c r="H31" s="87">
        <f>SUM(G13/2,G14:G20)</f>
        <v>321.75375000000003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9" sqref="G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Cardona Bañón</v>
      </c>
      <c r="C9" s="86"/>
      <c r="D9" s="86"/>
      <c r="F9" s="3" t="s">
        <v>81</v>
      </c>
      <c r="G9" s="44">
        <f ca="1">TODAY()</f>
        <v>45819</v>
      </c>
    </row>
    <row r="10" spans="1:7" x14ac:dyDescent="0.25">
      <c r="A10" s="3" t="s">
        <v>82</v>
      </c>
      <c r="B10" s="11" t="str">
        <f>'DESPIECE (MATANALYSIS)'!C9</f>
        <v>4 correderas S</v>
      </c>
      <c r="C10" s="45"/>
      <c r="D10" s="45"/>
      <c r="E10" s="46"/>
      <c r="F10" s="47" t="s">
        <v>83</v>
      </c>
      <c r="G10" s="7">
        <f>'DESPIECE (MATANALYSIS)'!C7</f>
        <v>20250124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343.48500000000007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2025-06-11T14:35:32Z</dcterms:modified>
  <dc:language>es-ES</dc:language>
</cp:coreProperties>
</file>