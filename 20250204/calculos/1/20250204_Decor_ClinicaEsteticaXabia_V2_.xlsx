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1\"/>
    </mc:Choice>
  </mc:AlternateContent>
  <xr:revisionPtr revIDLastSave="0" documentId="13_ncr:1_{51D0BA7F-7AD0-4C60-815B-5CC9040F3DF6}" xr6:coauthVersionLast="47" xr6:coauthVersionMax="47" xr10:uidLastSave="{00000000-0000-0000-0000-000000000000}"/>
  <bookViews>
    <workbookView xWindow="-26100" yWindow="855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<sst xmlns="http://schemas.openxmlformats.org/spreadsheetml/2006/main" count="5401" uniqueCount="1453">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</sst>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I14" sqref="I1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45946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7" t="str">
        <f>IFERROR(VLOOKUP($B13,Tarifa_all_20240711!$A$2:$G$660,2,FALSE()),"-")</f>
        <v>CARC.SIMPLE GUIA DESM.LAC.6 ESP.2-2 MTS</v>
      </c>
      <c r="D13" s="77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7" t="str">
        <f>IFERROR(VLOOKUP($B14,Tarifa_all_20240711!$A$2:$G$660,2,FALSE()),"-")</f>
        <v>GUIA SKY PLUS DESMONT.LAC.6 ESP.2-2 MTS</v>
      </c>
      <c r="D14" s="77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514.58249999999998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Aluminis Jaume</v>
      </c>
      <c r="C9" s="86"/>
      <c r="D9" s="86"/>
      <c r="F9" s="3" t="s">
        <v>81</v>
      </c>
      <c r="G9" s="44">
        <f ca="1">TODAY()</f>
        <v>45946</v>
      </c>
    </row>
    <row r="10" spans="1:7" x14ac:dyDescent="0.25">
      <c r="A10" s="3" t="s">
        <v>82</v>
      </c>
      <c r="B10" s="11" t="str">
        <f>'DESPIECE (MATANALYSIS)'!C9</f>
        <v>Clínica Estética Xàbia - V2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514.58249999999998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2025-10-16T09:10:31Z</cp:lastPrinted>
  <dcterms:created xsi:type="dcterms:W3CDTF">2024-04-15T12:43:19Z</dcterms:created>
  <dcterms:modified xsi:type="dcterms:W3CDTF">2025-10-16T09:10:41Z</dcterms:modified>
  <dc:language>es-ES</dc:language>
</cp:coreProperties>
</file>