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204\calculos\1\"/>
    </mc:Choice>
  </mc:AlternateContent>
  <xr:revisionPtr revIDLastSave="0" documentId="13_ncr:1_{D9C8DD65-190E-4B60-88F9-90A790AF0062}" xr6:coauthVersionLast="47" xr6:coauthVersionMax="47" xr10:uidLastSave="{00000000-0000-0000-0000-000000000000}"/>
  <bookViews>
    <workbookView xWindow="-28905" yWindow="0" windowWidth="14610" windowHeight="1558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<sst xmlns="http://schemas.openxmlformats.org/spreadsheetml/2006/main" count="5398" uniqueCount="1453">
  <si>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</si>
  <si>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</si>
  <si>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</si>
  <si>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</si>
  <si>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</si>
  <si>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</si>
  <si>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</si>
  <si>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</si>
  <si>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</si>
  <si>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</si>
  <si>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</si>
  <si>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</si>
  <si>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</si>
  <si>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</si>
  <si>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</si>
  <si>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</si>
  <si>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</si>
  <si>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</si>
  <si>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</si>
  <si>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</si>
  <si>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</si>
  <si>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</si>
  <si>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</si>
  <si>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</si>
  <si>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</si>
  <si>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</si>
  <si>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</si>
  <si>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</si>
  <si>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</si>
  <si>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</si>
  <si>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</si>
  <si>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</si>
  <si>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</si>
  <si>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</si>
  <si>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</si>
  <si>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</si>
  <si>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</si>
  <si>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</si>
  <si>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</si>
  <si>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</si>
  <si>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</si>
  <si>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</si>
  <si>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</si>
  <si>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</si>
  <si>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</si>
  <si>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</si>
  <si>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</si>
  <si>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</si>
  <si>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</si>
  <si>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</si>
  <si>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</si>
  <si>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</si>
  <si>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</si>
  <si>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</si>
  <si>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</si>
  <si>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</si>
  <si>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</si>
  <si>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</si>
  <si>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</si>
  <si>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</si>
  <si>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</si>
  <si>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</si>
  <si>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</si>
  <si>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</si>
  <si>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</si>
  <si>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</si>
  <si>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</si>
  <si>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</si>
  <si>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</si>
  <si>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</si>
  <si>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</si>
  <si>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</si>
  <si>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</si>
  <si>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</si>
  <si>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</si>
  <si>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</si>
  <si>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</si>
  <si>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</si>
  <si>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</si>
  <si>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</si>
  <si>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</si>
  <si>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</si>
  <si>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</si>
  <si>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</si>
  <si>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</si>
  <si>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</si>
  <si>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</si>
  <si>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</si>
  <si>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</si>
  <si>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</si>
  <si>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</si>
  <si>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</si>
  <si>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</si>
  <si>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</si>
  <si>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</si>
  <si>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</si>
  <si>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</si>
  <si>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</si>
  <si>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</si>
  <si>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</si>
  <si>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</si>
  <si>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</si>
  <si>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</si>
  <si>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</si>
  <si>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</si>
  <si>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</si>
  <si>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</si>
  <si>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</si>
  <si>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</si>
  <si>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</si>
  <si>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</si>
  <si>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</si>
  <si>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</si>
  <si>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</si>
  <si>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</si>
  <si>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</si>
  <si>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</si>
  <si>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</si>
  <si>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</si>
  <si>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</si>
  <si>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</si>
  <si>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</si>
  <si>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</si>
  <si>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</si>
  <si>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</si>
  <si>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</si>
  <si>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</si>
  <si>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</si>
  <si>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</si>
  <si>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</si>
  <si>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</si>
  <si>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</si>
  <si>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</si>
  <si>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</si>
  <si>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</si>
  <si>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</si>
  <si>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</si>
  <si>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</si>
  <si>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</si>
  <si>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</si>
  <si>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</si>
  <si>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</si>
  <si>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</si>
  <si>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</si>
  <si>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</si>
  <si>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</si>
  <si>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</si>
  <si>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</si>
  <si>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</si>
  <si>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</si>
  <si>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</si>
  <si>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</si>
  <si>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</si>
  <si>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</si>
  <si>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</si>
  <si>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</si>
  <si>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</si>
  <si>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</si>
  <si>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</si>
  <si>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</si>
  <si>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</si>
  <si>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</si>
  <si>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</si>
  <si>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</si>
  <si>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</si>
  <si>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</si>
  <si>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</si>
  <si>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</si>
  <si>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</si>
  <si>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</si>
  <si>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</si>
  <si>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</si>
  <si>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</si>
  <si>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</si>
  <si>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</si>
  <si>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</si>
  <si>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</si>
  <si>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</si>
  <si>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</si>
  <si>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</si>
  <si>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</si>
  <si>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</si>
  <si>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</si>
  <si>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</si>
  <si>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</si>
  <si>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</si>
  <si>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</si>
  <si>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</si>
  <si>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</si>
  <si>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</si>
  <si>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</si>
  <si>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</si>
  <si>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</si>
  <si>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</si>
  <si>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</si>
  <si>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</si>
  <si>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</si>
  <si>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</si>
  <si>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</si>
  <si>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</si>
  <si>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</si>
  <si>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</si>
  <si>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</si>
  <si>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</si>
  <si>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</si>
  <si>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</si>
  <si>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</si>
  <si>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</si>
  <si>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</si>
  <si>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</si>
  <si>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</si>
  <si>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</si>
  <si>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</si>
  <si>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</si>
  <si>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</si>
  <si>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</si>
  <si>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</si>
  <si>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</si>
  <si>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</si>
  <si>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</si>
  <si>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</si>
  <si>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</si>
  <si>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</si>
  <si>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</si>
  <si>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</si>
  <si>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</si>
  <si>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</si>
  <si>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</si>
  <si>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</si>
  <si>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</si>
  <si>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</si>
  <si>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</si>
  <si>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</si>
  <si>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</si>
  <si>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</si>
  <si>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</si>
  <si>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</si>
  <si>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</si>
  <si>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</si>
  <si>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</si>
  <si>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</si>
  <si>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</si>
  <si>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</si>
  <si>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</si>
  <si>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</si>
  <si>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</si>
  <si>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</si>
  <si>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</si>
  <si>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</si>
  <si>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</si>
  <si>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</si>
  <si>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</si>
  <si>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</si>
  <si>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</si>
  <si>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</si>
  <si>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</si>
  <si>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</si>
  <si>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</si>
  <si>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</si>
  <si>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</si>
  <si>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</si>
  <si>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</si>
  <si>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</si>
  <si>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</si>
  <si>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</si>
  <si>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</si>
  <si>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</si>
  <si>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</si>
  <si>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</si>
  <si>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</si>
  <si>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</si>
  <si>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</si>
  <si>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</si>
  <si>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</si>
  <si>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</si>
  <si>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</si>
  <si>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</si>
  <si>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</si>
  <si>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</si>
  <si>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</si>
  <si>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</si>
  <si>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</si>
  <si>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</si>
  <si>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</si>
  <si>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</si>
  <si>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</si>
  <si>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</si>
  <si>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</si>
  <si>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</si>
  <si>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</si>
  <si>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</si>
  <si>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</si>
  <si>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</si>
  <si>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</si>
  <si>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</si>
  <si>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</si>
  <si>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</si>
  <si>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</si>
  <si>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</si>
  <si>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</si>
  <si>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</si>
  <si>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</si>
  <si>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</si>
  <si>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</si>
  <si>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</si>
  <si>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</si>
  <si>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</si>
  <si>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</si>
  <si>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</si>
  <si>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</si>
  <si>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</si>
  <si>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</si>
  <si>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</si>
  <si>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</si>
  <si>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</si>
  <si>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</si>
  <si>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</si>
  <si>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</si>
  <si>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</si>
  <si>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</si>
  <si>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</si>
  <si>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</si>
  <si>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</si>
  <si>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</si>
  <si>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</si>
  <si>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</si>
  <si>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</si>
  <si>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</si>
  <si>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</si>
  <si>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</si>
  <si>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</si>
  <si>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</si>
  <si>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</si>
  <si>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</si>
  <si>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</si>
  <si>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</si>
  <si>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</si>
  <si>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</si>
  <si>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</si>
  <si>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</si>
  <si>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</si>
  <si>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</si>
  <si>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</si>
  <si>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</si>
  <si>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</si>
  <si>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</si>
  <si>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</si>
  <si>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</si>
  <si>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</si>
  <si>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</si>
  <si>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</si>
  <si>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</si>
  <si>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</si>
  <si>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</si>
  <si>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</si>
  <si>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</si>
  <si>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</si>
  <si>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</si>
  <si>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</si>
  <si>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</si>
  <si>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</si>
  <si>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</si>
  <si>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</si>
  <si>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</si>
  <si>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</si>
  <si>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</si>
  <si>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</si>
  <si>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</si>
  <si>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</si>
  <si>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</si>
  <si>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</si>
  <si>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</si>
  <si>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</si>
  <si>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</si>
  <si>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</si>
  <si>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</si>
  <si>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</si>
  <si>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</si>
  <si>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</si>
  <si>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</si>
  <si>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</si>
  <si>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</si>
  <si>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</si>
  <si>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</si>
  <si>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</si>
  <si>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</si>
  <si>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</si>
  <si>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</si>
  <si>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</si>
  <si>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</si>
  <si>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</si>
  <si>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</si>
  <si>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</si>
  <si>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</si>
  <si>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</si>
  <si>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</si>
  <si>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</si>
  <si>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</si>
  <si>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</si>
  <si>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</si>
  <si>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</si>
  <si>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</si>
  <si>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</si>
  <si>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</si>
  <si>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</si>
  <si>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</si>
  <si>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</si>
  <si>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</si>
  <si>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</si>
  <si>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</si>
  <si>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</si>
  <si>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</si>
  <si>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</si>
  <si>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</si>
  <si>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</si>
  <si>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</si>
  <si>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</si>
  <si>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</si>
  <si>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</si>
  <si>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</si>
  <si>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</si>
  <si>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</si>
  <si>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</si>
  <si>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</si>
  <si>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</si>
  <si>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</si>
  <si>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</si>
  <si>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</si>
  <si>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</si>
  <si>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</si>
  <si>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</si>
  <si>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</si>
  <si>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</si>
  <si>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</si>
  <si>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</si>
  <si>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</si>
  <si>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</si>
  <si>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</si>
  <si>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</si>
  <si>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</si>
  <si>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</si>
  <si>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</si>
  <si>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</si>
  <si>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</si>
  <si>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</si>
  <si>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</si>
  <si>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</si>
  <si>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</si>
  <si>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</si>
  <si>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</si>
  <si>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</si>
  <si>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</si>
  <si>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</si>
  <si>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</si>
  <si>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</si>
  <si>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</si>
  <si>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</si>
  <si>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</si>
  <si>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</si>
  <si>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</si>
  <si>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</si>
  <si>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</si>
  <si>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</si>
  <si>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</si>
  <si>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</si>
  <si>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</si>
  <si>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</si>
  <si>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</si>
  <si>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</si>
  <si>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</si>
  <si>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</si>
  <si>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</si>
  <si>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</si>
  <si>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</si>
  <si>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</si>
  <si>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</si>
  <si>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</si>
  <si>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</si>
  <si>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</si>
  <si>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</si>
  <si>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</si>
  <si>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</si>
  <si>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</si>
  <si>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</si>
  <si>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</si>
  <si>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</si>
  <si>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</si>
  <si>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</si>
  <si>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</si>
  <si>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</si>
  <si>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</si>
  <si>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</si>
  <si>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</si>
  <si>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</si>
  <si>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</si>
  <si>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</si>
  <si>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</si>
  <si>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</si>
  <si>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</si>
  <si>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</si>
  <si>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</si>
  <si>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</si>
  <si>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</si>
  <si>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</si>
  <si>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</si>
  <si>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</si>
  <si>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</si>
  <si>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</si>
  <si>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</si>
  <si>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</si>
  <si>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</si>
  <si>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</si>
  <si>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</si>
  <si>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</si>
  <si>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</si>
  <si>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</si>
  <si>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</si>
  <si>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</si>
  <si>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</si>
  <si>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</si>
  <si>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</si>
  <si>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</si>
  <si>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</si>
  <si>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</si>
  <si>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</si>
  <si>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</si>
  <si>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</si>
  <si>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</si>
  <si>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</si>
  <si>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</si>
  <si>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</si>
  <si>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</si>
  <si>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</si>
  <si>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</si>
  <si>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</si>
  <si>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</si>
  <si>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</si>
  <si>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</si>
  <si>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</si>
  <si>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</si>
  <si>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</si>
  <si>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</si>
  <si>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</si>
  <si>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</si>
  <si>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</si>
  <si>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</si>
  <si>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</si>
  <si>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</si>
  <si>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</si>
  <si>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</si>
  <si>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</si>
  <si>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</si>
  <si>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</si>
  <si>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</si>
  <si>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</si>
  <si>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</si>
  <si>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</si>
  <si>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</si>
  <si>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</si>
  <si>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</si>
  <si>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</si>
  <si>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</si>
  <si>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</si>
  <si>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</si>
  <si>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</si>
  <si>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</si>
  <si>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</si>
  <si>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</si>
  <si>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</si>
  <si>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</si>
  <si>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</si>
  <si>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</si>
  <si>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</si>
  <si>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</si>
  <si>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</si>
  <si>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</si>
  <si>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</si>
  <si>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</si>
  <si>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</si>
  <si>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</si>
  <si>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</si>
  <si>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</si>
  <si>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</si>
  <si>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</si>
  <si>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</si>
  <si>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</si>
  <si>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</si>
  <si>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</si>
  <si>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</si>
  <si>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</si>
  <si>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</si>
  <si>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</si>
  <si>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</si>
  <si>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</si>
  <si>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</si>
  <si>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</si>
  <si>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</si>
  <si>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</si>
  <si>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</si>
  <si>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</si>
  <si>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</si>
  <si>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</si>
  <si>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</si>
  <si>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</si>
  <si>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</si>
  <si>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</si>
  <si>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</si>
  <si>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</si>
  <si>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</si>
  <si>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</si>
  <si>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</si>
  <si>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</si>
  <si>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</si>
  <si>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</si>
  <si>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</si>
  <si>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</si>
  <si>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</si>
  <si>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</si>
  <si>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</si>
  <si>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</si>
  <si>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</si>
  <si>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</si>
  <si>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</si>
  <si>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</si>
  <si>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</si>
  <si>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</si>
  <si>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</si>
  <si>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</si>
  <si>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</si>
  <si>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</si>
  <si>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</si>
  <si>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</si>
  <si>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</si>
  <si>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</si>
  <si>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</si>
  <si>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</si>
  <si>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</si>
  <si>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</si>
  <si>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</si>
  <si>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</si>
  <si>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</si>
  <si>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</si>
  <si>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</si>
  <si>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</si>
  <si>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</si>
  <si>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</si>
  <si>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</si>
  <si>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</si>
  <si>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</si>
  <si>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</si>
  <si>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</si>
  <si>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</si>
  <si>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</si>
  <si>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</si>
  <si>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</si>
  <si>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</si>
  <si>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</si>
  <si>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</si>
  <si>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</si>
  <si>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</si>
  <si>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</si>
  <si>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</si>
  <si>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</si>
  <si>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</si>
  <si>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</si>
  <si>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</si>
  <si>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</si>
  <si>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</si>
  <si>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</si>
  <si>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</si>
  <si>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</si>
  <si>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</si>
  <si>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</si>
  <si>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</si>
  <si>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</si>
  <si>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</si>
  <si>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</si>
  <si>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</si>
  <si>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</si>
  <si>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</si>
  <si>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</si>
  <si>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</si>
  <si>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</si>
  <si>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</si>
  <si>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</si>
  <si>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</si>
  <si>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</si>
  <si>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</si>
  <si>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</si>
  <si>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</si>
  <si>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</si>
  <si>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</si>
  <si>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</si>
  <si>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</si>
  <si>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</si>
  <si>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</si>
  <si>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</si>
  <si>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</si>
  <si>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</si>
  <si>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</si>
  <si>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</si>
  <si>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</si>
  <si>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</si>
  <si>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</si>
  <si>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</si>
  <si>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</si>
  <si>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</si>
  <si>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</si>
  <si>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</si>
  <si>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</si>
  <si>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</si>
  <si>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</si>
  <si>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</si>
  <si>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</si>
  <si>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</si>
  <si>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</si>
  <si>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</si>
  <si>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</si>
  <si>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</si>
  <si>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</si>
  <si>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</si>
  <si>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</si>
  <si>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</si>
  <si>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</si>
  <si>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</si>
  <si>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</si>
  <si>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</si>
  <si>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</si>
  <si>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</si>
  <si>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</si>
  <si>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</si>
  <si>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</si>
  <si>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</si>
  <si>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</si>
  <si>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</si>
  <si>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</si>
  <si>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</si>
  <si>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</si>
  <si>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</si>
  <si>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</si>
  <si>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</si>
  <si>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</si>
  <si>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</si>
  <si>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</si>
  <si>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</si>
  <si>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</si>
  <si>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</si>
  <si>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</si>
  <si>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</si>
  <si>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</si>
  <si>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</si>
  <si>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</si>
  <si>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</si>
  <si>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</si>
  <si>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</si>
  <si>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</si>
  <si>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</si>
  <si>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</si>
  <si>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</si>
  <si>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</si>
  <si>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</si>
  <si>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</si>
  <si>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</si>
  <si>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</si>
  <si>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</si>
  <si>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</si>
  <si>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</si>
  <si>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</si>
  <si>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</si>
  <si>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</si>
  <si>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</si>
  <si>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</si>
  <si>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</si>
  <si>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</si>
  <si>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</si>
  <si>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</si>
  <si>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</si>
  <si>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</si>
  <si>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</si>
  <si>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</si>
  <si>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</si>
  <si>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</si>
  <si>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</si>
  <si>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</si>
  <si>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</si>
  <si>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</si>
  <si>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</si>
  <si>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</si>
  <si>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</si>
  <si>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</si>
  <si>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</si>
  <si>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</si>
  <si>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</si>
  <si>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</si>
  <si>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</si>
  <si>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</si>
  <si>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</si>
  <si>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</si>
  <si>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</si>
  <si>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</si>
  <si>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</si>
  <si>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</si>
  <si>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</si>
  <si>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</si>
  <si>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</si>
  <si>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</si>
  <si>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</si>
  <si>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</si>
  <si>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</si>
  <si>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</si>
  <si>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</si>
  <si>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</si>
  <si>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</si>
  <si>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</si>
  <si>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</si>
  <si>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</si>
  <si>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</si>
  <si>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</si>
  <si>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</si>
  <si>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</si>
  <si>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</si>
  <si>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</si>
  <si>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</si>
  <si>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</si>
  <si>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</si>
  <si>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</si>
  <si>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</si>
  <si>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</si>
  <si>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</si>
  <si>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</si>
  <si>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</si>
  <si>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</si>
  <si>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</si>
  <si>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</si>
  <si>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</si>
  <si>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</si>
  <si>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</si>
  <si>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</si>
  <si>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</si>
  <si>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</si>
  <si>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</si>
  <si>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</si>
  <si>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</si>
  <si>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</si>
  <si>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</si>
  <si>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</si>
  <si>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</si>
  <si>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</si>
  <si>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</si>
  <si>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</si>
  <si>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</si>
  <si>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</si>
  <si>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</si>
  <si>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</si>
  <si>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</si>
  <si>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</si>
  <si>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</si>
  <si>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</si>
  <si>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</si>
  <si>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</si>
  <si>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</si>
  <si>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</si>
  <si>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</si>
  <si>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</si>
  <si>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</si>
  <si>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</si>
  <si>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</si>
  <si>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</si>
  <si>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</si>
  <si>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</si>
  <si>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</si>
  <si>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</si>
  <si>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</si>
  <si>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</si>
  <si>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</si>
  <si>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</si>
  <si>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</si>
  <si>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</si>
  <si>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</si>
  <si>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</si>
  <si>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</si>
  <si>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</si>
  <si>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</si>
  <si>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</si>
  <si>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</si>
  <si>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</si>
  <si>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</si>
  <si>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</si>
  <si>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</si>
  <si>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</si>
  <si>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</si>
  <si>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</si>
  <si>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</si>
  <si>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</si>
  <si>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</si>
  <si>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</si>
  <si>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</si>
  <si>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</si>
  <si>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</si>
  <si>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</si>
  <si>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</si>
  <si>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</si>
  <si>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</si>
  <si>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</si>
  <si>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</si>
  <si>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</si>
  <si>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</si>
  <si>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</si>
  <si>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</si>
  <si>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</si>
  <si>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</si>
  <si>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</si>
  <si>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</si>
  <si>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</si>
  <si>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</si>
  <si>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</si>
  <si>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</si>
  <si>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</si>
  <si>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</si>
  <si>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</si>
  <si>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</si>
  <si>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</si>
  <si>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</si>
  <si>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</si>
  <si>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</si>
  <si>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</si>
  <si>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</si>
  <si>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</si>
  <si>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</si>
  <si>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</si>
  <si>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</si>
  <si>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</si>
  <si>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</si>
  <si>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</si>
  <si>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</si>
  <si>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</si>
  <si>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</si>
  <si>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</si>
  <si>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</si>
  <si>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</si>
  <si>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</si>
  <si>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</si>
  <si>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</si>
  <si>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</si>
  <si>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</si>
  <si>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</si>
  <si>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</si>
  <si>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</si>
  <si>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</si>
  <si>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</si>
  <si>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</si>
  <si>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</si>
  <si>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</si>
  <si>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</si>
  <si>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</si>
  <si>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</si>
  <si>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</si>
  <si>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</si>
  <si>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</si>
  <si>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</si>
  <si>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</si>
  <si>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</si>
  <si>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</si>
  <si>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</si>
  <si>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</si>
  <si>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</si>
  <si>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</si>
  <si>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</si>
  <si>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</si>
  <si>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</si>
  <si>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</si>
  <si>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</si>
  <si>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</si>
  <si>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</si>
  <si>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</si>
  <si>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</si>
  <si>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</si>
  <si>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</si>
  <si>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</si>
  <si>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</si>
  <si>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</si>
  <si>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</si>
  <si>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</si>
  <si>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</si>
  <si>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</si>
  <si>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</si>
  <si>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</si>
  <si>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</si>
  <si>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</si>
  <si>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</si>
  <si>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</si>
  <si>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</si>
  <si>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</si>
  <si>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</si>
  <si>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</si>
  <si>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</si>
  <si>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</si>
  <si>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</si>
  <si>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</si>
  <si>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</si>
  <si>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</si>
  <si>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</si>
  <si>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</si>
  <si>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</si>
  <si>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</si>
  <si>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</si>
  <si>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</si>
  <si>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</si>
  <si>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</si>
  <si>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</si>
  <si>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</si>
  <si>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</si>
  <si>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</si>
  <si>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</si>
  <si>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</si>
  <si>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</si>
  <si>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</si>
  <si>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</si>
  <si>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</si>
  <si>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</si>
  <si>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</si>
  <si>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</si>
  <si>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</si>
  <si>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</si>
  <si>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</si>
  <si>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</si>
  <si>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</si>
  <si>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</si>
  <si>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</si>
  <si>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</si>
  <si>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</si>
  <si>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</si>
  <si>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</si>
  <si>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</si>
  <si>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</si>
  <si>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</si>
  <si>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</si>
  <si>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</si>
  <si>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</si>
  <si>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</si>
  <si>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</si>
  <si>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</si>
  <si>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</si>
  <si>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</si>
  <si>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</si>
  <si>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</si>
  <si>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</si>
  <si>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</si>
  <si>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</si>
  <si>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</si>
  <si>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</si>
  <si>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</si>
  <si>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</si>
  <si>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</si>
  <si>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</si>
  <si>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</si>
  <si>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</si>
  <si>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</si>
  <si>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</si>
  <si>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</si>
  <si>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</si>
  <si>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</si>
  <si>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</si>
  <si>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</si>
  <si>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</si>
  <si>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</si>
  <si>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</si>
  <si>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</si>
  <si>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</si>
  <si>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</si>
  <si>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</si>
  <si>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</si>
  <si>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</si>
  <si>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</si>
  <si>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</si>
  <si>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</si>
  <si>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</si>
  <si>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</si>
  <si>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</si>
  <si>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</si>
  <si>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</si>
  <si>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</si>
  <si>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</si>
  <si>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</si>
  <si>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</si>
  <si>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</si>
  <si>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</si>
  <si>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</si>
  <si>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</si>
  <si>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</si>
  <si>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</si>
  <si>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</si>
  <si>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</si>
  <si>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</si>
  <si>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</si>
  <si>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</si>
  <si>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</si>
  <si>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</si>
  <si>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</si>
  <si>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</si>
  <si>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</si>
  <si>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</si>
  <si>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</si>
  <si>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</si>
  <si>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</si>
  <si>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</si>
  <si>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</si>
  <si>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</si>
  <si>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</si>
  <si>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</si>
  <si>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</si>
  <si>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</si>
  <si>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</si>
  <si>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</si>
  <si>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</si>
  <si>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</si>
  <si>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</si>
  <si>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</si>
  <si>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</si>
  <si>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</si>
  <si>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</si>
  <si>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</si>
  <si>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</si>
  <si>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</si>
  <si>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</si>
  <si>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</si>
  <si>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</si>
  <si>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</si>
  <si>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</si>
  <si>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</si>
  <si>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</si>
  <si>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</si>
  <si>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</si>
  <si>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</si>
  <si>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</si>
  <si>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</si>
  <si>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</si>
  <si>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</si>
  <si>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</si>
  <si>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</si>
  <si>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</si>
  <si>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</si>
  <si>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</si>
  <si>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</si>
  <si>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</si>
  <si>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</si>
  <si>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</si>
  <si>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</si>
  <si>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</si>
  <si>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</si>
  <si>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</si>
  <si>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</si>
  <si>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</si>
  <si>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</si>
  <si>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</si>
  <si>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</si>
  <si>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</si>
  <si>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</si>
  <si>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</si>
  <si>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</si>
  <si>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</si>
  <si>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</si>
  <si>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</si>
  <si>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</si>
  <si>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</si>
  <si>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</si>
  <si>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</si>
  <si>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</si>
  <si>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</si>
  <si>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</si>
  <si>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</si>
  <si>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</si>
  <si>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</si>
  <si>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</si>
  <si>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</si>
  <si>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</si>
  <si>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</si>
  <si>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</si>
  <si>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</si>
  <si>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</si>
  <si>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</si>
  <si>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</si>
  <si>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</si>
  <si>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</si>
  <si>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</si>
  <si>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</si>
  <si>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</si>
  <si>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</si>
  <si>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</si>
  <si>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</si>
  <si>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</si>
  <si>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</si>
  <si>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</si>
  <si>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</si>
  <si>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</si>
  <si>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</si>
  <si>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</si>
  <si>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</si>
  <si>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</si>
  <si>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</si>
  <si>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</si>
  <si>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</si>
  <si>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</si>
  <si>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</si>
  <si>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</si>
  <si>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</si>
  <si>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</si>
  <si>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</si>
  <si>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</si>
  <si>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</si>
  <si>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</si>
  <si>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</si>
  <si>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</si>
  <si>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</si>
  <si>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</si>
  <si>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</si>
  <si>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</si>
  <si>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</si>
  <si>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</si>
  <si>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</si>
  <si>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</si>
  <si>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</si>
  <si>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</si>
  <si>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</si>
  <si>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</si>
  <si>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</si>
  <si>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</si>
  <si>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</si>
  <si>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</si>
  <si>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</si>
  <si>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</si>
  <si>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</si>
  <si>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</si>
  <si>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</si>
  <si>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</si>
  <si>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</si>
  <si>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</si>
  <si>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</si>
  <si>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</si>
  <si>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</si>
  <si>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</si>
  <si>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</si>
  <si>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</si>
  <si>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</si>
  <si>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</si>
  <si>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</si>
  <si>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</si>
  <si>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</si>
  <si>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</si>
  <si>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</si>
  <si>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</si>
  <si>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</si>
  <si>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</si>
  <si>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</si>
  <si>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</si>
  <si>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</si>
  <si>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</si>
  <si>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</si>
  <si>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</si>
  <si>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</si>
  <si>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</si>
  <si>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</si>
  <si>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</si>
  <si>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</si>
  <si>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</si>
  <si>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</si>
  <si>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</si>
  <si>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</si>
  <si>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</si>
  <si>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</si>
  <si>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</si>
  <si>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</si>
  <si>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</si>
  <si>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</si>
  <si>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</si>
  <si>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</si>
  <si>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</si>
  <si>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</si>
  <si>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</si>
  <si>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</si>
  <si>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</si>
  <si>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</si>
  <si>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</si>
  <si>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</si>
  <si>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</si>
  <si>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</si>
  <si>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</si>
  <si>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</si>
  <si>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</si>
  <si>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</si>
  <si>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</si>
  <si>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</si>
  <si>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</si>
  <si>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</si>
  <si>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</si>
  <si>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</si>
  <si>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</si>
  <si>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</si>
  <si>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</si>
  <si>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</si>
  <si>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</si>
  <si>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</si>
  <si>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</si>
  <si>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</si>
  <si>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</si>
  <si>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</si>
  <si>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</si>
  <si>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</si>
  <si>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</si>
  <si>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</si>
  <si>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</si>
  <si>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</si>
  <si>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</si>
  <si>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</si>
  <si>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</si>
  <si>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</si>
  <si>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</si>
  <si>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</si>
  <si>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</si>
  <si>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</si>
  <si>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</si>
  <si>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</si>
  <si>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</si>
  <si>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</si>
  <si>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</si>
  <si>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</si>
  <si>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</si>
  <si>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</si>
  <si>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</si>
  <si>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</si>
  <si>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</si>
  <si>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</si>
  <si>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</si>
  <si>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</si>
  <si>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</si>
  <si>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</si>
  <si>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</si>
  <si>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</si>
  <si>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</si>
  <si>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</si>
  <si>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</si>
  <si>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</si>
  <si>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</si>
  <si>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</si>
  <si>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</si>
  <si>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</si>
  <si>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</si>
  <si>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</si>
  <si>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</si>
  <si>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</si>
  <si>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</si>
  <si>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</si>
  <si>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</si>
  <si>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</si>
  <si>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</si>
  <si>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</si>
  <si>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</si>
  <si>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</si>
  <si>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</si>
  <si>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</si>
  <si>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</si>
  <si>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</si>
  <si>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</si>
  <si>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</si>
  <si>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</si>
  <si>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</si>
  <si>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</si>
  <si>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</si>
  <si>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</si>
  <si>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</si>
  <si>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</si>
  <si>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</si>
  <si>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</si>
  <si>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</si>
  <si>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</si>
  <si>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</si>
  <si>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</si>
  <si>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</si>
  <si>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</si>
  <si>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</si>
  <si>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</si>
  <si>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</si>
  <si>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</si>
  <si>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</si>
  <si>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</si>
  <si>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</si>
  <si>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</si>
  <si>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</si>
  <si>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</si>
  <si>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</si>
  <si>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</si>
  <si>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</si>
  <si>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</si>
  <si>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</si>
  <si>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</si>
  <si>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</si>
  <si>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</si>
  <si>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</si>
  <si>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</si>
  <si>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</si>
  <si>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</si>
  <si>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</si>
  <si>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</si>
  <si>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</si>
  <si>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</si>
  <si>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</si>
  <si>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</si>
  <si>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</si>
  <si>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</si>
  <si>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</si>
  <si>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</si>
  <si>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</si>
  <si>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</si>
  <si>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</si>
  <si>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</si>
  <si>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</si>
  <si>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</si>
  <si>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</si>
  <si>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</si>
  <si>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</si>
  <si>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</si>
  <si>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</si>
  <si>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</si>
  <si>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</si>
  <si>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</si>
  <si>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</si>
  <si>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</si>
  <si>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</si>
  <si>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</si>
  <si>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</si>
  <si>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</si>
  <si>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</si>
  <si>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</si>
  <si>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</si>
  <si>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</si>
  <si>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</si>
  <si>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</si>
  <si>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</si>
  <si>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</si>
  <si>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</si>
  <si>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</si>
  <si>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</si>
  <si>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</si>
  <si>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</si>
  <si>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</si>
  <si>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</si>
  <si>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</si>
  <si>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</si>
  <si>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</si>
  <si>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</si>
  <si>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</si>
  <si>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Aluminis Jaume</t>
  </si>
  <si>
    <t>Clínica Estética Xàbia - 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</si>
</sst>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9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B0F0"/>
      <name val="Calibri"/>
      <family val="2"/>
    </font>
    <font>
      <sz val="11"/>
      <color rgb="FF00B0F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0" fontId="17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165" fontId="18" fillId="2" borderId="0" xfId="0" applyNumberFormat="1" applyFont="1" applyFill="1" applyAlignment="1">
      <alignment horizontal="right" vertical="center"/>
    </xf>
    <xf numFmtId="0" fontId="0" fillId="0" borderId="0" xfId="0" applyAlignment="1">
      <alignment horizontal="center"/>
    </xf>
    <xf numFmtId="0" fontId="18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zoomScale="95" zoomScaleNormal="95" workbookViewId="0">
      <selection activeCell="F30" sqref="F30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6" t="s">
        <v>1</v>
      </c>
      <c r="F3" s="86"/>
      <c r="G3" s="86"/>
      <c r="H3" s="87"/>
      <c r="I3" s="87"/>
      <c r="J3" s="87"/>
      <c r="K3" s="87"/>
      <c r="L3" s="87"/>
    </row>
    <row r="5" spans="1:12" ht="18.75" x14ac:dyDescent="0.25">
      <c r="B5" s="88" t="s">
        <v>2</v>
      </c>
      <c r="C5" s="88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20250204</v>
      </c>
      <c r="G7" s="8">
        <f ca="1">TODAY()</f>
        <v>45946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/>
      <c r="C13" s="84" t="str">
        <f>IFERROR(VLOOKUP($B13,Tarifa_all_20240711!$A$2:$G$660,2,FALSE()),"-")</f>
        <v>-</v>
      </c>
      <c r="D13" s="84"/>
      <c r="E13" s="17"/>
      <c r="F13" s="18" t="str">
        <f>IFERROR(VLOOKUP($B13,Tarifa_all_20240711!$A$2:$G$660,5,FALSE()),"-")</f>
        <v>-</v>
      </c>
      <c r="G13" s="18" t="str">
        <f t="shared" ref="G13:G30" si="0">IFERROR(E13*F13,"-")</f>
        <v>-</v>
      </c>
      <c r="H13" s="1"/>
    </row>
    <row r="14" spans="1:12" x14ac:dyDescent="0.25">
      <c r="A14" t="s">
        <v>15</v>
      </c>
      <c r="B14" s="16"/>
      <c r="C14" s="84" t="str">
        <f>IFERROR(VLOOKUP($B14,Tarifa_all_20240711!$A$2:$G$660,2,FALSE()),"-")</f>
        <v>-</v>
      </c>
      <c r="D14" s="84"/>
      <c r="E14" s="17"/>
      <c r="F14" s="18" t="str">
        <f>IFERROR(VLOOKUP($B14,Tarifa_all_20240711!$A$2:$G$660,5,FALSE()),"-")</f>
        <v>-</v>
      </c>
      <c r="G14" s="18" t="str">
        <f t="shared" si="0"/>
        <v>-</v>
      </c>
      <c r="H14" s="1"/>
    </row>
    <row r="15" spans="1:12" x14ac:dyDescent="0.25">
      <c r="A15" t="s">
        <v>16</v>
      </c>
      <c r="B15" s="16"/>
      <c r="C15" s="84" t="str">
        <f>IFERROR(VLOOKUP($B15,Tarifa_all_20240711!$A$2:$G$660,2,FALSE()),"-")</f>
        <v>-</v>
      </c>
      <c r="D15" s="84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/>
      <c r="C16" s="84" t="str">
        <f>IFERROR(VLOOKUP($B16,Tarifa_all_20240711!$A$2:$G$660,2,FALSE()),"-")</f>
        <v>-</v>
      </c>
      <c r="D16" s="84"/>
      <c r="E16" s="17"/>
      <c r="F16" s="18" t="str">
        <f>IFERROR(VLOOKUP($B16,Tarifa_all_20240711!$A$2:$G$660,5,FALSE()),"-")</f>
        <v>-</v>
      </c>
      <c r="G16" s="18" t="str">
        <f t="shared" si="0"/>
        <v>-</v>
      </c>
      <c r="H16" s="1"/>
    </row>
    <row r="17" spans="1:8" x14ac:dyDescent="0.25">
      <c r="A17" t="s">
        <v>18</v>
      </c>
      <c r="B17" s="16"/>
      <c r="C17" s="84" t="str">
        <f>IFERROR(VLOOKUP($B17,Tarifa_all_20240711!$A$2:$G$660,2,FALSE()),"-")</f>
        <v>-</v>
      </c>
      <c r="D17" s="84"/>
      <c r="E17" s="17"/>
      <c r="F17" s="18" t="str">
        <f>IFERROR(VLOOKUP($B17,Tarifa_all_20240711!$A$2:$G$660,5,FALSE()),"-")</f>
        <v>-</v>
      </c>
      <c r="G17" s="18" t="str">
        <f t="shared" si="0"/>
        <v>-</v>
      </c>
      <c r="H17" s="1"/>
    </row>
    <row r="18" spans="1:8" x14ac:dyDescent="0.25">
      <c r="A18" t="s">
        <v>19</v>
      </c>
      <c r="B18" s="16"/>
      <c r="C18" s="84" t="str">
        <f>IFERROR(VLOOKUP($B18,Tarifa_all_20240711!$A$2:$G$660,2,FALSE()),"-")</f>
        <v>-</v>
      </c>
      <c r="D18" s="84"/>
      <c r="E18" s="17"/>
      <c r="F18" s="18" t="str">
        <f>IFERROR(VLOOKUP($B18,Tarifa_all_20240711!$A$2:$G$660,5,FALSE()),"-")</f>
        <v>-</v>
      </c>
      <c r="G18" s="18" t="str">
        <f t="shared" si="0"/>
        <v>-</v>
      </c>
      <c r="H18" s="1"/>
    </row>
    <row r="19" spans="1:8" x14ac:dyDescent="0.25">
      <c r="A19" t="s">
        <v>20</v>
      </c>
      <c r="B19" s="16"/>
      <c r="C19" s="84" t="str">
        <f>IFERROR(VLOOKUP($B19,Tarifa_all_20240711!$A$2:$G$660,2,FALSE()),"-")</f>
        <v>-</v>
      </c>
      <c r="D19" s="84"/>
      <c r="E19" s="17"/>
      <c r="F19" s="18" t="str">
        <f>IFERROR(VLOOKUP($B19,Tarifa_all_20240711!$A$2:$G$660,5,FALSE()),"-")</f>
        <v>-</v>
      </c>
      <c r="G19" s="18" t="str">
        <f t="shared" si="0"/>
        <v>-</v>
      </c>
      <c r="H19" s="1"/>
    </row>
    <row r="20" spans="1:8" x14ac:dyDescent="0.25">
      <c r="A20" t="s">
        <v>21</v>
      </c>
      <c r="B20" s="16"/>
      <c r="C20" s="84" t="str">
        <f>IFERROR(VLOOKUP($B20,Tarifa_all_20240711!$A$2:$G$660,2,FALSE()),"-")</f>
        <v>-</v>
      </c>
      <c r="D20" s="84"/>
      <c r="E20" s="17"/>
      <c r="F20" s="18" t="str">
        <f>IFERROR(VLOOKUP($B20,Tarifa_all_20240711!$A$2:$G$660,5,FALSE()),"-")</f>
        <v>-</v>
      </c>
      <c r="G20" s="18" t="str">
        <f t="shared" si="0"/>
        <v>-</v>
      </c>
      <c r="H20" s="1"/>
    </row>
    <row r="21" spans="1:8" x14ac:dyDescent="0.25">
      <c r="A21" t="s">
        <v>22</v>
      </c>
      <c r="B21" s="76"/>
      <c r="C21" s="85" t="str">
        <f>IFERROR(VLOOKUP($B21,Tarifa_all_20240711!$A$2:$G$660,2,FALSE()),"-")</f>
        <v>-</v>
      </c>
      <c r="D21" s="85"/>
      <c r="E21" s="77"/>
      <c r="F21" s="78" t="str">
        <f>IFERROR(VLOOKUP($B21,Tarifa_all_20240711!$A$2:$G$660,5,FALSE()),"-")</f>
        <v>-</v>
      </c>
      <c r="G21" s="78" t="str">
        <f t="shared" si="0"/>
        <v>-</v>
      </c>
      <c r="H21" s="1"/>
    </row>
    <row r="22" spans="1:8" x14ac:dyDescent="0.25">
      <c r="B22" s="79"/>
      <c r="C22" s="83" t="str">
        <f>IFERROR(VLOOKUP($B22,Tarifa_all_20240711!$A$2:$G$660,2,FALSE()),"-")</f>
        <v>-</v>
      </c>
      <c r="D22" s="83"/>
      <c r="E22" s="80"/>
      <c r="F22" s="81" t="str">
        <f>IFERROR(VLOOKUP($B22,Tarifa_all_20240711!$A$2:$G$660,5,FALSE()),"-")</f>
        <v>-</v>
      </c>
      <c r="G22" s="81" t="str">
        <f t="shared" si="0"/>
        <v>-</v>
      </c>
      <c r="H22" s="1"/>
    </row>
    <row r="23" spans="1:8" x14ac:dyDescent="0.25">
      <c r="B23" s="79"/>
      <c r="C23" s="83" t="str">
        <f>IFERROR(VLOOKUP($B23,Tarifa_all_20240711!$A$2:$G$660,2,FALSE()),"-")</f>
        <v>-</v>
      </c>
      <c r="D23" s="83"/>
      <c r="E23" s="80"/>
      <c r="F23" s="81" t="str">
        <f>IFERROR(VLOOKUP($B23,Tarifa_all_20240711!$A$2:$G$660,5,FALSE()),"-")</f>
        <v>-</v>
      </c>
      <c r="G23" s="81" t="str">
        <f t="shared" si="0"/>
        <v>-</v>
      </c>
      <c r="H23" s="1"/>
    </row>
    <row r="24" spans="1:8" x14ac:dyDescent="0.25">
      <c r="B24" s="79"/>
      <c r="C24" s="83" t="str">
        <f>IFERROR(VLOOKUP($B24,Tarifa_all_20240711!$A$2:$G$660,2,FALSE()),"-")</f>
        <v>-</v>
      </c>
      <c r="D24" s="83"/>
      <c r="E24" s="80"/>
      <c r="F24" s="81" t="str">
        <f>IFERROR(VLOOKUP($B24,Tarifa_all_20240711!$A$2:$G$660,5,FALSE()),"-")</f>
        <v>-</v>
      </c>
      <c r="G24" s="81" t="str">
        <f t="shared" si="0"/>
        <v>-</v>
      </c>
      <c r="H24" s="1"/>
    </row>
    <row r="25" spans="1:8" x14ac:dyDescent="0.25">
      <c r="B25" s="79" t="s">
        <v>460</v>
      </c>
      <c r="C25" s="83" t="str">
        <f>IFERROR(VLOOKUP($B25,Tarifa_all_20240711!$A$2:$G$660,2,FALSE()),"-")</f>
        <v>MARCO FIJOS 35MM D-DECOR FIJO NEGRO TEXT 3 MTS</v>
      </c>
      <c r="D25" s="83"/>
      <c r="E25" s="80">
        <v>5</v>
      </c>
      <c r="F25" s="81">
        <f>IFERROR(VLOOKUP($B25,Tarifa_all_20240711!$A$2:$G$660,5,FALSE()),"-")</f>
        <v>27.712500000000002</v>
      </c>
      <c r="G25" s="81">
        <f t="shared" si="0"/>
        <v>138.5625</v>
      </c>
      <c r="H25" s="1"/>
    </row>
    <row r="26" spans="1:8" x14ac:dyDescent="0.25">
      <c r="B26" s="79" t="s">
        <v>440</v>
      </c>
      <c r="C26" s="83" t="str">
        <f>IFERROR(VLOOKUP($B26,Tarifa_all_20240711!$A$2:$G$660,2,FALSE()),"-")</f>
        <v>ANCLAJE TAPA 35MM D-DECOR FIJO NEGRO TEXT 3 MTS</v>
      </c>
      <c r="D26" s="83"/>
      <c r="E26" s="80">
        <v>5</v>
      </c>
      <c r="F26" s="81">
        <f>IFERROR(VLOOKUP($B26,Tarifa_all_20240711!$A$2:$G$660,5,FALSE()),"-")</f>
        <v>13.4175</v>
      </c>
      <c r="G26" s="81">
        <f t="shared" si="0"/>
        <v>67.087500000000006</v>
      </c>
      <c r="H26" s="1"/>
    </row>
    <row r="27" spans="1:8" x14ac:dyDescent="0.25">
      <c r="B27" s="79" t="s">
        <v>480</v>
      </c>
      <c r="C27" s="83" t="str">
        <f>IFERROR(VLOOKUP($B27,Tarifa_all_20240711!$A$2:$G$660,2,FALSE()),"-")</f>
        <v>TAPA MARCO 35MM D-DECOR FIJO NEGRO TEXT 3 MTS</v>
      </c>
      <c r="D27" s="83"/>
      <c r="E27" s="80">
        <v>5</v>
      </c>
      <c r="F27" s="81">
        <f>IFERROR(VLOOKUP($B27,Tarifa_all_20240711!$A$2:$G$660,5,FALSE()),"-")</f>
        <v>11.3025</v>
      </c>
      <c r="G27" s="81">
        <f t="shared" si="0"/>
        <v>56.512500000000003</v>
      </c>
      <c r="H27" s="1"/>
    </row>
    <row r="28" spans="1:8" x14ac:dyDescent="0.25">
      <c r="B28" s="16" t="s">
        <v>298</v>
      </c>
      <c r="C28" s="84" t="str">
        <f>IFERROR(VLOOKUP($B28,Tarifa_all_20240711!$A$2:$G$660,2,FALSE()),"-")</f>
        <v>Tope Domo Decor</v>
      </c>
      <c r="D28" s="84"/>
      <c r="E28" s="17">
        <v>8</v>
      </c>
      <c r="F28" s="18">
        <f>IFERROR(VLOOKUP($B28,Tarifa_all_20240711!$A$2:$G$660,5,FALSE()),"-")</f>
        <v>1.4175</v>
      </c>
      <c r="G28" s="18">
        <f t="shared" si="0"/>
        <v>11.34</v>
      </c>
      <c r="H28" s="1"/>
    </row>
    <row r="29" spans="1:8" x14ac:dyDescent="0.25">
      <c r="B29" s="16" t="s">
        <v>300</v>
      </c>
      <c r="C29" s="84" t="str">
        <f>IFERROR(VLOOKUP($B29,Tarifa_all_20240711!$A$2:$G$660,2,FALSE()),"-")</f>
        <v>PERFIL 3 MTS REDUCTOR PARA VIDRIO 6mm</v>
      </c>
      <c r="D29" s="84"/>
      <c r="E29" s="17">
        <v>6</v>
      </c>
      <c r="F29" s="18">
        <f>IFERROR(VLOOKUP($B29,Tarifa_all_20240711!$A$2:$G$660,5,FALSE()),"-")</f>
        <v>3.4275000000000002</v>
      </c>
      <c r="G29" s="18">
        <f t="shared" si="0"/>
        <v>20.565000000000001</v>
      </c>
      <c r="H29" s="1"/>
    </row>
    <row r="30" spans="1:8" x14ac:dyDescent="0.25">
      <c r="B30" s="16">
        <v>31229</v>
      </c>
      <c r="C30" s="84" t="str">
        <f>IFERROR(VLOOKUP($B30,Tarifa_all_20240711!$A$2:$G$660,2,FALSE()),"-")</f>
        <v>COMPLEMENTO FIJACION DOMO DECOR: BARRAS 3 MTS</v>
      </c>
      <c r="D30" s="84"/>
      <c r="E30" s="17">
        <v>4</v>
      </c>
      <c r="F30" s="18">
        <f>IFERROR(VLOOKUP($B30,Tarifa_all_20240711!$A$2:$G$660,5,FALSE()),"-")</f>
        <v>11.317499999999999</v>
      </c>
      <c r="G30" s="18">
        <f t="shared" si="0"/>
        <v>45.269999999999996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339.33749999999998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2"/>
      <c r="E52" s="82"/>
      <c r="F52" s="82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6" t="s">
        <v>78</v>
      </c>
      <c r="F2" s="86"/>
      <c r="G2" s="86"/>
    </row>
    <row r="3" spans="1:7" ht="18" customHeight="1" x14ac:dyDescent="0.35">
      <c r="E3" s="86" t="s">
        <v>1</v>
      </c>
      <c r="F3" s="86"/>
      <c r="G3" s="8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93" t="s">
        <v>79</v>
      </c>
      <c r="B6" s="93"/>
      <c r="C6" s="93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4" t="str">
        <f>'DESPIECE (MATANALYSIS)'!C8</f>
        <v>Aluminis Jaume</v>
      </c>
      <c r="C9" s="94"/>
      <c r="D9" s="94"/>
      <c r="F9" s="3" t="s">
        <v>81</v>
      </c>
      <c r="G9" s="44">
        <f ca="1">TODAY()</f>
        <v>45946</v>
      </c>
    </row>
    <row r="10" spans="1:7" x14ac:dyDescent="0.25">
      <c r="A10" s="3" t="s">
        <v>82</v>
      </c>
      <c r="B10" s="11" t="str">
        <f>'DESPIECE (MATANALYSIS)'!C9</f>
        <v>Clínica Estética Xàbia - V4</v>
      </c>
      <c r="C10" s="45"/>
      <c r="D10" s="45"/>
      <c r="E10" s="46"/>
      <c r="F10" s="47" t="s">
        <v>83</v>
      </c>
      <c r="G10" s="7">
        <f>'DESPIECE (MATANALYSIS)'!C7</f>
        <v>20250204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9"/>
      <c r="B46" s="89"/>
      <c r="C46" s="71"/>
      <c r="D46" s="71"/>
      <c r="E46" s="71"/>
      <c r="F46" s="72"/>
      <c r="G46" s="73"/>
    </row>
    <row r="47" spans="1:7" ht="22.7" customHeight="1" x14ac:dyDescent="0.25">
      <c r="A47" s="90" t="s">
        <v>99</v>
      </c>
      <c r="B47" s="90"/>
      <c r="C47" s="59"/>
      <c r="D47" s="59"/>
      <c r="E47" s="59"/>
      <c r="F47" s="91">
        <f>'DESPIECE (MATANALYSIS)'!G31</f>
        <v>339.33749999999998</v>
      </c>
      <c r="G47" s="91"/>
    </row>
    <row r="48" spans="1:7" s="1" customFormat="1" ht="22.7" customHeight="1" x14ac:dyDescent="0.25">
      <c r="A48" s="92" t="s">
        <v>100</v>
      </c>
      <c r="B48" s="92"/>
      <c r="C48" s="92"/>
      <c r="D48" s="92"/>
      <c r="E48" s="92"/>
      <c r="F48" s="92"/>
      <c r="G48" s="92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2025-10-16T08:47:08Z</cp:lastPrinted>
  <dcterms:created xsi:type="dcterms:W3CDTF">2024-04-15T12:43:19Z</dcterms:created>
  <dcterms:modified xsi:type="dcterms:W3CDTF">2025-10-16T09:08:16Z</dcterms:modified>
  <dc:language>es-ES</dc:language>
</cp:coreProperties>
</file>