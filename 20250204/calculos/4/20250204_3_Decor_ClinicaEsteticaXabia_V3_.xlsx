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3\"/>
    </mc:Choice>
  </mc:AlternateContent>
  <xr:revisionPtr revIDLastSave="0" documentId="13_ncr:1_{E54C8156-5812-40E5-8180-79601E552A58}" xr6:coauthVersionLast="47" xr6:coauthVersionMax="47" xr10:uidLastSave="{00000000-0000-0000-0000-000000000000}"/>
  <bookViews>
    <workbookView xWindow="2040" yWindow="330" windowWidth="23175" windowHeight="1434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<sst xmlns="http://schemas.openxmlformats.org/spreadsheetml/2006/main" count="5410" uniqueCount="1453">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</sst>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6" zoomScaleNormal="100" workbookViewId="0">
      <selection activeCell="B28" sqref="B28:D3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45988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85" t="str">
        <f>IFERROR(VLOOKUP($B13,Tarifa_all_20240711!$A$2:$G$660,2,FALSE()),"-")</f>
        <v>CARC.SIMPLE GUIA DESM.LAC.6 ESP.2-3 MTS</v>
      </c>
      <c r="D13" s="85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85" t="str">
        <f>IFERROR(VLOOKUP($B14,Tarifa_all_20240711!$A$2:$G$660,2,FALSE()),"-")</f>
        <v>GUIA SKY PLUS DESMONT.LAC.6 ESP.2-3 MTS</v>
      </c>
      <c r="D14" s="85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85" t="str">
        <f>IFERROR(VLOOKUP($B15,Tarifa_all_20240711!$A$2:$G$660,2,FALSE()),"-")</f>
        <v>KIT ANCLAJE TECHO PARA GUIA PLADUR PLUS DEMONTABLE</v>
      </c>
      <c r="D15" s="85"/>
      <c r="E15" s="17">
        <v>7</v>
      </c>
      <c r="F15" s="18">
        <f>IFERROR(VLOOKUP($B15,Tarifa_all_20240711!$A$2:$G$660,5,FALSE()),"-")</f>
        <v>11.737500000000001</v>
      </c>
      <c r="G15" s="18">
        <f t="shared" si="0"/>
        <v>82.162500000000009</v>
      </c>
      <c r="H15" s="1"/>
    </row>
    <row r="16" spans="1:12" x14ac:dyDescent="0.25">
      <c r="A16" t="s">
        <v>17</v>
      </c>
      <c r="B16" s="16" t="s">
        <v>566</v>
      </c>
      <c r="C16" s="85" t="str">
        <f>IFERROR(VLOOKUP($B16,Tarifa_all_20240711!$A$2:$G$660,2,FALSE()),"-")</f>
        <v>KIT AMORTIGUADOR SKY GUIA DESMONT. BIDIRECCIONAL 60KG</v>
      </c>
      <c r="D16" s="85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85" t="str">
        <f>IFERROR(VLOOKUP($B17,Tarifa_all_20240711!$A$2:$G$660,2,FALSE()),"-")</f>
        <v>KIT PUERTA PA CORREDERA LAC.BLANCO MATE 9003</v>
      </c>
      <c r="D17" s="85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5" t="str">
        <f>IFERROR(VLOOKUP($B18,Tarifa_all_20240711!$A$2:$G$660,2,FALSE()),"-")</f>
        <v>CARRO SKY MADERA 120KG</v>
      </c>
      <c r="D18" s="85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375</v>
      </c>
      <c r="C19" s="85" t="str">
        <f>IFERROR(VLOOKUP($B19,Tarifa_all_20240711!$A$2:$G$660,2,FALSE()),"-")</f>
        <v>TIRADOR RECT.ADH CAVE LAC.BLANCO MATE 9003: 2 UDS</v>
      </c>
      <c r="D19" s="85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85" t="str">
        <f>IFERROR(VLOOKUP($B20,Tarifa_all_20240711!$A$2:$G$660,2,FALSE()),"-")</f>
        <v>GUIADOR FIJO PA LAC.BLANCO MATE 9003</v>
      </c>
      <c r="D20" s="85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454</v>
      </c>
      <c r="C21" s="86" t="str">
        <f>IFERROR(VLOOKUP($B21,Tarifa_all_20240711!$A$2:$G$660,2,FALSE()),"-")</f>
        <v>PERFIL MINIMAL. D-DECOR FIJO BLANCO 9003 M 6,5 MT</v>
      </c>
      <c r="D21" s="86"/>
      <c r="E21" s="77">
        <v>1</v>
      </c>
      <c r="F21" s="78">
        <f>IFERROR(VLOOKUP($B21,Tarifa_all_20240711!$A$2:$G$660,5,FALSE()),"-")</f>
        <v>79.552499999999995</v>
      </c>
      <c r="G21" s="78">
        <f t="shared" si="0"/>
        <v>79.552499999999995</v>
      </c>
      <c r="H21" s="1"/>
    </row>
    <row r="22" spans="1:8" x14ac:dyDescent="0.25">
      <c r="B22" s="79" t="s">
        <v>464</v>
      </c>
      <c r="C22" s="88" t="str">
        <f>IFERROR(VLOOKUP($B22,Tarifa_all_20240711!$A$2:$G$660,2,FALSE()),"-")</f>
        <v>MARCO FIJOS 35MM D-DECOR FIJO BLANCO 9003 M 6,5 MT</v>
      </c>
      <c r="D22" s="88"/>
      <c r="E22" s="80">
        <v>1</v>
      </c>
      <c r="F22" s="81">
        <f>IFERROR(VLOOKUP($B22,Tarifa_all_20240711!$A$2:$G$660,5,FALSE()),"-")</f>
        <v>60.045000000000002</v>
      </c>
      <c r="G22" s="81">
        <f t="shared" si="0"/>
        <v>60.045000000000002</v>
      </c>
      <c r="H22" s="1"/>
    </row>
    <row r="23" spans="1:8" x14ac:dyDescent="0.25">
      <c r="B23" s="79" t="s">
        <v>444</v>
      </c>
      <c r="C23" s="88" t="str">
        <f>IFERROR(VLOOKUP($B23,Tarifa_all_20240711!$A$2:$G$660,2,FALSE()),"-")</f>
        <v>ANCLAJE TAPA 35MM D-DECOR FIJO BLAN 9003 M 6,5 MT</v>
      </c>
      <c r="D23" s="88"/>
      <c r="E23" s="80">
        <v>1</v>
      </c>
      <c r="F23" s="81">
        <f>IFERROR(VLOOKUP($B23,Tarifa_all_20240711!$A$2:$G$660,5,FALSE()),"-")</f>
        <v>29.0625</v>
      </c>
      <c r="G23" s="81">
        <f t="shared" si="0"/>
        <v>29.0625</v>
      </c>
      <c r="H23" s="1"/>
    </row>
    <row r="24" spans="1:8" x14ac:dyDescent="0.25">
      <c r="B24" s="79" t="s">
        <v>484</v>
      </c>
      <c r="C24" s="88" t="str">
        <f>IFERROR(VLOOKUP($B24,Tarifa_all_20240711!$A$2:$G$660,2,FALSE()),"-")</f>
        <v>TAPA MARCO 35MM D-DECOR FIJO BLANCO 9003 M. 6,5 MT</v>
      </c>
      <c r="D24" s="88"/>
      <c r="E24" s="80">
        <v>1</v>
      </c>
      <c r="F24" s="81">
        <f>IFERROR(VLOOKUP($B24,Tarifa_all_20240711!$A$2:$G$660,5,FALSE()),"-")</f>
        <v>24.487499999999997</v>
      </c>
      <c r="G24" s="81">
        <f t="shared" si="0"/>
        <v>24.487499999999997</v>
      </c>
      <c r="H24" s="1"/>
    </row>
    <row r="25" spans="1:8" x14ac:dyDescent="0.25">
      <c r="B25" s="79" t="s">
        <v>462</v>
      </c>
      <c r="C25" s="88" t="str">
        <f>IFERROR(VLOOKUP($B25,Tarifa_all_20240711!$A$2:$G$660,2,FALSE()),"-")</f>
        <v>MARCO FIJOS 35MM D-DECOR FIJO BLAN 9003 MATE 3 MT</v>
      </c>
      <c r="D25" s="88"/>
      <c r="E25" s="80">
        <v>1</v>
      </c>
      <c r="F25" s="81">
        <f>IFERROR(VLOOKUP($B25,Tarifa_all_20240711!$A$2:$G$660,5,FALSE()),"-")</f>
        <v>27.712500000000002</v>
      </c>
      <c r="G25" s="81">
        <f t="shared" si="0"/>
        <v>27.712500000000002</v>
      </c>
      <c r="H25" s="1"/>
    </row>
    <row r="26" spans="1:8" x14ac:dyDescent="0.25">
      <c r="B26" s="79" t="s">
        <v>442</v>
      </c>
      <c r="C26" s="88" t="str">
        <f>IFERROR(VLOOKUP($B26,Tarifa_all_20240711!$A$2:$G$660,2,FALSE()),"-")</f>
        <v>ANCLAJE TAPA 35MM D-DECOR FIJO BLANCO 9003 M 3 MT</v>
      </c>
      <c r="D26" s="88"/>
      <c r="E26" s="80">
        <v>1</v>
      </c>
      <c r="F26" s="81">
        <f>IFERROR(VLOOKUP($B26,Tarifa_all_20240711!$A$2:$G$660,5,FALSE()),"-")</f>
        <v>13.4175</v>
      </c>
      <c r="G26" s="81">
        <f t="shared" si="0"/>
        <v>13.4175</v>
      </c>
      <c r="H26" s="1"/>
    </row>
    <row r="27" spans="1:8" x14ac:dyDescent="0.25">
      <c r="B27" s="79" t="s">
        <v>482</v>
      </c>
      <c r="C27" s="88" t="str">
        <f>IFERROR(VLOOKUP($B27,Tarifa_all_20240711!$A$2:$G$660,2,FALSE()),"-")</f>
        <v>TAPA MARCO 35MM D-DECOR FIJO BLANCO 9003 MATE 3 MT</v>
      </c>
      <c r="D27" s="88"/>
      <c r="E27" s="80">
        <v>1</v>
      </c>
      <c r="F27" s="81">
        <f>IFERROR(VLOOKUP($B27,Tarifa_all_20240711!$A$2:$G$660,5,FALSE()),"-")</f>
        <v>11.3025</v>
      </c>
      <c r="G27" s="81">
        <f t="shared" si="0"/>
        <v>11.3025</v>
      </c>
      <c r="H27" s="1"/>
    </row>
    <row r="28" spans="1:8" x14ac:dyDescent="0.25">
      <c r="B28" s="16" t="s">
        <v>298</v>
      </c>
      <c r="C28" s="85" t="str">
        <f>IFERROR(VLOOKUP($B28,Tarifa_all_20240711!$A$2:$G$660,2,FALSE()),"-")</f>
        <v>Tope Domo Decor</v>
      </c>
      <c r="D28" s="85"/>
      <c r="E28" s="17">
        <v>8</v>
      </c>
      <c r="F28" s="18">
        <f>IFERROR(VLOOKUP($B28,Tarifa_all_20240711!$A$2:$G$660,5,FALSE()),"-")</f>
        <v>1.4175</v>
      </c>
      <c r="G28" s="18">
        <f t="shared" si="0"/>
        <v>11.34</v>
      </c>
      <c r="H28" s="1"/>
    </row>
    <row r="29" spans="1:8" x14ac:dyDescent="0.25">
      <c r="B29" s="16" t="s">
        <v>300</v>
      </c>
      <c r="C29" s="85" t="str">
        <f>IFERROR(VLOOKUP($B29,Tarifa_all_20240711!$A$2:$G$660,2,FALSE()),"-")</f>
        <v>PERFIL 3 MTS REDUCTOR PARA VIDRIO 6mm</v>
      </c>
      <c r="D29" s="85"/>
      <c r="E29" s="17">
        <v>6</v>
      </c>
      <c r="F29" s="18">
        <f>IFERROR(VLOOKUP($B29,Tarifa_all_20240711!$A$2:$G$660,5,FALSE()),"-")</f>
        <v>3.4275000000000002</v>
      </c>
      <c r="G29" s="18">
        <f t="shared" si="0"/>
        <v>20.565000000000001</v>
      </c>
      <c r="H29" s="1"/>
    </row>
    <row r="30" spans="1:8" x14ac:dyDescent="0.25">
      <c r="B30" s="16">
        <v>31229</v>
      </c>
      <c r="C30" s="85" t="str">
        <f>IFERROR(VLOOKUP($B30,Tarifa_all_20240711!$A$2:$G$660,2,FALSE()),"-")</f>
        <v>COMPLEMENTO FIJACION DOMO DECOR: BARRAS 3 MTS</v>
      </c>
      <c r="D30" s="85"/>
      <c r="E30" s="17">
        <v>6</v>
      </c>
      <c r="F30" s="18">
        <f>IFERROR(VLOOKUP($B30,Tarifa_all_20240711!$A$2:$G$660,5,FALSE()),"-")</f>
        <v>11.317499999999999</v>
      </c>
      <c r="G30" s="18">
        <f t="shared" si="0"/>
        <v>67.905000000000001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939.39750000000004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Aluminis Jaume</v>
      </c>
      <c r="C9" s="94"/>
      <c r="D9" s="94"/>
      <c r="F9" s="3" t="s">
        <v>81</v>
      </c>
      <c r="G9" s="44">
        <f ca="1">TODAY()</f>
        <v>45988</v>
      </c>
    </row>
    <row r="10" spans="1:7" x14ac:dyDescent="0.25">
      <c r="A10" s="3" t="s">
        <v>82</v>
      </c>
      <c r="B10" s="11" t="str">
        <f>'DESPIECE (MATANALYSIS)'!C9</f>
        <v>Clínica Estética Xàbia - V3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939.39750000000004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2025-11-27T12:06:00Z</dcterms:modified>
  <dc:language>es-ES</dc:language>
</cp:coreProperties>
</file>