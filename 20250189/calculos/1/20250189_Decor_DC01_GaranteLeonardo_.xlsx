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89\calculos\1\"/>
    </mc:Choice>
  </mc:AlternateContent>
  <xr:revisionPtr revIDLastSave="0" documentId="13_ncr:1_{9D9F9A8D-E68D-4E66-B50E-BCB2FB5029DA}" xr6:coauthVersionLast="47" xr6:coauthVersionMax="47" xr10:uidLastSave="{00000000-0000-0000-0000-000000000000}"/>
  <bookViews>
    <workbookView xWindow="-27765" yWindow="300" windowWidth="22830" windowHeight="148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<sst xmlns="http://schemas.openxmlformats.org/spreadsheetml/2006/main" count="5404" uniqueCount="1453">
  <si>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</si>
  <si>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</si>
  <si>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</si>
  <si>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</si>
  <si>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</si>
  <si>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</si>
  <si>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</si>
  <si>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</si>
  <si>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</si>
  <si>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</si>
  <si>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</si>
  <si>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</si>
  <si>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</si>
  <si>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</si>
  <si>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</si>
  <si>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</si>
  <si>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</si>
  <si>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</si>
  <si>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</si>
  <si>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</si>
  <si>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</si>
  <si>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</si>
  <si>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</si>
  <si>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</si>
  <si>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</si>
  <si>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</si>
  <si>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</si>
  <si>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</si>
  <si>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</si>
  <si>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</si>
  <si>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</si>
  <si>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</si>
  <si>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</si>
  <si>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</si>
  <si>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</si>
  <si>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</si>
  <si>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</si>
  <si>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</si>
  <si>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</si>
  <si>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</si>
  <si>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</si>
  <si>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</si>
  <si>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</si>
  <si>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</si>
  <si>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</si>
  <si>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</si>
  <si>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</si>
  <si>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</si>
  <si>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</si>
  <si>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</si>
  <si>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</si>
  <si>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</si>
  <si>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</si>
  <si>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</si>
  <si>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</si>
  <si>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</si>
  <si>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</si>
  <si>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</si>
  <si>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</si>
  <si>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</si>
  <si>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</si>
  <si>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</si>
  <si>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</si>
  <si>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</si>
  <si>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</si>
  <si>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</si>
  <si>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</si>
  <si>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</si>
  <si>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</si>
  <si>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</si>
  <si>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</si>
  <si>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</si>
  <si>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</si>
  <si>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</si>
  <si>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</si>
  <si>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</si>
  <si>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</si>
  <si>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</si>
  <si>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</si>
  <si>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</si>
  <si>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</si>
  <si>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</si>
  <si>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</si>
  <si>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</si>
  <si>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</si>
  <si>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</si>
  <si>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</si>
  <si>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</si>
  <si>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</si>
  <si>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</si>
  <si>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</si>
  <si>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</si>
  <si>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</si>
  <si>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</si>
  <si>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</si>
  <si>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</si>
  <si>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</si>
  <si>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</si>
  <si>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</si>
  <si>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</si>
  <si>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</si>
  <si>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</si>
  <si>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</si>
  <si>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</si>
  <si>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</si>
  <si>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</si>
  <si>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</si>
  <si>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</si>
  <si>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</si>
  <si>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</si>
  <si>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</si>
  <si>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</si>
  <si>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</si>
  <si>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</si>
  <si>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</si>
  <si>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</si>
  <si>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</si>
  <si>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</si>
  <si>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</si>
  <si>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</si>
  <si>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</si>
  <si>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</si>
  <si>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</si>
  <si>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</si>
  <si>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</si>
  <si>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</si>
  <si>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</si>
  <si>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</si>
  <si>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</si>
  <si>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</si>
  <si>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</si>
  <si>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</si>
  <si>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</si>
  <si>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</si>
  <si>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</si>
  <si>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</si>
  <si>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</si>
  <si>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</si>
  <si>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</si>
  <si>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</si>
  <si>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</si>
  <si>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</si>
  <si>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</si>
  <si>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</si>
  <si>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</si>
  <si>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</si>
  <si>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</si>
  <si>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</si>
  <si>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</si>
  <si>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</si>
  <si>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</si>
  <si>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</si>
  <si>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</si>
  <si>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</si>
  <si>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</si>
  <si>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</si>
  <si>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</si>
  <si>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</si>
  <si>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</si>
  <si>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</si>
  <si>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</si>
  <si>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</si>
  <si>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</si>
  <si>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</si>
  <si>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</si>
  <si>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</si>
  <si>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</si>
  <si>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</si>
  <si>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</si>
  <si>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</si>
  <si>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</si>
  <si>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</si>
  <si>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</si>
  <si>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</si>
  <si>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</si>
  <si>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</si>
  <si>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</si>
  <si>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</si>
  <si>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</si>
  <si>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</si>
  <si>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</si>
  <si>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</si>
  <si>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</si>
  <si>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</si>
  <si>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</si>
  <si>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</si>
  <si>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</si>
  <si>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</si>
  <si>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</si>
  <si>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</si>
  <si>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</si>
  <si>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</si>
  <si>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</si>
  <si>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</si>
  <si>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</si>
  <si>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</si>
  <si>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</si>
  <si>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</si>
  <si>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</si>
  <si>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</si>
  <si>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</si>
  <si>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</si>
  <si>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</si>
  <si>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</si>
  <si>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</si>
  <si>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</si>
  <si>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</si>
  <si>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</si>
  <si>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</si>
  <si>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</si>
  <si>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</si>
  <si>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</si>
  <si>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</si>
  <si>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</si>
  <si>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</si>
  <si>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</si>
  <si>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</si>
  <si>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</si>
  <si>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</si>
  <si>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</si>
  <si>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</si>
  <si>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</si>
  <si>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</si>
  <si>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</si>
  <si>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</si>
  <si>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</si>
  <si>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</si>
  <si>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</si>
  <si>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</si>
  <si>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</si>
  <si>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</si>
  <si>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</si>
  <si>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</si>
  <si>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</si>
  <si>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</si>
  <si>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</si>
  <si>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</si>
  <si>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</si>
  <si>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</si>
  <si>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</si>
  <si>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</si>
  <si>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</si>
  <si>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</si>
  <si>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</si>
  <si>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</si>
  <si>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</si>
  <si>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</si>
  <si>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</si>
  <si>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</si>
  <si>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</si>
  <si>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</si>
  <si>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</si>
  <si>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</si>
  <si>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</si>
  <si>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</si>
  <si>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</si>
  <si>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</si>
  <si>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</si>
  <si>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</si>
  <si>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</si>
  <si>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</si>
  <si>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</si>
  <si>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</si>
  <si>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</si>
  <si>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</si>
  <si>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</si>
  <si>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</si>
  <si>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</si>
  <si>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</si>
  <si>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</si>
  <si>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</si>
  <si>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</si>
  <si>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</si>
  <si>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</si>
  <si>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</si>
  <si>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</si>
  <si>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</si>
  <si>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</si>
  <si>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</si>
  <si>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</si>
  <si>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</si>
  <si>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</si>
  <si>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</si>
  <si>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</si>
  <si>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</si>
  <si>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</si>
  <si>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</si>
  <si>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</si>
  <si>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</si>
  <si>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</si>
  <si>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</si>
  <si>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</si>
  <si>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</si>
  <si>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</si>
  <si>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</si>
  <si>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</si>
  <si>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</si>
  <si>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</si>
  <si>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</si>
  <si>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</si>
  <si>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</si>
  <si>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</si>
  <si>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</si>
  <si>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</si>
  <si>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</si>
  <si>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</si>
  <si>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</si>
  <si>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</si>
  <si>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</si>
  <si>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</si>
  <si>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</si>
  <si>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</si>
  <si>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</si>
  <si>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</si>
  <si>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</si>
  <si>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</si>
  <si>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</si>
  <si>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</si>
  <si>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</si>
  <si>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</si>
  <si>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</si>
  <si>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</si>
  <si>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</si>
  <si>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</si>
  <si>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</si>
  <si>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</si>
  <si>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</si>
  <si>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</si>
  <si>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</si>
  <si>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</si>
  <si>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</si>
  <si>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</si>
  <si>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</si>
  <si>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</si>
  <si>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</si>
  <si>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</si>
  <si>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</si>
  <si>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</si>
  <si>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</si>
  <si>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</si>
  <si>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</si>
  <si>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</si>
  <si>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</si>
  <si>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</si>
  <si>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</si>
  <si>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</si>
  <si>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</si>
  <si>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</si>
  <si>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</si>
  <si>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</si>
  <si>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</si>
  <si>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</si>
  <si>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</si>
  <si>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</si>
  <si>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</si>
  <si>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</si>
  <si>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</si>
  <si>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</si>
  <si>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</si>
  <si>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</si>
  <si>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</si>
  <si>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</si>
  <si>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</si>
  <si>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</si>
  <si>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</si>
  <si>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</si>
  <si>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</si>
  <si>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</si>
  <si>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</si>
  <si>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</si>
  <si>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</si>
  <si>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</si>
  <si>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</si>
  <si>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</si>
  <si>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</si>
  <si>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</si>
  <si>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</si>
  <si>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</si>
  <si>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</si>
  <si>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</si>
  <si>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</si>
  <si>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</si>
  <si>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</si>
  <si>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</si>
  <si>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</si>
  <si>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</si>
  <si>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</si>
  <si>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</si>
  <si>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</si>
  <si>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</si>
  <si>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</si>
  <si>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</si>
  <si>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</si>
  <si>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</si>
  <si>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</si>
  <si>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</si>
  <si>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</si>
  <si>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</si>
  <si>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</si>
  <si>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</si>
  <si>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</si>
  <si>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</si>
  <si>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</si>
  <si>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</si>
  <si>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</si>
  <si>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</si>
  <si>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</si>
  <si>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</si>
  <si>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</si>
  <si>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</si>
  <si>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</si>
  <si>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</si>
  <si>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</si>
  <si>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</si>
  <si>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</si>
  <si>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</si>
  <si>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</si>
  <si>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</si>
  <si>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</si>
  <si>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</si>
  <si>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</si>
  <si>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</si>
  <si>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</si>
  <si>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</si>
  <si>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</si>
  <si>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</si>
  <si>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</si>
  <si>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</si>
  <si>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</si>
  <si>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</si>
  <si>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</si>
  <si>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</si>
  <si>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</si>
  <si>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</si>
  <si>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</si>
  <si>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</si>
  <si>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</si>
  <si>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</si>
  <si>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</si>
  <si>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</si>
  <si>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</si>
  <si>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</si>
  <si>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</si>
  <si>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</si>
  <si>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</si>
  <si>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</si>
  <si>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</si>
  <si>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</si>
  <si>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</si>
  <si>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</si>
  <si>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</si>
  <si>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</si>
  <si>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</si>
  <si>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</si>
  <si>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</si>
  <si>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</si>
  <si>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</si>
  <si>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</si>
  <si>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</si>
  <si>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</si>
  <si>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</si>
  <si>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</si>
  <si>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</si>
  <si>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</si>
  <si>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</si>
  <si>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</si>
  <si>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</si>
  <si>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</si>
  <si>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</si>
  <si>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</si>
  <si>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</si>
  <si>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</si>
  <si>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</si>
  <si>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</si>
  <si>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</si>
  <si>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</si>
  <si>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</si>
  <si>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</si>
  <si>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</si>
  <si>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</si>
  <si>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</si>
  <si>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</si>
  <si>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</si>
  <si>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</si>
  <si>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</si>
  <si>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</si>
  <si>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</si>
  <si>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</si>
  <si>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</si>
  <si>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</si>
  <si>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</si>
  <si>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</si>
  <si>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</si>
  <si>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</si>
  <si>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</si>
  <si>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</si>
  <si>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</si>
  <si>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</si>
  <si>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</si>
  <si>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</si>
  <si>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</si>
  <si>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</si>
  <si>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</si>
  <si>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</si>
  <si>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</si>
  <si>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</si>
  <si>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</si>
  <si>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</si>
  <si>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</si>
  <si>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</si>
  <si>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</si>
  <si>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</si>
  <si>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</si>
  <si>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</si>
  <si>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</si>
  <si>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</si>
  <si>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</si>
  <si>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</si>
  <si>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</si>
  <si>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</si>
  <si>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</si>
  <si>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</si>
  <si>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</si>
  <si>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</si>
  <si>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</si>
  <si>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</si>
  <si>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</si>
  <si>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</si>
  <si>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</si>
  <si>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</si>
  <si>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</si>
  <si>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</si>
  <si>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</si>
  <si>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</si>
  <si>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</si>
  <si>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</si>
  <si>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</si>
  <si>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</si>
  <si>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</si>
  <si>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</si>
  <si>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</si>
  <si>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</si>
  <si>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</si>
  <si>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</si>
  <si>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</si>
  <si>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</si>
  <si>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</si>
  <si>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</si>
  <si>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</si>
  <si>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</si>
  <si>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</si>
  <si>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</si>
  <si>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</si>
  <si>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</si>
  <si>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</si>
  <si>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</si>
  <si>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</si>
  <si>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</si>
  <si>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</si>
  <si>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</si>
  <si>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</si>
  <si>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</si>
  <si>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</si>
  <si>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</si>
  <si>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</si>
  <si>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</si>
  <si>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</si>
  <si>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</si>
  <si>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</si>
  <si>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</si>
  <si>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</si>
  <si>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</si>
  <si>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</si>
  <si>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</si>
  <si>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</si>
  <si>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</si>
  <si>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</si>
  <si>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</si>
  <si>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</si>
  <si>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</si>
  <si>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</si>
  <si>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</si>
  <si>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</si>
  <si>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</si>
  <si>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</si>
  <si>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</si>
  <si>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</si>
  <si>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</si>
  <si>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</si>
  <si>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</si>
  <si>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</si>
  <si>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</si>
  <si>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</si>
  <si>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</si>
  <si>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</si>
  <si>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</si>
  <si>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</si>
  <si>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</si>
  <si>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</si>
  <si>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</si>
  <si>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</si>
  <si>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</si>
  <si>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</si>
  <si>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</si>
  <si>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</si>
  <si>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</si>
  <si>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</si>
  <si>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</si>
  <si>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</si>
  <si>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</si>
  <si>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</si>
  <si>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</si>
  <si>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</si>
  <si>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</si>
  <si>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</si>
  <si>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</si>
  <si>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</si>
  <si>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</si>
  <si>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</si>
  <si>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</si>
  <si>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</si>
  <si>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</si>
  <si>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</si>
  <si>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</si>
  <si>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</si>
  <si>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</si>
  <si>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</si>
  <si>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</si>
  <si>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</si>
  <si>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</si>
  <si>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</si>
  <si>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</si>
  <si>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</si>
  <si>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</si>
  <si>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</si>
  <si>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</si>
  <si>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</si>
  <si>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</si>
  <si>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</si>
  <si>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</si>
  <si>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</si>
  <si>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</si>
  <si>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</si>
  <si>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</si>
  <si>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</si>
  <si>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</si>
  <si>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</si>
  <si>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</si>
  <si>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</si>
  <si>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</si>
  <si>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</si>
  <si>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</si>
  <si>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</si>
  <si>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</si>
  <si>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</si>
  <si>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</si>
  <si>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</si>
  <si>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</si>
  <si>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</si>
  <si>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</si>
  <si>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</si>
  <si>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</si>
  <si>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</si>
  <si>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</si>
  <si>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</si>
  <si>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</si>
  <si>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</si>
  <si>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</si>
  <si>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</si>
  <si>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</si>
  <si>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</si>
  <si>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</si>
  <si>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</si>
  <si>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</si>
  <si>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</si>
  <si>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</si>
  <si>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</si>
  <si>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</si>
  <si>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</si>
  <si>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</si>
  <si>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</si>
  <si>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</si>
  <si>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</si>
  <si>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</si>
  <si>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</si>
  <si>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</si>
  <si>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</si>
  <si>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</si>
  <si>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</si>
  <si>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</si>
  <si>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</si>
  <si>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</si>
  <si>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</si>
  <si>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</si>
  <si>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</si>
  <si>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</si>
  <si>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</si>
  <si>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</si>
  <si>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</si>
  <si>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</si>
  <si>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</si>
  <si>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</si>
  <si>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</si>
  <si>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</si>
  <si>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</si>
  <si>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</si>
  <si>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</si>
  <si>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</si>
  <si>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</si>
  <si>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</si>
  <si>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</si>
  <si>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</si>
  <si>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</si>
  <si>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</si>
  <si>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</si>
  <si>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</si>
  <si>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</si>
  <si>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</si>
  <si>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</si>
  <si>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</si>
  <si>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</si>
  <si>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</si>
  <si>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</si>
  <si>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</si>
  <si>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</si>
  <si>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</si>
  <si>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</si>
  <si>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</si>
  <si>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</si>
  <si>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</si>
  <si>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</si>
  <si>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</si>
  <si>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</si>
  <si>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</si>
  <si>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</si>
  <si>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</si>
  <si>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</si>
  <si>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</si>
  <si>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</si>
  <si>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</si>
  <si>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</si>
  <si>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</si>
  <si>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</si>
  <si>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</si>
  <si>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</si>
  <si>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</si>
  <si>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</si>
  <si>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</si>
  <si>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</si>
  <si>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</si>
  <si>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</si>
  <si>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</si>
  <si>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</si>
  <si>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</si>
  <si>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</si>
  <si>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</si>
  <si>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</si>
  <si>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</si>
  <si>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</si>
  <si>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</si>
  <si>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</si>
  <si>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</si>
  <si>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</si>
  <si>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</si>
  <si>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</si>
  <si>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</si>
  <si>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</si>
  <si>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</si>
  <si>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</si>
  <si>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</si>
  <si>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</si>
  <si>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</si>
  <si>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</si>
  <si>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</si>
  <si>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</si>
  <si>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</si>
  <si>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</si>
  <si>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</si>
  <si>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</si>
  <si>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</si>
  <si>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</si>
  <si>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</si>
  <si>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</si>
  <si>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</si>
  <si>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</si>
  <si>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</si>
  <si>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</si>
  <si>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</si>
  <si>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</si>
  <si>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</si>
  <si>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</si>
  <si>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</si>
  <si>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</si>
  <si>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</si>
  <si>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</si>
  <si>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</si>
  <si>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</si>
  <si>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</si>
  <si>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</si>
  <si>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</si>
  <si>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</si>
  <si>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</si>
  <si>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</si>
  <si>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</si>
  <si>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</si>
  <si>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</si>
  <si>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</si>
  <si>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</si>
  <si>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</si>
  <si>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</si>
  <si>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</si>
  <si>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</si>
  <si>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</si>
  <si>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</si>
  <si>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</si>
  <si>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</si>
  <si>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</si>
  <si>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</si>
  <si>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</si>
  <si>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</si>
  <si>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</si>
  <si>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</si>
  <si>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</si>
  <si>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</si>
  <si>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</si>
  <si>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</si>
  <si>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</si>
  <si>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</si>
  <si>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</si>
  <si>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</si>
  <si>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</si>
  <si>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</si>
  <si>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</si>
  <si>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</si>
  <si>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</si>
  <si>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</si>
  <si>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</si>
  <si>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</si>
  <si>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</si>
  <si>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</si>
  <si>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</si>
  <si>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</si>
  <si>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</si>
  <si>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</si>
  <si>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</si>
  <si>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</si>
  <si>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</si>
  <si>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</si>
  <si>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</si>
  <si>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</si>
  <si>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</si>
  <si>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</si>
  <si>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</si>
  <si>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</si>
  <si>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</si>
  <si>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</si>
  <si>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</si>
  <si>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</si>
  <si>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</si>
  <si>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</si>
  <si>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</si>
  <si>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</si>
  <si>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</si>
  <si>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</si>
  <si>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</si>
  <si>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</si>
  <si>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</si>
  <si>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</si>
  <si>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</si>
  <si>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</si>
  <si>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</si>
  <si>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</si>
  <si>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</si>
  <si>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</si>
  <si>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</si>
  <si>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</si>
  <si>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</si>
  <si>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</si>
  <si>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</si>
  <si>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</si>
  <si>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</si>
  <si>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</si>
  <si>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</si>
  <si>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</si>
  <si>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</si>
  <si>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</si>
  <si>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</si>
  <si>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</si>
  <si>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</si>
  <si>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</si>
  <si>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</si>
  <si>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</si>
  <si>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</si>
  <si>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</si>
  <si>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</si>
  <si>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</si>
  <si>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</si>
  <si>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</si>
  <si>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</si>
  <si>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</si>
  <si>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</si>
  <si>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</si>
  <si>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</si>
  <si>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</si>
  <si>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</si>
  <si>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</si>
  <si>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</si>
  <si>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</si>
  <si>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</si>
  <si>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</si>
  <si>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</si>
  <si>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</si>
  <si>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</si>
  <si>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</si>
  <si>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</si>
  <si>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</si>
  <si>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</si>
  <si>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</si>
  <si>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</si>
  <si>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</si>
  <si>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</si>
  <si>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</si>
  <si>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</si>
  <si>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</si>
  <si>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</si>
  <si>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</si>
  <si>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</si>
  <si>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</si>
  <si>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</si>
  <si>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</si>
  <si>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</si>
  <si>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</si>
  <si>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</si>
  <si>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</si>
  <si>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</si>
  <si>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</si>
  <si>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</si>
  <si>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</si>
  <si>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</si>
  <si>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</si>
  <si>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</si>
  <si>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</si>
  <si>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</si>
  <si>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</si>
  <si>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</si>
  <si>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</si>
  <si>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</si>
  <si>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</si>
  <si>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</si>
  <si>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</si>
  <si>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</si>
  <si>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</si>
  <si>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</si>
  <si>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</si>
  <si>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</si>
  <si>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</si>
  <si>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</si>
  <si>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</si>
  <si>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</si>
  <si>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</si>
  <si>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</si>
  <si>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</si>
  <si>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</si>
  <si>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</si>
  <si>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</si>
  <si>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</si>
  <si>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</si>
  <si>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</si>
  <si>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</si>
  <si>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</si>
  <si>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</si>
  <si>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</si>
  <si>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</si>
  <si>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</si>
  <si>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</si>
  <si>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</si>
  <si>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</si>
  <si>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</si>
  <si>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</si>
  <si>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</si>
  <si>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</si>
  <si>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</si>
  <si>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</si>
  <si>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</si>
  <si>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</si>
  <si>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</si>
  <si>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</si>
  <si>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</si>
  <si>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</si>
  <si>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</si>
  <si>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</si>
  <si>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</si>
  <si>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</si>
  <si>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</si>
  <si>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</si>
  <si>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</si>
  <si>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</si>
  <si>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</si>
  <si>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</si>
  <si>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</si>
  <si>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</si>
  <si>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</si>
  <si>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</si>
  <si>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</si>
  <si>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</si>
  <si>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</si>
  <si>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</si>
  <si>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</si>
  <si>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</si>
  <si>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</si>
  <si>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</si>
  <si>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</si>
  <si>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</si>
  <si>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</si>
  <si>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</si>
  <si>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</si>
  <si>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</si>
  <si>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</si>
  <si>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</si>
  <si>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</si>
  <si>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</si>
  <si>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</si>
  <si>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</si>
  <si>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</si>
  <si>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</si>
  <si>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</si>
  <si>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</si>
  <si>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</si>
  <si>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</si>
  <si>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</si>
  <si>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</si>
  <si>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</si>
  <si>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</si>
  <si>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</si>
  <si>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</si>
  <si>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</si>
  <si>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</si>
  <si>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</si>
  <si>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</si>
  <si>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</si>
  <si>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</si>
  <si>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</si>
  <si>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</si>
  <si>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</si>
  <si>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</si>
  <si>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</si>
  <si>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</si>
  <si>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</si>
  <si>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</si>
  <si>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</si>
  <si>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</si>
  <si>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</si>
  <si>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</si>
  <si>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</si>
  <si>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</si>
  <si>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</si>
  <si>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</si>
  <si>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</si>
  <si>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</si>
  <si>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</si>
  <si>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</si>
  <si>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</si>
  <si>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</si>
  <si>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</si>
  <si>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</si>
  <si>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</si>
  <si>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</si>
  <si>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</si>
  <si>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</si>
  <si>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</si>
  <si>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</si>
  <si>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</si>
  <si>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</si>
  <si>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</si>
  <si>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</si>
  <si>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</si>
  <si>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</si>
  <si>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</si>
  <si>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</si>
  <si>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</si>
  <si>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</si>
  <si>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</si>
  <si>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</si>
  <si>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</si>
  <si>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</si>
  <si>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</si>
  <si>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</si>
  <si>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</si>
  <si>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</si>
  <si>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</si>
  <si>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</si>
  <si>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</si>
  <si>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</si>
  <si>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</si>
  <si>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</si>
  <si>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</si>
  <si>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</si>
  <si>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</si>
  <si>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</si>
  <si>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</si>
  <si>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</si>
  <si>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</si>
  <si>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</si>
  <si>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</si>
  <si>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</si>
  <si>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</si>
  <si>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</si>
  <si>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</si>
  <si>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</si>
  <si>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</si>
  <si>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</si>
  <si>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</si>
  <si>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</si>
  <si>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</si>
  <si>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</si>
  <si>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</si>
  <si>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</si>
  <si>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</si>
  <si>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</si>
  <si>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</si>
  <si>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</si>
  <si>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</si>
  <si>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</si>
  <si>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</si>
  <si>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</si>
  <si>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</si>
  <si>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</si>
  <si>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</si>
  <si>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</si>
  <si>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</si>
  <si>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</si>
  <si>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</si>
  <si>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</si>
  <si>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</si>
  <si>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</si>
  <si>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</si>
  <si>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</si>
  <si>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</si>
  <si>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</si>
  <si>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</si>
  <si>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</si>
  <si>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</si>
  <si>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</si>
  <si>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</si>
  <si>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</si>
  <si>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</si>
  <si>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</si>
  <si>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</si>
  <si>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</si>
  <si>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</si>
  <si>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</si>
  <si>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</si>
  <si>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</si>
  <si>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</si>
  <si>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</si>
  <si>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</si>
  <si>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</si>
  <si>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</si>
  <si>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</si>
  <si>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</si>
  <si>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</si>
  <si>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</si>
  <si>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</si>
  <si>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</si>
  <si>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</si>
  <si>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</si>
  <si>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</si>
  <si>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</si>
  <si>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</si>
  <si>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</si>
  <si>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</si>
  <si>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</si>
  <si>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</si>
  <si>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</si>
  <si>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</si>
  <si>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</si>
  <si>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</si>
  <si>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</si>
  <si>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</si>
  <si>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</si>
  <si>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</si>
  <si>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</si>
  <si>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</si>
  <si>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</si>
  <si>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</si>
  <si>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</si>
  <si>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</si>
  <si>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</si>
  <si>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</si>
  <si>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</si>
  <si>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</si>
  <si>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</si>
  <si>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</si>
  <si>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</si>
  <si>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</si>
  <si>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</si>
  <si>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</si>
  <si>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</si>
  <si>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</si>
  <si>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</si>
  <si>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</si>
  <si>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</si>
  <si>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</si>
  <si>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</si>
  <si>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</si>
  <si>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</si>
  <si>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</si>
  <si>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</si>
  <si>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</si>
  <si>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</si>
  <si>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</si>
  <si>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</si>
  <si>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</si>
  <si>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</si>
  <si>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</si>
  <si>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</si>
  <si>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</si>
  <si>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</si>
  <si>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</si>
  <si>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</si>
  <si>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</si>
  <si>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</si>
  <si>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</si>
  <si>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</si>
  <si>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</si>
  <si>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</si>
  <si>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</si>
  <si>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</si>
  <si>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</si>
  <si>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</si>
  <si>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</si>
  <si>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</si>
  <si>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</si>
  <si>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</si>
  <si>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</si>
  <si>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</si>
  <si>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</si>
  <si>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</si>
  <si>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</si>
  <si>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</si>
  <si>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</si>
  <si>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</si>
  <si>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</si>
  <si>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</si>
  <si>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</si>
  <si>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</si>
  <si>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</si>
  <si>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</si>
  <si>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</si>
  <si>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</si>
  <si>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</si>
  <si>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</si>
  <si>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</si>
  <si>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</si>
  <si>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</si>
  <si>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</si>
  <si>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</si>
  <si>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</si>
  <si>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</si>
  <si>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</si>
  <si>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</si>
  <si>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</si>
  <si>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</si>
  <si>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</si>
  <si>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</si>
  <si>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</si>
  <si>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</si>
  <si>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</si>
  <si>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</si>
  <si>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</si>
  <si>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</si>
  <si>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</si>
  <si>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</si>
  <si>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</si>
  <si>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</si>
  <si>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</si>
  <si>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</si>
  <si>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</si>
  <si>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</si>
  <si>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</si>
  <si>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</si>
  <si>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</si>
  <si>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</si>
  <si>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</si>
  <si>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</si>
  <si>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</si>
  <si>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</si>
  <si>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</si>
  <si>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</si>
  <si>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</si>
  <si>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</si>
  <si>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</si>
  <si>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</si>
  <si>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</si>
  <si>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</si>
  <si>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</si>
  <si>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</si>
  <si>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</si>
  <si>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</si>
  <si>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</si>
  <si>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</si>
  <si>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</si>
  <si>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</si>
  <si>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</si>
  <si>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</si>
  <si>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</si>
  <si>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</si>
  <si>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</si>
  <si>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</si>
  <si>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</si>
  <si>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</si>
  <si>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</si>
  <si>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</si>
  <si>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</si>
  <si>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</si>
  <si>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</si>
  <si>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</si>
  <si>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</si>
  <si>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</si>
  <si>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</si>
  <si>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</si>
  <si>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</si>
  <si>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</si>
  <si>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</si>
  <si>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</si>
  <si>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</si>
  <si>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</si>
  <si>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</si>
  <si>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</si>
  <si>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</si>
  <si>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</si>
  <si>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</si>
  <si>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</si>
  <si>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</si>
  <si>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</si>
  <si>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</si>
  <si>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</si>
  <si>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</si>
  <si>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</si>
  <si>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</si>
  <si>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</si>
  <si>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</si>
  <si>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</si>
  <si>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</si>
  <si>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</si>
  <si>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</si>
  <si>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</si>
  <si>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</si>
  <si>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</si>
  <si>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</si>
  <si>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</si>
  <si>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</si>
  <si>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</si>
  <si>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</si>
  <si>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</si>
  <si>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</si>
  <si>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</si>
  <si>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</si>
  <si>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</si>
  <si>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</si>
  <si>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</si>
  <si>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</si>
  <si>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</si>
  <si>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</si>
  <si>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</si>
  <si>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</si>
  <si>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</si>
  <si>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</si>
  <si>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</si>
  <si>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</si>
  <si>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</si>
  <si>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</si>
  <si>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</si>
  <si>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</si>
  <si>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</si>
  <si>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</si>
  <si>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</si>
  <si>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</si>
  <si>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</si>
  <si>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</si>
  <si>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</si>
  <si>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</si>
  <si>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</si>
  <si>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</si>
  <si>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</si>
  <si>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</si>
  <si>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</si>
  <si>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</si>
  <si>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</si>
  <si>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</si>
  <si>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</si>
  <si>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</si>
  <si>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</si>
  <si>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</si>
  <si>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</si>
  <si>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</si>
  <si>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</si>
  <si>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</si>
  <si>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</si>
  <si>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</si>
  <si>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</si>
  <si>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</si>
  <si>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</si>
  <si>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</si>
  <si>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</si>
  <si>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</si>
  <si>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</si>
  <si>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</si>
  <si>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</si>
  <si>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</si>
  <si>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</si>
  <si>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</si>
  <si>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</si>
  <si>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</si>
  <si>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</si>
  <si>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</si>
  <si>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</si>
  <si>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</si>
  <si>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</si>
  <si>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</si>
  <si>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</si>
  <si>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</si>
  <si>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</si>
  <si>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</si>
  <si>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</si>
  <si>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</si>
  <si>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</si>
  <si>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</si>
  <si>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</si>
  <si>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</si>
  <si>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</si>
  <si>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</si>
  <si>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</si>
  <si>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</si>
  <si>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</si>
  <si>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</si>
  <si>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</si>
  <si>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</si>
  <si>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</si>
  <si>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</si>
  <si>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</si>
  <si>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</si>
  <si>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</si>
  <si>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</si>
  <si>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</si>
  <si>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</si>
  <si>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</si>
  <si>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</si>
  <si>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</si>
  <si>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</si>
  <si>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</si>
  <si>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Cristallum Gandia</t>
  </si>
  <si>
    <t>Valeria Garante 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</si>
</sst>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topLeftCell="A2" zoomScaleNormal="95" zoomScaleSheetLayoutView="100" workbookViewId="0">
      <selection activeCell="E23" sqref="E2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20250189</v>
      </c>
      <c r="G7" s="8">
        <f ca="1">TODAY()</f>
        <v>45929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1322</v>
      </c>
      <c r="C13" s="80" t="str">
        <f>IFERROR(VLOOKUP($B13,Tarifa_all_20240711!$A$2:$G$660,2,FALSE()),"-")</f>
        <v>CASC.TRIPLE GUIA DESM.LAC.6 ESP.2-6 MTS</v>
      </c>
      <c r="D13" s="80"/>
      <c r="E13" s="17">
        <v>1</v>
      </c>
      <c r="F13" s="18">
        <f>IFERROR(VLOOKUP($B13,Tarifa_all_20240711!$A$2:$G$660,5,FALSE()),"-")</f>
        <v>435.48749999999995</v>
      </c>
      <c r="G13" s="18">
        <f t="shared" ref="G13:G30" si="0">IFERROR(E13*F13,"-")</f>
        <v>435.48749999999995</v>
      </c>
      <c r="H13" s="1"/>
    </row>
    <row r="14" spans="1:12" x14ac:dyDescent="0.25">
      <c r="A14" t="s">
        <v>15</v>
      </c>
      <c r="B14" s="16" t="s">
        <v>982</v>
      </c>
      <c r="C14" s="80" t="str">
        <f>IFERROR(VLOOKUP($B14,Tarifa_all_20240711!$A$2:$G$660,2,FALSE()),"-")</f>
        <v>GUIA SKY PLUS DESMONT.LAC.6 ESP.2-6 MTS</v>
      </c>
      <c r="D14" s="80"/>
      <c r="E14" s="17">
        <v>3</v>
      </c>
      <c r="F14" s="18">
        <f>IFERROR(VLOOKUP($B14,Tarifa_all_20240711!$A$2:$G$660,5,FALSE()),"-")</f>
        <v>143.715</v>
      </c>
      <c r="G14" s="18">
        <f t="shared" si="0"/>
        <v>431.14499999999998</v>
      </c>
      <c r="H14" s="1"/>
    </row>
    <row r="15" spans="1:12" x14ac:dyDescent="0.25">
      <c r="A15" t="s">
        <v>16</v>
      </c>
      <c r="B15" s="16" t="s">
        <v>297</v>
      </c>
      <c r="C15" s="80" t="str">
        <f>IFERROR(VLOOKUP($B15,Tarifa_all_20240711!$A$2:$G$660,2,FALSE()),"-")</f>
        <v>KIT ANCLAJE TECHO PARA GUIA PLADUR PLUS DEMONTABLE</v>
      </c>
      <c r="D15" s="80"/>
      <c r="E15" s="17">
        <v>9</v>
      </c>
      <c r="F15" s="18">
        <f>IFERROR(VLOOKUP($B15,Tarifa_all_20240711!$A$2:$G$660,5,FALSE()),"-")</f>
        <v>11.737500000000001</v>
      </c>
      <c r="G15" s="18">
        <f t="shared" si="0"/>
        <v>105.6375</v>
      </c>
      <c r="H15" s="1"/>
    </row>
    <row r="16" spans="1:12" x14ac:dyDescent="0.25">
      <c r="A16" t="s">
        <v>17</v>
      </c>
      <c r="B16" s="16" t="s">
        <v>568</v>
      </c>
      <c r="C16" s="80" t="str">
        <f>IFERROR(VLOOKUP($B16,Tarifa_all_20240711!$A$2:$G$660,2,FALSE()),"-")</f>
        <v>KIT AMORTIGUADOR SKY GUIA DESMONT. BIDIRECCIONAL 80KG</v>
      </c>
      <c r="D16" s="80"/>
      <c r="E16" s="17">
        <v>3</v>
      </c>
      <c r="F16" s="18">
        <f>IFERROR(VLOOKUP($B16,Tarifa_all_20240711!$A$2:$G$660,5,FALSE()),"-")</f>
        <v>31.8675</v>
      </c>
      <c r="G16" s="18">
        <f t="shared" si="0"/>
        <v>95.602499999999992</v>
      </c>
      <c r="H16" s="1"/>
    </row>
    <row r="17" spans="1:8" x14ac:dyDescent="0.25">
      <c r="A17" t="s">
        <v>18</v>
      </c>
      <c r="B17" s="16" t="s">
        <v>134</v>
      </c>
      <c r="C17" s="80" t="str">
        <f>IFERROR(VLOOKUP($B17,Tarifa_all_20240711!$A$2:$G$660,2,FALSE()),"-")</f>
        <v>KIT PUERTA PA CORREDERA LAC.NEGRO TEXTURADO</v>
      </c>
      <c r="D17" s="80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1"/>
    </row>
    <row r="18" spans="1:8" x14ac:dyDescent="0.25">
      <c r="A18" t="s">
        <v>19</v>
      </c>
      <c r="B18" s="16" t="s">
        <v>337</v>
      </c>
      <c r="C18" s="80" t="str">
        <f>IFERROR(VLOOKUP($B18,Tarifa_all_20240711!$A$2:$G$660,2,FALSE()),"-")</f>
        <v>CARRO SKY MADERA 120KG</v>
      </c>
      <c r="D18" s="80"/>
      <c r="E18" s="17">
        <v>3</v>
      </c>
      <c r="F18" s="18">
        <f>IFERROR(VLOOKUP($B18,Tarifa_all_20240711!$A$2:$G$660,5,FALSE()),"-")</f>
        <v>29.954999999999998</v>
      </c>
      <c r="G18" s="18">
        <f t="shared" si="0"/>
        <v>89.864999999999995</v>
      </c>
      <c r="H18" s="1"/>
    </row>
    <row r="19" spans="1:8" x14ac:dyDescent="0.25">
      <c r="A19" t="s">
        <v>20</v>
      </c>
      <c r="B19" s="16" t="s">
        <v>515</v>
      </c>
      <c r="C19" s="80" t="str">
        <f>IFERROR(VLOOKUP($B19,Tarifa_all_20240711!$A$2:$G$660,2,FALSE()),"-")</f>
        <v>TIRADOR RECT.ADH CAVE LAC.NEGRO TEXTURADO: 2 UDS</v>
      </c>
      <c r="D19" s="80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80" t="str">
        <f>IFERROR(VLOOKUP($B20,Tarifa_all_20240711!$A$2:$G$660,2,FALSE()),"-")</f>
        <v>GUIADOR FIJO PA LAC.NEGRO TEXTURADO</v>
      </c>
      <c r="D20" s="80"/>
      <c r="E20" s="17">
        <v>3</v>
      </c>
      <c r="F20" s="18">
        <f>IFERROR(VLOOKUP($B20,Tarifa_all_20240711!$A$2:$G$660,5,FALSE()),"-")</f>
        <v>8.61</v>
      </c>
      <c r="G20" s="18">
        <f t="shared" si="0"/>
        <v>25.83</v>
      </c>
      <c r="H20" s="1"/>
    </row>
    <row r="21" spans="1:8" x14ac:dyDescent="0.25">
      <c r="A21" t="s">
        <v>22</v>
      </c>
      <c r="B21" s="76" t="s">
        <v>143</v>
      </c>
      <c r="C21" s="81" t="str">
        <f>IFERROR(VLOOKUP($B21,Tarifa_all_20240711!$A$2:$G$660,2,FALSE()),"-")</f>
        <v>PERFIL EMBELL.HORIZ. ADH LAC.NEGRO TEXTURADO</v>
      </c>
      <c r="D21" s="81"/>
      <c r="E21" s="77">
        <v>6</v>
      </c>
      <c r="F21" s="78">
        <f>IFERROR(VLOOKUP($B21,Tarifa_all_20240711!$A$2:$G$660,5,FALSE()),"-")</f>
        <v>21.794999999999998</v>
      </c>
      <c r="G21" s="78">
        <f t="shared" si="0"/>
        <v>130.76999999999998</v>
      </c>
      <c r="H21" s="1"/>
    </row>
    <row r="22" spans="1:8" x14ac:dyDescent="0.25">
      <c r="B22" s="16" t="s">
        <v>328</v>
      </c>
      <c r="C22" s="80" t="str">
        <f>IFERROR(VLOOKUP($B22,Tarifa_all_20240711!$A$2:$G$660,2,FALSE()),"-")</f>
        <v>ARRASTRE PUERTA PA DCHA LAC.NEGRO MATE</v>
      </c>
      <c r="D22" s="80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8" x14ac:dyDescent="0.25">
      <c r="B23" s="16" t="s">
        <v>333</v>
      </c>
      <c r="C23" s="80" t="str">
        <f>IFERROR(VLOOKUP($B23,Tarifa_all_20240711!$A$2:$G$660,2,FALSE()),"-")</f>
        <v>ARRASTRE PUERTA PA IZQ LAC.NEGRO MATE</v>
      </c>
      <c r="D23" s="80"/>
      <c r="E23" s="17">
        <v>1</v>
      </c>
      <c r="F23" s="18">
        <f>IFERROR(VLOOKUP($B23,Tarifa_all_20240711!$A$2:$G$660,5,FALSE()),"-")</f>
        <v>13.86</v>
      </c>
      <c r="G23" s="18">
        <f t="shared" si="0"/>
        <v>13.86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2107.2675000000004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9"/>
      <c r="E52" s="79"/>
      <c r="F52" s="79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Cristallum Gandia</v>
      </c>
      <c r="C9" s="90"/>
      <c r="D9" s="90"/>
      <c r="F9" s="3" t="s">
        <v>81</v>
      </c>
      <c r="G9" s="44">
        <f ca="1">TODAY()</f>
        <v>45929</v>
      </c>
    </row>
    <row r="10" spans="1:7" x14ac:dyDescent="0.25">
      <c r="A10" s="3" t="s">
        <v>82</v>
      </c>
      <c r="B10" s="11" t="str">
        <f>'DESPIECE (MATANALYSIS)'!C9</f>
        <v>Valeria Garante Leonardo</v>
      </c>
      <c r="C10" s="45"/>
      <c r="D10" s="45"/>
      <c r="E10" s="46"/>
      <c r="F10" s="47" t="s">
        <v>83</v>
      </c>
      <c r="G10" s="7">
        <f>'DESPIECE (MATANALYSIS)'!C7</f>
        <v>20250189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99</v>
      </c>
      <c r="B47" s="86"/>
      <c r="C47" s="59"/>
      <c r="D47" s="59"/>
      <c r="E47" s="59"/>
      <c r="F47" s="87">
        <f>'DESPIECE (MATANALYSIS)'!G31</f>
        <v>2107.2675000000004</v>
      </c>
      <c r="G47" s="87"/>
    </row>
    <row r="48" spans="1:7" s="1" customFormat="1" ht="22.7" customHeight="1" x14ac:dyDescent="0.25">
      <c r="A48" s="88" t="s">
        <v>100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2025-09-29T08:05:20Z</cp:lastPrinted>
  <dcterms:created xsi:type="dcterms:W3CDTF">2024-04-15T12:43:19Z</dcterms:created>
  <dcterms:modified xsi:type="dcterms:W3CDTF">2025-09-29T08:11:56Z</dcterms:modified>
  <dc:language>es-ES</dc:language>
</cp:coreProperties>
</file>