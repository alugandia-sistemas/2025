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47AB55FE-0275-4E5D-B179-C617B4FFC3D9}" xr6:coauthVersionLast="47" xr6:coauthVersionMax="47" xr10:uidLastSave="{00000000-0000-0000-0000-000000000000}"/>
  <bookViews>
    <workbookView xWindow="-28905" yWindow="0" windowWidth="14610" windowHeight="1558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<sst xmlns="http://schemas.openxmlformats.org/spreadsheetml/2006/main" count="5395" uniqueCount="1449">
  <si>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</si>
  <si>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</si>
  <si>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</si>
  <si>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</si>
  <si>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</si>
  <si>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</si>
  <si>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</si>
  <si>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</si>
  <si>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</si>
  <si>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</si>
  <si>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</si>
  <si>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</si>
  <si>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</si>
  <si>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</si>
  <si>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</si>
  <si>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</si>
  <si>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</si>
  <si>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</si>
  <si>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</si>
  <si>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</si>
  <si>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</si>
  <si>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</si>
  <si>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</si>
  <si>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</si>
  <si>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</si>
  <si>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</si>
  <si>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</si>
  <si>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</si>
  <si>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</si>
  <si>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</si>
  <si>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</si>
  <si>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</si>
  <si>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</si>
  <si>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</si>
  <si>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</si>
  <si>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</si>
  <si>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</si>
  <si>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</si>
  <si>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</si>
  <si>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</si>
  <si>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</si>
  <si>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</si>
  <si>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</si>
  <si>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</si>
  <si>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</si>
  <si>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</si>
  <si>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</si>
  <si>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</si>
  <si>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</si>
  <si>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</si>
  <si>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</si>
  <si>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</si>
  <si>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</si>
  <si>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</si>
  <si>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</si>
  <si>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</si>
  <si>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</si>
  <si>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</si>
  <si>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</si>
  <si>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</si>
  <si>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</si>
  <si>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</si>
  <si>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</si>
  <si>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</si>
  <si>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</si>
  <si>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</si>
  <si>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</si>
  <si>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</si>
  <si>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</si>
  <si>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</si>
  <si>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</si>
  <si>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</si>
  <si>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</si>
  <si>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</si>
  <si>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</si>
  <si>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</si>
  <si>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</si>
  <si>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</si>
  <si>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</si>
  <si>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</si>
  <si>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</si>
  <si>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</si>
  <si>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</si>
  <si>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</si>
  <si>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</si>
  <si>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</si>
  <si>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</si>
  <si>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</si>
  <si>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</si>
  <si>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</si>
  <si>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</si>
  <si>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</si>
  <si>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</si>
  <si>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</si>
  <si>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</si>
  <si>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</si>
  <si>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</si>
  <si>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</si>
  <si>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</si>
  <si>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</si>
  <si>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</si>
  <si>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</si>
  <si>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</si>
  <si>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</si>
  <si>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</si>
  <si>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</si>
  <si>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</si>
  <si>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</si>
  <si>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</si>
  <si>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</si>
  <si>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</si>
  <si>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</si>
  <si>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</si>
  <si>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</si>
  <si>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</si>
  <si>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</si>
  <si>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</si>
  <si>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</si>
  <si>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</si>
  <si>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</si>
  <si>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</si>
  <si>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</si>
  <si>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</si>
  <si>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</si>
  <si>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</si>
  <si>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</si>
  <si>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</si>
  <si>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</si>
  <si>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</si>
  <si>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</si>
  <si>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</si>
  <si>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</si>
  <si>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</si>
  <si>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</si>
  <si>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</si>
  <si>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</si>
  <si>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</si>
  <si>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</si>
  <si>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</si>
  <si>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</si>
  <si>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</si>
  <si>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</si>
  <si>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</si>
  <si>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</si>
  <si>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</si>
  <si>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</si>
  <si>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</si>
  <si>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</si>
  <si>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</si>
  <si>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</si>
  <si>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</si>
  <si>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</si>
  <si>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</si>
  <si>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</si>
  <si>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</si>
  <si>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</si>
  <si>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</si>
  <si>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</si>
  <si>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</si>
  <si>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</si>
  <si>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</si>
  <si>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</si>
  <si>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</si>
  <si>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</si>
  <si>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</si>
  <si>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</si>
  <si>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</si>
  <si>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</si>
  <si>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</si>
  <si>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</si>
  <si>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</si>
  <si>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</si>
  <si>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</si>
  <si>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</si>
  <si>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</si>
  <si>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</si>
  <si>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</si>
  <si>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</si>
  <si>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</si>
  <si>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</si>
  <si>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</si>
  <si>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</si>
  <si>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</si>
  <si>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</si>
  <si>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</si>
  <si>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</si>
  <si>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</si>
  <si>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</si>
  <si>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</si>
  <si>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</si>
  <si>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</si>
  <si>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</si>
  <si>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</si>
  <si>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</si>
  <si>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</si>
  <si>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</si>
  <si>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</si>
  <si>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</si>
  <si>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</si>
  <si>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</si>
  <si>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</si>
  <si>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</si>
  <si>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</si>
  <si>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</si>
  <si>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</si>
  <si>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</si>
  <si>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</si>
  <si>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</si>
  <si>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</si>
  <si>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</si>
  <si>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</si>
  <si>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</si>
  <si>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</si>
  <si>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</si>
  <si>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</si>
  <si>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</si>
  <si>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</si>
  <si>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</si>
  <si>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</si>
  <si>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</si>
  <si>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</si>
  <si>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</si>
  <si>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</si>
  <si>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</si>
  <si>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</si>
  <si>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</si>
  <si>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</si>
  <si>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</si>
  <si>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</si>
  <si>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</si>
  <si>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</si>
  <si>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</si>
  <si>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</si>
  <si>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</si>
  <si>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</si>
  <si>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</si>
  <si>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</si>
  <si>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</si>
  <si>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</si>
  <si>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</si>
  <si>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</si>
  <si>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</si>
  <si>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</si>
  <si>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</si>
  <si>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</si>
  <si>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</si>
  <si>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</si>
  <si>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</si>
  <si>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</si>
  <si>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</si>
  <si>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</si>
  <si>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</si>
  <si>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</si>
  <si>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</si>
  <si>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</si>
  <si>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</si>
  <si>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</si>
  <si>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</si>
  <si>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</si>
  <si>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</si>
  <si>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</si>
  <si>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</si>
  <si>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</si>
  <si>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</si>
  <si>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</si>
  <si>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</si>
  <si>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</si>
  <si>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</si>
  <si>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</si>
  <si>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</si>
  <si>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</si>
  <si>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</si>
  <si>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</si>
  <si>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</si>
  <si>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</si>
  <si>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</si>
  <si>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</si>
  <si>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</si>
  <si>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</si>
  <si>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</si>
  <si>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</si>
  <si>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</si>
  <si>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</si>
  <si>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</si>
  <si>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</si>
  <si>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</si>
  <si>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</si>
  <si>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</si>
  <si>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</si>
  <si>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</si>
  <si>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</si>
  <si>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</si>
  <si>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</si>
  <si>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</si>
  <si>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</si>
  <si>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</si>
  <si>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</si>
  <si>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</si>
  <si>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</si>
  <si>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</si>
  <si>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</si>
  <si>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</si>
  <si>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</si>
  <si>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</si>
  <si>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</si>
  <si>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</si>
  <si>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</si>
  <si>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</si>
  <si>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</si>
  <si>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</si>
  <si>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</si>
  <si>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</si>
  <si>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</si>
  <si>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</si>
  <si>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</si>
  <si>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</si>
  <si>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</si>
  <si>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</si>
  <si>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</si>
  <si>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</si>
  <si>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</si>
  <si>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</si>
  <si>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</si>
  <si>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</si>
  <si>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</si>
  <si>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</si>
  <si>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</si>
  <si>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</si>
  <si>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</si>
  <si>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</si>
  <si>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</si>
  <si>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</si>
  <si>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</si>
  <si>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</si>
  <si>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</si>
  <si>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</si>
  <si>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</si>
  <si>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</si>
  <si>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</si>
  <si>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</si>
  <si>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</si>
  <si>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</si>
  <si>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</si>
  <si>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</si>
  <si>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</si>
  <si>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</si>
  <si>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</si>
  <si>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</si>
  <si>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</si>
  <si>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</si>
  <si>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</si>
  <si>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</si>
  <si>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</si>
  <si>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</si>
  <si>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</si>
  <si>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</si>
  <si>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</si>
  <si>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</si>
  <si>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</si>
  <si>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</si>
  <si>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</si>
  <si>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</si>
  <si>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</si>
  <si>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</si>
  <si>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</si>
  <si>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</si>
  <si>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</si>
  <si>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</si>
  <si>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</si>
  <si>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</si>
  <si>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</si>
  <si>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</si>
  <si>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</si>
  <si>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</si>
  <si>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</si>
  <si>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</si>
  <si>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</si>
  <si>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</si>
  <si>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</si>
  <si>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</si>
  <si>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</si>
  <si>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</si>
  <si>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</si>
  <si>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</si>
  <si>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</si>
  <si>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</si>
  <si>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</si>
  <si>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</si>
  <si>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</si>
  <si>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</si>
  <si>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</si>
  <si>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</si>
  <si>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</si>
  <si>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</si>
  <si>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</si>
  <si>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</si>
  <si>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</si>
  <si>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</si>
  <si>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</si>
  <si>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</si>
  <si>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</si>
  <si>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</si>
  <si>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</si>
  <si>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</si>
  <si>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</si>
  <si>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</si>
  <si>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</si>
  <si>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</si>
  <si>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</si>
  <si>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</si>
  <si>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</si>
  <si>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</si>
  <si>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</si>
  <si>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</si>
  <si>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</si>
  <si>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</si>
  <si>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</si>
  <si>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</si>
  <si>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</si>
  <si>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</si>
  <si>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</si>
  <si>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</si>
  <si>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</si>
  <si>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</si>
  <si>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</si>
  <si>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</si>
  <si>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</si>
  <si>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</si>
  <si>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</si>
  <si>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</si>
  <si>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</si>
  <si>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</si>
  <si>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</si>
  <si>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</si>
  <si>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</si>
  <si>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</si>
  <si>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</si>
  <si>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</si>
  <si>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</si>
  <si>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</si>
  <si>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</si>
  <si>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</si>
  <si>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</si>
  <si>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</si>
  <si>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</si>
  <si>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</si>
  <si>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</si>
  <si>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</si>
  <si>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</si>
  <si>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</si>
  <si>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</si>
  <si>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</si>
  <si>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</si>
  <si>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</si>
  <si>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</si>
  <si>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</si>
  <si>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</si>
  <si>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</si>
  <si>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</si>
  <si>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</si>
  <si>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</si>
  <si>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</si>
  <si>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</si>
  <si>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</si>
  <si>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</si>
  <si>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</si>
  <si>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</si>
  <si>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</si>
  <si>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</si>
  <si>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</si>
  <si>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</si>
  <si>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</si>
  <si>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</si>
  <si>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</si>
  <si>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</si>
  <si>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</si>
  <si>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</si>
  <si>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</si>
  <si>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</si>
  <si>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</si>
  <si>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</si>
  <si>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</si>
  <si>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</si>
  <si>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</si>
  <si>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</si>
  <si>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</si>
  <si>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</si>
  <si>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</si>
  <si>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</si>
  <si>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</si>
  <si>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</si>
  <si>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</si>
  <si>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</si>
  <si>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</si>
  <si>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</si>
  <si>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</si>
  <si>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</si>
  <si>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</si>
  <si>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</si>
  <si>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</si>
  <si>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</si>
  <si>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</si>
  <si>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</si>
  <si>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</si>
  <si>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</si>
  <si>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</si>
  <si>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</si>
  <si>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</si>
  <si>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</si>
  <si>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</si>
  <si>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</si>
  <si>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</si>
  <si>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</si>
  <si>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</si>
  <si>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</si>
  <si>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</si>
  <si>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</si>
  <si>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</si>
  <si>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</si>
  <si>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</si>
  <si>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</si>
  <si>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</si>
  <si>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</si>
  <si>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</si>
  <si>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</si>
  <si>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</si>
  <si>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</si>
  <si>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</si>
  <si>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</si>
  <si>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</si>
  <si>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</si>
  <si>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</si>
  <si>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</si>
  <si>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</si>
  <si>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</si>
  <si>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</si>
  <si>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</si>
  <si>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</si>
  <si>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</si>
  <si>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</si>
  <si>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</si>
  <si>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</si>
  <si>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</si>
  <si>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</si>
  <si>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</si>
  <si>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</si>
  <si>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</si>
  <si>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</si>
  <si>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</si>
  <si>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</si>
  <si>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</si>
  <si>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</si>
  <si>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</si>
  <si>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</si>
  <si>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</si>
  <si>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</si>
  <si>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</si>
  <si>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</si>
  <si>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</si>
  <si>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</si>
  <si>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</si>
  <si>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</si>
  <si>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</si>
  <si>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</si>
  <si>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</si>
  <si>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</si>
  <si>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</si>
  <si>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</si>
  <si>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</si>
  <si>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</si>
  <si>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</si>
  <si>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</si>
  <si>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</si>
  <si>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</si>
  <si>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</si>
  <si>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</si>
  <si>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</si>
  <si>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</si>
  <si>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</si>
  <si>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</si>
  <si>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</si>
  <si>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</si>
  <si>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</si>
  <si>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</si>
  <si>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</si>
  <si>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</si>
  <si>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</si>
  <si>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</si>
  <si>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</si>
  <si>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</si>
  <si>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</si>
  <si>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</si>
  <si>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</si>
  <si>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</si>
  <si>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</si>
  <si>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</si>
  <si>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</si>
  <si>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</si>
  <si>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</si>
  <si>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</si>
  <si>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</si>
  <si>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</si>
  <si>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</si>
  <si>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</si>
  <si>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</si>
  <si>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</si>
  <si>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</si>
  <si>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</si>
  <si>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</si>
  <si>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</si>
  <si>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</si>
  <si>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</si>
  <si>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</si>
  <si>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</si>
  <si>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</si>
  <si>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</si>
  <si>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</si>
  <si>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</si>
  <si>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</si>
  <si>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</si>
  <si>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</si>
  <si>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</si>
  <si>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</si>
  <si>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</si>
  <si>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</si>
  <si>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</si>
  <si>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</si>
  <si>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</si>
  <si>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</si>
  <si>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</si>
  <si>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</si>
  <si>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</si>
  <si>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</si>
  <si>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</si>
  <si>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</si>
  <si>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</si>
  <si>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</si>
  <si>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</si>
  <si>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</si>
  <si>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</si>
  <si>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</si>
  <si>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</si>
  <si>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</si>
  <si>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</si>
  <si>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</si>
  <si>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</si>
  <si>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</si>
  <si>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</si>
  <si>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</si>
  <si>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</si>
  <si>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</si>
  <si>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</si>
  <si>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</si>
  <si>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</si>
  <si>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</si>
  <si>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</si>
  <si>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</si>
  <si>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</si>
  <si>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</si>
  <si>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</si>
  <si>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</si>
  <si>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</si>
  <si>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</si>
  <si>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</si>
  <si>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</si>
  <si>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</si>
  <si>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</si>
  <si>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</si>
  <si>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</si>
  <si>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</si>
  <si>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</si>
  <si>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</si>
  <si>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</si>
  <si>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</si>
  <si>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</si>
  <si>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</si>
  <si>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</si>
  <si>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</si>
  <si>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</si>
  <si>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</si>
  <si>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</si>
  <si>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</si>
  <si>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</si>
  <si>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</si>
  <si>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</si>
  <si>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</si>
  <si>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</si>
  <si>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</si>
  <si>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</si>
  <si>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</si>
  <si>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</si>
  <si>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</si>
  <si>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</si>
  <si>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</si>
  <si>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</si>
  <si>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</si>
  <si>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</si>
  <si>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</si>
  <si>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</si>
  <si>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</si>
  <si>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</si>
  <si>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</si>
  <si>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</si>
  <si>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</si>
  <si>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</si>
  <si>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</si>
  <si>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</si>
  <si>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</si>
  <si>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</si>
  <si>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</si>
  <si>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</si>
  <si>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</si>
  <si>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</si>
  <si>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</si>
  <si>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</si>
  <si>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</si>
  <si>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</si>
  <si>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</si>
  <si>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</si>
  <si>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</si>
  <si>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</si>
  <si>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</si>
  <si>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</si>
  <si>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</si>
  <si>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</si>
  <si>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</si>
  <si>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</si>
  <si>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</si>
  <si>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</si>
  <si>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</si>
  <si>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</si>
  <si>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</si>
  <si>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</si>
  <si>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</si>
  <si>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</si>
  <si>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</si>
  <si>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</si>
  <si>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</si>
  <si>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</si>
  <si>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</si>
  <si>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</si>
  <si>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</si>
  <si>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</si>
  <si>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</si>
  <si>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</si>
  <si>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</si>
  <si>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</si>
  <si>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</si>
  <si>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</si>
  <si>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</si>
  <si>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</si>
  <si>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</si>
  <si>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</si>
  <si>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</si>
  <si>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</si>
  <si>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</si>
  <si>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</si>
  <si>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</si>
  <si>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</si>
  <si>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</si>
  <si>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</si>
  <si>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</si>
  <si>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</si>
  <si>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</si>
  <si>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</si>
  <si>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</si>
  <si>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</si>
  <si>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</si>
  <si>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</si>
  <si>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</si>
  <si>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</si>
  <si>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</si>
  <si>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</si>
  <si>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</si>
  <si>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</si>
  <si>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</si>
  <si>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</si>
  <si>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</si>
  <si>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</si>
  <si>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</si>
  <si>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</si>
  <si>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</si>
  <si>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</si>
  <si>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</si>
  <si>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</si>
  <si>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</si>
  <si>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</si>
  <si>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</si>
  <si>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</si>
  <si>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</si>
  <si>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</si>
  <si>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</si>
  <si>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</si>
  <si>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</si>
  <si>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</si>
  <si>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</si>
  <si>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</si>
  <si>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</si>
  <si>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</si>
  <si>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</si>
  <si>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</si>
  <si>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</si>
  <si>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</si>
  <si>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</si>
  <si>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</si>
  <si>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</si>
  <si>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</si>
  <si>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</si>
  <si>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</si>
  <si>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</si>
  <si>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</si>
  <si>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</si>
  <si>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</si>
  <si>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</si>
  <si>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</si>
  <si>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</si>
  <si>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</si>
  <si>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</si>
  <si>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</si>
  <si>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</si>
  <si>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</si>
  <si>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</si>
  <si>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</si>
  <si>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</si>
  <si>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</si>
  <si>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</si>
  <si>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</si>
  <si>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</si>
  <si>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</si>
  <si>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</si>
  <si>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</si>
  <si>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</si>
  <si>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</si>
  <si>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</si>
  <si>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</si>
  <si>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</si>
  <si>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</si>
  <si>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</si>
  <si>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</si>
  <si>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</si>
  <si>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</si>
  <si>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</si>
  <si>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</si>
  <si>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</si>
  <si>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</si>
  <si>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</si>
  <si>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</si>
  <si>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</si>
  <si>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</si>
  <si>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</si>
  <si>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</si>
  <si>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</si>
  <si>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</si>
  <si>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</si>
  <si>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</si>
  <si>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</si>
  <si>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</si>
  <si>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</si>
  <si>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</si>
  <si>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</si>
  <si>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</si>
  <si>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</si>
  <si>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</si>
  <si>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</si>
  <si>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</si>
  <si>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</si>
  <si>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</si>
  <si>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</si>
  <si>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</si>
  <si>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</si>
  <si>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</si>
  <si>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</si>
  <si>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</si>
  <si>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</si>
  <si>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</si>
  <si>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</si>
  <si>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</si>
  <si>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</si>
  <si>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</si>
  <si>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</si>
  <si>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</si>
  <si>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</si>
  <si>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</si>
  <si>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</si>
  <si>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</si>
  <si>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</si>
  <si>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</si>
  <si>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</si>
  <si>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</si>
  <si>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</si>
  <si>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</si>
  <si>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</si>
  <si>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</si>
  <si>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</si>
  <si>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</si>
  <si>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</si>
  <si>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</si>
  <si>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</si>
  <si>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</si>
  <si>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</si>
  <si>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</si>
  <si>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</si>
  <si>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</si>
  <si>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</si>
  <si>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</si>
  <si>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</si>
  <si>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</si>
  <si>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</si>
  <si>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</si>
  <si>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</si>
  <si>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</si>
  <si>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</si>
  <si>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</si>
  <si>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</si>
  <si>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</si>
  <si>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</si>
  <si>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</si>
  <si>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</si>
  <si>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</si>
  <si>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</si>
  <si>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</si>
  <si>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</si>
  <si>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</si>
  <si>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</si>
  <si>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</si>
  <si>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</si>
  <si>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</si>
  <si>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</si>
  <si>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</si>
  <si>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</si>
  <si>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</si>
  <si>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</si>
  <si>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</si>
  <si>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</si>
  <si>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</si>
  <si>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</si>
  <si>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</si>
  <si>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</si>
  <si>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</si>
  <si>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</si>
  <si>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</si>
  <si>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</si>
  <si>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</si>
  <si>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</si>
  <si>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</si>
  <si>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</si>
  <si>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</si>
  <si>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</si>
  <si>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</si>
  <si>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</si>
  <si>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</si>
  <si>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</si>
  <si>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</si>
  <si>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</si>
  <si>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</si>
  <si>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</si>
  <si>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</si>
  <si>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</si>
  <si>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</si>
  <si>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</si>
  <si>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</si>
  <si>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</si>
  <si>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</si>
  <si>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</si>
  <si>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</si>
  <si>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</si>
  <si>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</si>
  <si>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</si>
  <si>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</si>
  <si>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</si>
  <si>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</si>
  <si>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</si>
  <si>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</si>
  <si>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</si>
  <si>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</si>
  <si>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</si>
  <si>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</si>
  <si>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</si>
  <si>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</si>
  <si>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</si>
  <si>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</si>
  <si>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</si>
  <si>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</si>
  <si>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</si>
  <si>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</si>
  <si>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</si>
  <si>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</si>
  <si>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</si>
  <si>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</si>
  <si>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</si>
  <si>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</si>
  <si>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</si>
  <si>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</si>
  <si>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</si>
  <si>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</si>
  <si>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</si>
  <si>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</si>
  <si>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</si>
  <si>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</si>
  <si>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</si>
  <si>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</si>
  <si>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</si>
  <si>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</si>
  <si>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</si>
  <si>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</si>
  <si>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</si>
  <si>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</si>
  <si>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</si>
  <si>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</si>
  <si>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</si>
  <si>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</si>
  <si>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</si>
  <si>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</si>
  <si>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</si>
  <si>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</si>
  <si>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</si>
  <si>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</si>
  <si>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</si>
  <si>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</si>
  <si>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</si>
  <si>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</si>
  <si>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</si>
  <si>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</si>
  <si>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</si>
  <si>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</si>
  <si>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</si>
  <si>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</si>
  <si>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</si>
  <si>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</si>
  <si>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</si>
  <si>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</si>
  <si>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</si>
  <si>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</si>
  <si>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</si>
  <si>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</si>
  <si>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</si>
  <si>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</si>
  <si>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</si>
  <si>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</si>
  <si>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</si>
  <si>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</si>
  <si>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</si>
  <si>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</si>
  <si>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</si>
  <si>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</si>
  <si>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</si>
  <si>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</si>
  <si>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</si>
  <si>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</si>
  <si>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</si>
  <si>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</si>
  <si>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</si>
  <si>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</si>
  <si>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</si>
  <si>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</si>
  <si>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</si>
  <si>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</si>
  <si>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</si>
  <si>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</si>
  <si>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</si>
  <si>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</si>
  <si>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</si>
  <si>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</si>
  <si>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</si>
  <si>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</si>
  <si>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</si>
  <si>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</si>
  <si>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</si>
  <si>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</si>
  <si>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</si>
  <si>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</si>
  <si>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</si>
  <si>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</si>
  <si>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</si>
  <si>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</si>
  <si>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</si>
  <si>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</si>
  <si>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</si>
  <si>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</si>
  <si>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</si>
  <si>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</si>
  <si>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</si>
  <si>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</si>
  <si>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</si>
  <si>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</si>
  <si>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</si>
  <si>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</si>
  <si>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</si>
  <si>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</si>
  <si>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</si>
  <si>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</si>
  <si>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</si>
  <si>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</si>
  <si>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</si>
  <si>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</si>
  <si>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</si>
  <si>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</si>
  <si>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</si>
  <si>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</si>
  <si>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</si>
  <si>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</si>
  <si>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</si>
  <si>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</si>
  <si>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</si>
  <si>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</si>
  <si>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</si>
  <si>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</si>
  <si>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</si>
  <si>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</si>
  <si>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</si>
  <si>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</si>
  <si>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</si>
  <si>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</si>
  <si>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</si>
  <si>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</si>
  <si>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</si>
  <si>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</si>
  <si>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</si>
  <si>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</si>
  <si>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</si>
  <si>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</si>
  <si>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</si>
  <si>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</si>
  <si>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</si>
  <si>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</si>
  <si>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</si>
  <si>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</si>
  <si>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</si>
  <si>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</si>
  <si>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</si>
  <si>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</si>
  <si>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</si>
  <si>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</si>
  <si>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</si>
  <si>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</si>
  <si>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</si>
  <si>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</si>
  <si>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</si>
  <si>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</si>
  <si>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</si>
  <si>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</si>
  <si>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</si>
  <si>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</si>
  <si>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</si>
  <si>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</si>
  <si>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</si>
  <si>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</si>
  <si>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</si>
  <si>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</si>
  <si>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</si>
  <si>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</si>
  <si>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</si>
  <si>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</si>
  <si>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</si>
  <si>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</si>
  <si>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</si>
  <si>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</si>
  <si>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</si>
  <si>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</si>
  <si>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</si>
  <si>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</si>
  <si>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</si>
  <si>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</si>
  <si>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</si>
  <si>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</si>
  <si>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</si>
  <si>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</si>
  <si>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</si>
  <si>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</si>
  <si>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</si>
  <si>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</si>
  <si>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</si>
  <si>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</si>
  <si>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</si>
  <si>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</si>
  <si>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</si>
  <si>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</si>
  <si>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</si>
  <si>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</si>
  <si>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</si>
  <si>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</si>
  <si>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</si>
  <si>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</si>
  <si>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</si>
  <si>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</si>
  <si>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</si>
  <si>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</si>
  <si>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</si>
  <si>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</si>
  <si>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</si>
  <si>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</si>
  <si>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</si>
  <si>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</si>
  <si>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</si>
  <si>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</si>
  <si>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</si>
  <si>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</si>
  <si>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</si>
  <si>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</si>
  <si>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</si>
  <si>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</si>
  <si>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</si>
  <si>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</si>
  <si>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</si>
  <si>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</si>
  <si>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</si>
  <si>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</si>
  <si>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</si>
  <si>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</si>
  <si>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</si>
  <si>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</si>
  <si>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</si>
  <si>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</si>
  <si>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</si>
  <si>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</si>
  <si>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</si>
  <si>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</si>
  <si>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</si>
  <si>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</si>
  <si>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</si>
  <si>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</si>
  <si>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</si>
  <si>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</si>
  <si>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</si>
  <si>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</si>
  <si>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</si>
  <si>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</si>
  <si>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</si>
  <si>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</si>
  <si>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</si>
  <si>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</si>
  <si>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</si>
  <si>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</si>
  <si>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</si>
  <si>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</si>
  <si>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</si>
  <si>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</si>
  <si>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</si>
  <si>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</si>
  <si>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</si>
  <si>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</si>
  <si>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</si>
  <si>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</si>
  <si>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</si>
  <si>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</si>
  <si>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</si>
  <si>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</si>
  <si>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</si>
  <si>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</si>
  <si>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</si>
  <si>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</si>
  <si>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</si>
  <si>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</si>
  <si>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</si>
  <si>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</si>
  <si>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</si>
  <si>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</si>
  <si>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</si>
  <si>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</si>
  <si>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</si>
  <si>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</si>
  <si>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</si>
  <si>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</si>
  <si>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</si>
  <si>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</si>
  <si>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</si>
  <si>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</si>
  <si>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</si>
  <si>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</si>
  <si>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</si>
  <si>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</si>
  <si>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</si>
  <si>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</si>
  <si>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</si>
  <si>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</si>
  <si>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</si>
  <si>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</si>
  <si>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</si>
  <si>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</si>
  <si>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</si>
  <si>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</si>
  <si>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</si>
  <si>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</si>
  <si>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</si>
  <si>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</si>
  <si>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</si>
  <si>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</si>
  <si>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</si>
  <si>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</si>
  <si>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</si>
  <si>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</si>
  <si>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</si>
  <si>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</si>
  <si>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</si>
  <si>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</si>
  <si>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</si>
  <si>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</si>
  <si>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</si>
  <si>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</si>
  <si>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</si>
  <si>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</si>
  <si>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</si>
  <si>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</si>
  <si>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</si>
  <si>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</si>
  <si>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</si>
  <si>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</si>
  <si>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</si>
  <si>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</si>
  <si>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</si>
  <si>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</si>
  <si>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</si>
  <si>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</si>
  <si>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</si>
  <si>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</si>
  <si>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</si>
  <si>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</si>
  <si>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</si>
  <si>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</si>
  <si>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</si>
  <si>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</si>
  <si>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</si>
  <si>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</si>
  <si>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</si>
  <si>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</si>
  <si>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</si>
  <si>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</si>
  <si>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</si>
  <si>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</si>
  <si>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</si>
  <si>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</si>
  <si>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</si>
  <si>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</si>
  <si>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</si>
  <si>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</si>
  <si>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</si>
  <si>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</si>
  <si>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</si>
  <si>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</si>
  <si>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</si>
  <si>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</si>
  <si>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</si>
  <si>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</si>
  <si>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</si>
  <si>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</si>
  <si>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</si>
  <si>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</si>
  <si>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</si>
  <si>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</si>
  <si>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</si>
  <si>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</si>
  <si>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</si>
  <si>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</si>
  <si>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</si>
  <si>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</si>
  <si>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</si>
  <si>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</si>
  <si>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</si>
  <si>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</si>
  <si>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</si>
  <si>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</si>
  <si>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</si>
  <si>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</si>
  <si>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</si>
  <si>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</si>
  <si>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</si>
  <si>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</si>
  <si>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</si>
  <si>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</si>
  <si>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</si>
  <si>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</si>
  <si>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</si>
  <si>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</si>
  <si>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</si>
  <si>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</si>
  <si>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</si>
  <si>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</si>
  <si>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</si>
  <si>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</si>
  <si>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</si>
  <si>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</si>
  <si>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</si>
  <si>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</si>
  <si>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</si>
  <si>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</si>
  <si>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</si>
  <si>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</si>
  <si>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</si>
  <si>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</si>
  <si>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</si>
  <si>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</si>
  <si>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</si>
  <si>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</si>
  <si>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</si>
  <si>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</si>
  <si>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</si>
  <si>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</si>
  <si>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</si>
  <si>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</si>
  <si>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</si>
  <si>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</si>
  <si>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</si>
  <si>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</si>
  <si>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</si>
  <si>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</si>
  <si>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</si>
  <si>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</si>
  <si>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</si>
  <si>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</si>
  <si>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</si>
  <si>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</si>
  <si>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</si>
  <si>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</si>
  <si>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</si>
  <si>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</si>
  <si>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</si>
  <si>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</si>
  <si>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</si>
  <si>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</si>
  <si>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</si>
  <si>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</si>
  <si>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</si>
  <si>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</si>
  <si>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</si>
  <si>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</si>
  <si>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</si>
  <si>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</si>
  <si>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</si>
  <si>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</si>
  <si>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</si>
  <si>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</si>
  <si>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</si>
  <si>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</si>
  <si>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</si>
  <si>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</si>
  <si>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</si>
  <si>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</si>
  <si>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</si>
  <si>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</si>
  <si>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</si>
  <si>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</si>
  <si>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</si>
  <si>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</si>
  <si>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</si>
  <si>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</si>
  <si>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</si>
  <si>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</si>
  <si>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</si>
  <si>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Valeria Garante 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</si>
</sst>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F18" sqref="F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20250189</v>
      </c>
      <c r="G7" s="8">
        <f ca="1">TODAY()</f>
        <v>45929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98</v>
      </c>
      <c r="C13" s="78" t="str">
        <f>IFERROR(VLOOKUP($B13,Tarifa_all_20240711!$A$2:$G$660,2,FALSE()),"-")</f>
        <v>MARCO PA MAGNET LAC.NEGRO TEXTURADO</v>
      </c>
      <c r="D13" s="78"/>
      <c r="E13" s="17">
        <v>1</v>
      </c>
      <c r="F13" s="18">
        <f>IFERROR(VLOOKUP($B13,Tarifa_all_20240711!$A$2:$G$660,5,FALSE()),"-")</f>
        <v>215.54249999999999</v>
      </c>
      <c r="G13" s="18">
        <f t="shared" ref="G13:G30" si="0">IFERROR(E13*F13,"-")</f>
        <v>215.54249999999999</v>
      </c>
      <c r="H13" s="1"/>
    </row>
    <row r="14" spans="1:12" x14ac:dyDescent="0.25">
      <c r="A14" t="s">
        <v>1434</v>
      </c>
      <c r="B14" s="16" t="s">
        <v>112</v>
      </c>
      <c r="C14" s="78" t="str">
        <f>IFERROR(VLOOKUP($B14,Tarifa_all_20240711!$A$2:$G$660,2,FALSE()),"-")</f>
        <v>KIT PA PIVOTANTE MAGNET LAC.NEGRO TEXTURADO</v>
      </c>
      <c r="D14" s="78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502</v>
      </c>
      <c r="C16" s="78" t="str">
        <f>IFERROR(VLOOKUP($B16,Tarifa_all_20240711!$A$2:$G$660,2,FALSE()),"-")</f>
        <v>TIRADOR L 30X180 LAC.NEGRO TEXTURADO: 2 UDS</v>
      </c>
      <c r="D16" s="78"/>
      <c r="E16" s="17">
        <v>1</v>
      </c>
      <c r="F16" s="18">
        <f>IFERROR(VLOOKUP($B16,Tarifa_all_20240711!$A$2:$G$660,5,FALSE()),"-")</f>
        <v>52.005000000000003</v>
      </c>
      <c r="G16" s="18">
        <f t="shared" si="0"/>
        <v>52.005000000000003</v>
      </c>
      <c r="H16" s="1"/>
    </row>
    <row r="17" spans="1:8" x14ac:dyDescent="0.25">
      <c r="A17" t="s">
        <v>28</v>
      </c>
      <c r="B17" s="16"/>
      <c r="C17" s="78" t="str">
        <f>IFERROR(VLOOKUP($B17,Tarifa_all_20240711!$A$2:$G$660,2,FALSE()),"-")</f>
        <v>-</v>
      </c>
      <c r="D17" s="78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128</v>
      </c>
      <c r="C18" s="78" t="str">
        <f>IFERROR(VLOOKUP($B18,Tarifa_all_20240711!$A$2:$G$660,2,FALSE()),"-")</f>
        <v>PERFIL EMBELL.HORIZ. ADH LAC.NEGRO TEXTURADO</v>
      </c>
      <c r="D18" s="78"/>
      <c r="E18" s="17">
        <v>3</v>
      </c>
      <c r="F18" s="18">
        <f>IFERROR(VLOOKUP($B18,Tarifa_all_20240711!$A$2:$G$660,5,FALSE()),"-")</f>
        <v>21.794999999999998</v>
      </c>
      <c r="G18" s="18">
        <f t="shared" si="0"/>
        <v>65.384999999999991</v>
      </c>
      <c r="H18" s="1"/>
    </row>
    <row r="19" spans="1:8" x14ac:dyDescent="0.25">
      <c r="B19" s="16"/>
      <c r="C19" s="78" t="str">
        <f>IFERROR(VLOOKUP($B19,Tarifa_all_20240711!$A$2:$G$660,2,FALSE()),"-")</f>
        <v>-</v>
      </c>
      <c r="D19" s="78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78" t="str">
        <f>IFERROR(VLOOKUP($B20,Tarifa_all_20240711!$A$2:$G$660,2,FALSE()),"-")</f>
        <v>-</v>
      </c>
      <c r="D20" s="78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78" t="str">
        <f>IFERROR(VLOOKUP($B21,Tarifa_all_20240711!$A$2:$G$660,2,FALSE()),"-")</f>
        <v>-</v>
      </c>
      <c r="D21" s="78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8" t="str">
        <f>IFERROR(VLOOKUP($B22,Tarifa_all_20240711!$A$2:$G$660,2,FALSE()),"-")</f>
        <v>-</v>
      </c>
      <c r="D22" s="78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8" t="str">
        <f>IFERROR(VLOOKUP($B23,Tarifa_all_20240711!$A$2:$G$660,2,FALSE()),"-")</f>
        <v>-</v>
      </c>
      <c r="D23" s="78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8" t="str">
        <f>IFERROR(VLOOKUP($B24,Tarifa_all_20240711!$A$2:$G$660,2,FALSE()),"-")</f>
        <v>-</v>
      </c>
      <c r="D24" s="78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548.58749999999998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Cristalum Gandia</v>
      </c>
      <c r="C9" s="87"/>
      <c r="D9" s="87"/>
      <c r="F9" s="3" t="s">
        <v>73</v>
      </c>
      <c r="G9" s="44">
        <f ca="1">TODAY()</f>
        <v>45929</v>
      </c>
    </row>
    <row r="10" spans="1:7" x14ac:dyDescent="0.25">
      <c r="A10" s="3" t="s">
        <v>74</v>
      </c>
      <c r="B10" s="11" t="str">
        <f>'DESPIECE (MATANALYSIS)'!C9</f>
        <v>Valeria Garante Leonardo</v>
      </c>
      <c r="C10" s="45"/>
      <c r="D10" s="45"/>
      <c r="E10" s="46"/>
      <c r="F10" s="47" t="s">
        <v>75</v>
      </c>
      <c r="G10" s="7">
        <f>'DESPIECE (MATANALYSIS)'!C7</f>
        <v>20250189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548.58749999999998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493.72874999999999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493.72874999999999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2025-09-29T08:06:58Z</cp:lastPrinted>
  <dcterms:created xsi:type="dcterms:W3CDTF">2024-04-15T12:43:19Z</dcterms:created>
  <dcterms:modified xsi:type="dcterms:W3CDTF">2025-09-29T08:07:04Z</dcterms:modified>
  <dc:language>es-ES</dc:language>
</cp:coreProperties>
</file>