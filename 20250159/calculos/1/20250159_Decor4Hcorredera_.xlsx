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59\calculos\1\"/>
    </mc:Choice>
  </mc:AlternateContent>
  <xr:revisionPtr revIDLastSave="0" documentId="13_ncr:1_{E224BDC1-EF55-4538-A584-0DA847E7AE5E}" xr6:coauthVersionLast="47" xr6:coauthVersionMax="47" xr10:uidLastSave="{00000000-0000-0000-0000-000000000000}"/>
  <bookViews>
    <workbookView xWindow="-27315" yWindow="825" windowWidth="21300" windowHeight="1414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<sst xmlns="http://schemas.openxmlformats.org/spreadsheetml/2006/main" count="5404" uniqueCount="1453">
  <si>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</si>
  <si>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</si>
  <si>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</si>
  <si>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</si>
  <si>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</si>
  <si>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</si>
  <si>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</si>
  <si>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</si>
  <si>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</si>
  <si>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</si>
  <si>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</si>
  <si>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</si>
  <si>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</si>
  <si>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</si>
  <si>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</si>
  <si>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</si>
  <si>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</si>
  <si>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</si>
  <si>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</si>
  <si>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</si>
  <si>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</si>
  <si>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</si>
  <si>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</si>
  <si>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</si>
  <si>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</si>
  <si>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</si>
  <si>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</si>
  <si>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</si>
  <si>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</si>
  <si>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</si>
  <si>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</si>
  <si>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</si>
  <si>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</si>
  <si>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</si>
  <si>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</si>
  <si>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</si>
  <si>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</si>
  <si>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</si>
  <si>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</si>
  <si>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</si>
  <si>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</si>
  <si>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</si>
  <si>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</si>
  <si>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</si>
  <si>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</si>
  <si>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</si>
  <si>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</si>
  <si>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</si>
  <si>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</si>
  <si>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</si>
  <si>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</si>
  <si>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</si>
  <si>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</si>
  <si>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</si>
  <si>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</si>
  <si>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</si>
  <si>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</si>
  <si>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</si>
  <si>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</si>
  <si>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</si>
  <si>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</si>
  <si>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</si>
  <si>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</si>
  <si>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</si>
  <si>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</si>
  <si>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</si>
  <si>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</si>
  <si>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</si>
  <si>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</si>
  <si>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</si>
  <si>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</si>
  <si>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</si>
  <si>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</si>
  <si>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</si>
  <si>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</si>
  <si>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</si>
  <si>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</si>
  <si>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</si>
  <si>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</si>
  <si>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</si>
  <si>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</si>
  <si>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</si>
  <si>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</si>
  <si>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</si>
  <si>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</si>
  <si>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</si>
  <si>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</si>
  <si>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</si>
  <si>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</si>
  <si>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</si>
  <si>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</si>
  <si>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</si>
  <si>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</si>
  <si>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</si>
  <si>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</si>
  <si>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</si>
  <si>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</si>
  <si>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</si>
  <si>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</si>
  <si>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</si>
  <si>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</si>
  <si>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</si>
  <si>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</si>
  <si>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</si>
  <si>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</si>
  <si>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</si>
  <si>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</si>
  <si>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</si>
  <si>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</si>
  <si>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</si>
  <si>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</si>
  <si>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</si>
  <si>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</si>
  <si>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</si>
  <si>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</si>
  <si>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</si>
  <si>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</si>
  <si>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</si>
  <si>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</si>
  <si>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</si>
  <si>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</si>
  <si>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</si>
  <si>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</si>
  <si>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</si>
  <si>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</si>
  <si>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</si>
  <si>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</si>
  <si>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</si>
  <si>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</si>
  <si>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</si>
  <si>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</si>
  <si>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</si>
  <si>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</si>
  <si>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</si>
  <si>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</si>
  <si>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</si>
  <si>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</si>
  <si>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</si>
  <si>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</si>
  <si>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</si>
  <si>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</si>
  <si>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</si>
  <si>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</si>
  <si>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</si>
  <si>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</si>
  <si>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</si>
  <si>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</si>
  <si>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</si>
  <si>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</si>
  <si>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</si>
  <si>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</si>
  <si>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</si>
  <si>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</si>
  <si>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</si>
  <si>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</si>
  <si>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</si>
  <si>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</si>
  <si>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</si>
  <si>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</si>
  <si>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</si>
  <si>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</si>
  <si>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</si>
  <si>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</si>
  <si>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</si>
  <si>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</si>
  <si>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</si>
  <si>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</si>
  <si>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</si>
  <si>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</si>
  <si>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</si>
  <si>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</si>
  <si>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</si>
  <si>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</si>
  <si>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</si>
  <si>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</si>
  <si>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</si>
  <si>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</si>
  <si>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</si>
  <si>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</si>
  <si>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</si>
  <si>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</si>
  <si>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</si>
  <si>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</si>
  <si>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</si>
  <si>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</si>
  <si>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</si>
  <si>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</si>
  <si>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</si>
  <si>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</si>
  <si>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</si>
  <si>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</si>
  <si>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</si>
  <si>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</si>
  <si>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</si>
  <si>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</si>
  <si>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</si>
  <si>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</si>
  <si>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</si>
  <si>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</si>
  <si>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</si>
  <si>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</si>
  <si>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</si>
  <si>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</si>
  <si>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</si>
  <si>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</si>
  <si>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</si>
  <si>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</si>
  <si>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</si>
  <si>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</si>
  <si>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</si>
  <si>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</si>
  <si>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</si>
  <si>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</si>
  <si>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</si>
  <si>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</si>
  <si>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</si>
  <si>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</si>
  <si>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</si>
  <si>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</si>
  <si>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</si>
  <si>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</si>
  <si>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</si>
  <si>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</si>
  <si>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</si>
  <si>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</si>
  <si>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</si>
  <si>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</si>
  <si>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</si>
  <si>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</si>
  <si>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</si>
  <si>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</si>
  <si>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</si>
  <si>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</si>
  <si>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</si>
  <si>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</si>
  <si>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</si>
  <si>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</si>
  <si>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</si>
  <si>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</si>
  <si>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</si>
  <si>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</si>
  <si>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</si>
  <si>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</si>
  <si>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</si>
  <si>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</si>
  <si>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</si>
  <si>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</si>
  <si>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</si>
  <si>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</si>
  <si>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</si>
  <si>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</si>
  <si>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</si>
  <si>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</si>
  <si>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</si>
  <si>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</si>
  <si>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</si>
  <si>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</si>
  <si>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</si>
  <si>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</si>
  <si>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</si>
  <si>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</si>
  <si>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</si>
  <si>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</si>
  <si>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</si>
  <si>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</si>
  <si>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</si>
  <si>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</si>
  <si>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</si>
  <si>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</si>
  <si>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</si>
  <si>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</si>
  <si>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</si>
  <si>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</si>
  <si>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</si>
  <si>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</si>
  <si>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</si>
  <si>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</si>
  <si>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</si>
  <si>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</si>
  <si>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</si>
  <si>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</si>
  <si>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</si>
  <si>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</si>
  <si>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</si>
  <si>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</si>
  <si>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</si>
  <si>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</si>
  <si>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</si>
  <si>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</si>
  <si>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</si>
  <si>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</si>
  <si>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</si>
  <si>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</si>
  <si>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</si>
  <si>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</si>
  <si>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</si>
  <si>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</si>
  <si>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</si>
  <si>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</si>
  <si>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</si>
  <si>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</si>
  <si>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</si>
  <si>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</si>
  <si>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</si>
  <si>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</si>
  <si>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</si>
  <si>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</si>
  <si>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</si>
  <si>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</si>
  <si>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</si>
  <si>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</si>
  <si>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</si>
  <si>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</si>
  <si>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</si>
  <si>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</si>
  <si>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</si>
  <si>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</si>
  <si>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</si>
  <si>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</si>
  <si>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</si>
  <si>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</si>
  <si>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</si>
  <si>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</si>
  <si>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</si>
  <si>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</si>
  <si>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</si>
  <si>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</si>
  <si>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</si>
  <si>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</si>
  <si>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</si>
  <si>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</si>
  <si>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</si>
  <si>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</si>
  <si>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</si>
  <si>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</si>
  <si>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</si>
  <si>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</si>
  <si>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</si>
  <si>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</si>
  <si>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</si>
  <si>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</si>
  <si>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</si>
  <si>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</si>
  <si>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</si>
  <si>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</si>
  <si>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</si>
  <si>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</si>
  <si>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</si>
  <si>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</si>
  <si>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</si>
  <si>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</si>
  <si>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</si>
  <si>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</si>
  <si>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</si>
  <si>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</si>
  <si>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</si>
  <si>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</si>
  <si>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</si>
  <si>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</si>
  <si>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</si>
  <si>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</si>
  <si>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</si>
  <si>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</si>
  <si>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</si>
  <si>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</si>
  <si>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</si>
  <si>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</si>
  <si>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</si>
  <si>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</si>
  <si>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</si>
  <si>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</si>
  <si>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</si>
  <si>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</si>
  <si>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</si>
  <si>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</si>
  <si>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</si>
  <si>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</si>
  <si>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</si>
  <si>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</si>
  <si>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</si>
  <si>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</si>
  <si>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</si>
  <si>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</si>
  <si>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</si>
  <si>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</si>
  <si>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</si>
  <si>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</si>
  <si>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</si>
  <si>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</si>
  <si>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</si>
  <si>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</si>
  <si>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</si>
  <si>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</si>
  <si>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</si>
  <si>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</si>
  <si>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</si>
  <si>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</si>
  <si>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</si>
  <si>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</si>
  <si>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</si>
  <si>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</si>
  <si>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</si>
  <si>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</si>
  <si>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</si>
  <si>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</si>
  <si>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</si>
  <si>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</si>
  <si>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</si>
  <si>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</si>
  <si>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</si>
  <si>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</si>
  <si>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</si>
  <si>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</si>
  <si>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</si>
  <si>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</si>
  <si>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</si>
  <si>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</si>
  <si>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</si>
  <si>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</si>
  <si>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</si>
  <si>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</si>
  <si>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</si>
  <si>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</si>
  <si>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</si>
  <si>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</si>
  <si>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</si>
  <si>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</si>
  <si>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</si>
  <si>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</si>
  <si>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</si>
  <si>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</si>
  <si>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</si>
  <si>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</si>
  <si>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</si>
  <si>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</si>
  <si>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</si>
  <si>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</si>
  <si>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</si>
  <si>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</si>
  <si>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</si>
  <si>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</si>
  <si>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</si>
  <si>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</si>
  <si>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</si>
  <si>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</si>
  <si>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</si>
  <si>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</si>
  <si>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</si>
  <si>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</si>
  <si>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</si>
  <si>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</si>
  <si>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</si>
  <si>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</si>
  <si>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</si>
  <si>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</si>
  <si>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</si>
  <si>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</si>
  <si>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</si>
  <si>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</si>
  <si>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</si>
  <si>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</si>
  <si>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</si>
  <si>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</si>
  <si>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</si>
  <si>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</si>
  <si>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</si>
  <si>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</si>
  <si>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</si>
  <si>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</si>
  <si>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</si>
  <si>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</si>
  <si>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</si>
  <si>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</si>
  <si>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</si>
  <si>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</si>
  <si>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</si>
  <si>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</si>
  <si>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</si>
  <si>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</si>
  <si>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</si>
  <si>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</si>
  <si>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</si>
  <si>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</si>
  <si>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</si>
  <si>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</si>
  <si>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</si>
  <si>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</si>
  <si>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</si>
  <si>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</si>
  <si>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</si>
  <si>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</si>
  <si>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</si>
  <si>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</si>
  <si>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</si>
  <si>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</si>
  <si>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</si>
  <si>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</si>
  <si>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</si>
  <si>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</si>
  <si>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</si>
  <si>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</si>
  <si>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</si>
  <si>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</si>
  <si>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</si>
  <si>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</si>
  <si>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</si>
  <si>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</si>
  <si>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</si>
  <si>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</si>
  <si>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</si>
  <si>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</si>
  <si>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</si>
  <si>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</si>
  <si>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</si>
  <si>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</si>
  <si>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</si>
  <si>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</si>
  <si>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</si>
  <si>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</si>
  <si>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</si>
  <si>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</si>
  <si>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</si>
  <si>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</si>
  <si>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</si>
  <si>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</si>
  <si>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</si>
  <si>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</si>
  <si>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</si>
  <si>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</si>
  <si>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</si>
  <si>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</si>
  <si>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</si>
  <si>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</si>
  <si>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</si>
  <si>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</si>
  <si>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</si>
  <si>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</si>
  <si>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</si>
  <si>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</si>
  <si>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</si>
  <si>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</si>
  <si>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</si>
  <si>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</si>
  <si>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</si>
  <si>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</si>
  <si>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</si>
  <si>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</si>
  <si>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</si>
  <si>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</si>
  <si>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</si>
  <si>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</si>
  <si>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</si>
  <si>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</si>
  <si>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</si>
  <si>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</si>
  <si>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</si>
  <si>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</si>
  <si>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</si>
  <si>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</si>
  <si>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</si>
  <si>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</si>
  <si>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</si>
  <si>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</si>
  <si>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</si>
  <si>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</si>
  <si>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</si>
  <si>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</si>
  <si>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</si>
  <si>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</si>
  <si>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</si>
  <si>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</si>
  <si>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</si>
  <si>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</si>
  <si>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</si>
  <si>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</si>
  <si>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</si>
  <si>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</si>
  <si>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</si>
  <si>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</si>
  <si>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</si>
  <si>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</si>
  <si>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</si>
  <si>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</si>
  <si>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</si>
  <si>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</si>
  <si>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</si>
  <si>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</si>
  <si>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</si>
  <si>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</si>
  <si>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</si>
  <si>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</si>
  <si>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</si>
  <si>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</si>
  <si>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</si>
  <si>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</si>
  <si>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</si>
  <si>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</si>
  <si>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</si>
  <si>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</si>
  <si>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</si>
  <si>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</si>
  <si>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</si>
  <si>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</si>
  <si>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</si>
  <si>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</si>
  <si>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</si>
  <si>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</si>
  <si>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</si>
  <si>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</si>
  <si>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</si>
  <si>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</si>
  <si>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</si>
  <si>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</si>
  <si>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</si>
  <si>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</si>
  <si>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</si>
  <si>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</si>
  <si>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</si>
  <si>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</si>
  <si>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</si>
  <si>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</si>
  <si>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</si>
  <si>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</si>
  <si>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</si>
  <si>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</si>
  <si>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</si>
  <si>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</si>
  <si>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</si>
  <si>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</si>
  <si>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</si>
  <si>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</si>
  <si>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</si>
  <si>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</si>
  <si>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</si>
  <si>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</si>
  <si>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</si>
  <si>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</si>
  <si>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</si>
  <si>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</si>
  <si>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</si>
  <si>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</si>
  <si>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</si>
  <si>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</si>
  <si>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</si>
  <si>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</si>
  <si>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</si>
  <si>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</si>
  <si>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</si>
  <si>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</si>
  <si>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</si>
  <si>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</si>
  <si>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</si>
  <si>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</si>
  <si>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</si>
  <si>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</si>
  <si>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</si>
  <si>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</si>
  <si>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</si>
  <si>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</si>
  <si>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</si>
  <si>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</si>
  <si>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</si>
  <si>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</si>
  <si>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</si>
  <si>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</si>
  <si>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</si>
  <si>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</si>
  <si>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</si>
  <si>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</si>
  <si>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</si>
  <si>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</si>
  <si>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</si>
  <si>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</si>
  <si>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</si>
  <si>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</si>
  <si>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</si>
  <si>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</si>
  <si>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</si>
  <si>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</si>
  <si>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</si>
  <si>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</si>
  <si>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</si>
  <si>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</si>
  <si>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</si>
  <si>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</si>
  <si>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</si>
  <si>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</si>
  <si>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</si>
  <si>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</si>
  <si>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</si>
  <si>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</si>
  <si>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</si>
  <si>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</si>
  <si>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</si>
  <si>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</si>
  <si>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</si>
  <si>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</si>
  <si>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</si>
  <si>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</si>
  <si>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</si>
  <si>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</si>
  <si>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</si>
  <si>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</si>
  <si>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</si>
  <si>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</si>
  <si>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</si>
  <si>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</si>
  <si>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</si>
  <si>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</si>
  <si>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</si>
  <si>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</si>
  <si>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</si>
  <si>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</si>
  <si>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</si>
  <si>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</si>
  <si>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</si>
  <si>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</si>
  <si>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</si>
  <si>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</si>
  <si>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</si>
  <si>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</si>
  <si>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</si>
  <si>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</si>
  <si>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</si>
  <si>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</si>
  <si>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</si>
  <si>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</si>
  <si>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</si>
  <si>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</si>
  <si>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</si>
  <si>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</si>
  <si>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</si>
  <si>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</si>
  <si>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</si>
  <si>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</si>
  <si>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</si>
  <si>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</si>
  <si>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</si>
  <si>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</si>
  <si>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</si>
  <si>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</si>
  <si>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</si>
  <si>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</si>
  <si>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</si>
  <si>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</si>
  <si>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</si>
  <si>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</si>
  <si>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</si>
  <si>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</si>
  <si>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</si>
  <si>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</si>
  <si>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</si>
  <si>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</si>
  <si>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</si>
  <si>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</si>
  <si>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</si>
  <si>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</si>
  <si>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</si>
  <si>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</si>
  <si>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</si>
  <si>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</si>
  <si>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</si>
  <si>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</si>
  <si>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</si>
  <si>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</si>
  <si>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</si>
  <si>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</si>
  <si>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</si>
  <si>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</si>
  <si>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</si>
  <si>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</si>
  <si>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</si>
  <si>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</si>
  <si>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</si>
  <si>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</si>
  <si>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</si>
  <si>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</si>
  <si>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</si>
  <si>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</si>
  <si>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</si>
  <si>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</si>
  <si>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</si>
  <si>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</si>
  <si>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</si>
  <si>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</si>
  <si>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</si>
  <si>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</si>
  <si>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</si>
  <si>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</si>
  <si>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</si>
  <si>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</si>
  <si>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</si>
  <si>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</si>
  <si>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</si>
  <si>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</si>
  <si>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</si>
  <si>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</si>
  <si>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</si>
  <si>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</si>
  <si>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</si>
  <si>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</si>
  <si>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</si>
  <si>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</si>
  <si>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</si>
  <si>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</si>
  <si>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</si>
  <si>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</si>
  <si>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</si>
  <si>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</si>
  <si>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</si>
  <si>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</si>
  <si>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</si>
  <si>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</si>
  <si>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</si>
  <si>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</si>
  <si>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</si>
  <si>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</si>
  <si>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</si>
  <si>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</si>
  <si>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</si>
  <si>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</si>
  <si>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</si>
  <si>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</si>
  <si>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</si>
  <si>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</si>
  <si>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</si>
  <si>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</si>
  <si>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</si>
  <si>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</si>
  <si>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</si>
  <si>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</si>
  <si>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</si>
  <si>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</si>
  <si>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</si>
  <si>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</si>
  <si>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</si>
  <si>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</si>
  <si>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</si>
  <si>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</si>
  <si>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</si>
  <si>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</si>
  <si>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</si>
  <si>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</si>
  <si>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</si>
  <si>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</si>
  <si>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</si>
  <si>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</si>
  <si>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</si>
  <si>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</si>
  <si>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</si>
  <si>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</si>
  <si>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</si>
  <si>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</si>
  <si>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</si>
  <si>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</si>
  <si>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</si>
  <si>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</si>
  <si>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</si>
  <si>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</si>
  <si>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</si>
  <si>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</si>
  <si>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</si>
  <si>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</si>
  <si>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</si>
  <si>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</si>
  <si>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</si>
  <si>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</si>
  <si>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</si>
  <si>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</si>
  <si>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</si>
  <si>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</si>
  <si>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</si>
  <si>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</si>
  <si>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</si>
  <si>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</si>
  <si>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</si>
  <si>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</si>
  <si>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</si>
  <si>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</si>
  <si>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</si>
  <si>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</si>
  <si>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</si>
  <si>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</si>
  <si>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</si>
  <si>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</si>
  <si>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</si>
  <si>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</si>
  <si>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</si>
  <si>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</si>
  <si>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</si>
  <si>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</si>
  <si>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</si>
  <si>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</si>
  <si>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</si>
  <si>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</si>
  <si>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</si>
  <si>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</si>
  <si>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</si>
  <si>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</si>
  <si>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</si>
  <si>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</si>
  <si>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</si>
  <si>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</si>
  <si>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</si>
  <si>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</si>
  <si>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</si>
  <si>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</si>
  <si>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</si>
  <si>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</si>
  <si>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</si>
  <si>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</si>
  <si>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</si>
  <si>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</si>
  <si>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</si>
  <si>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</si>
  <si>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</si>
  <si>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</si>
  <si>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</si>
  <si>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</si>
  <si>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</si>
  <si>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</si>
  <si>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</si>
  <si>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</si>
  <si>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</si>
  <si>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</si>
  <si>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</si>
  <si>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</si>
  <si>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</si>
  <si>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</si>
  <si>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</si>
  <si>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</si>
  <si>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</si>
  <si>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</si>
  <si>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</si>
  <si>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</si>
  <si>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</si>
  <si>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</si>
  <si>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</si>
  <si>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</si>
  <si>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</si>
  <si>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</si>
  <si>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</si>
  <si>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</si>
  <si>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</si>
  <si>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</si>
  <si>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</si>
  <si>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</si>
  <si>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</si>
  <si>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</si>
  <si>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</si>
  <si>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</si>
  <si>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</si>
  <si>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</si>
  <si>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</si>
  <si>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</si>
  <si>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</si>
  <si>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</si>
  <si>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</si>
  <si>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</si>
  <si>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</si>
  <si>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</si>
  <si>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</si>
  <si>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</si>
  <si>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</si>
  <si>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</si>
  <si>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</si>
  <si>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</si>
  <si>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</si>
  <si>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</si>
  <si>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</si>
  <si>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</si>
  <si>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</si>
  <si>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</si>
  <si>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</si>
  <si>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</si>
  <si>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</si>
  <si>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</si>
  <si>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</si>
  <si>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</si>
  <si>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</si>
  <si>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</si>
  <si>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</si>
  <si>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</si>
  <si>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</si>
  <si>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</si>
  <si>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</si>
  <si>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</si>
  <si>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</si>
  <si>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</si>
  <si>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</si>
  <si>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</si>
  <si>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</si>
  <si>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</si>
  <si>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</si>
  <si>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</si>
  <si>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</si>
  <si>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</si>
  <si>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</si>
  <si>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</si>
  <si>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</si>
  <si>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</si>
  <si>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</si>
  <si>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</si>
  <si>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</si>
  <si>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</si>
  <si>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</si>
  <si>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</si>
  <si>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</si>
  <si>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</si>
  <si>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</si>
  <si>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</si>
  <si>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</si>
  <si>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</si>
  <si>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</si>
  <si>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</si>
  <si>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</si>
  <si>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</si>
  <si>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</si>
  <si>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</si>
  <si>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</si>
  <si>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</si>
  <si>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</si>
  <si>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</si>
  <si>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</si>
  <si>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</si>
  <si>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</si>
  <si>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</si>
  <si>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</si>
  <si>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</si>
  <si>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</si>
  <si>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</si>
  <si>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</si>
  <si>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</si>
  <si>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</si>
  <si>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</si>
  <si>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</si>
  <si>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</si>
  <si>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</si>
  <si>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</si>
  <si>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</si>
  <si>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</si>
  <si>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</si>
  <si>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</si>
  <si>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</si>
  <si>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</si>
  <si>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</si>
  <si>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</si>
  <si>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</si>
  <si>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</si>
  <si>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</si>
  <si>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</si>
  <si>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</si>
  <si>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</si>
  <si>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</si>
  <si>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</si>
  <si>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</si>
  <si>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</si>
  <si>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</si>
  <si>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</si>
  <si>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</si>
  <si>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</si>
  <si>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</si>
  <si>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</si>
  <si>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</si>
  <si>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</si>
  <si>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</si>
  <si>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</si>
  <si>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</si>
  <si>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</si>
  <si>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</si>
  <si>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</si>
  <si>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</si>
  <si>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</si>
  <si>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</si>
  <si>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</si>
  <si>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</si>
  <si>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</si>
  <si>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</si>
  <si>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</si>
  <si>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</si>
  <si>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</si>
  <si>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</si>
  <si>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</si>
  <si>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</si>
  <si>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</si>
  <si>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</si>
  <si>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</si>
  <si>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</si>
  <si>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</si>
  <si>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</si>
  <si>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</si>
  <si>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</si>
  <si>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</si>
  <si>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</si>
  <si>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</si>
  <si>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</si>
  <si>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</si>
  <si>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</si>
  <si>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</si>
  <si>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</si>
  <si>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</si>
  <si>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</si>
  <si>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</si>
  <si>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</si>
  <si>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</si>
  <si>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</si>
  <si>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</si>
  <si>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</si>
  <si>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</si>
  <si>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</si>
  <si>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</si>
  <si>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</si>
  <si>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</si>
  <si>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</si>
  <si>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</si>
  <si>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</si>
  <si>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</si>
  <si>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</si>
  <si>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</si>
  <si>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</si>
  <si>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</si>
  <si>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</si>
  <si>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</si>
  <si>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</si>
  <si>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</si>
  <si>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</si>
  <si>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</si>
  <si>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</si>
  <si>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</si>
  <si>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</si>
  <si>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</si>
  <si>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</si>
  <si>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</si>
  <si>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</si>
  <si>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</si>
  <si>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</si>
  <si>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</si>
  <si>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</si>
  <si>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</si>
  <si>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</si>
  <si>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</si>
  <si>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</si>
  <si>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</si>
  <si>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</si>
  <si>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</si>
  <si>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</si>
  <si>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</si>
  <si>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</si>
  <si>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</si>
  <si>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</si>
  <si>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</si>
  <si>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</si>
  <si>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</si>
  <si>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</si>
  <si>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</si>
  <si>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</si>
  <si>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</si>
  <si>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</si>
  <si>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</si>
  <si>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</si>
  <si>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</si>
  <si>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</si>
  <si>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</si>
  <si>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</si>
  <si>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</si>
  <si>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</si>
  <si>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</si>
  <si>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</si>
  <si>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</si>
  <si>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</si>
  <si>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</si>
  <si>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</si>
  <si>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</si>
  <si>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</si>
  <si>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</si>
  <si>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</si>
  <si>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</si>
  <si>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</si>
  <si>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</si>
  <si>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</si>
  <si>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</si>
  <si>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</si>
  <si>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</si>
  <si>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</si>
  <si>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</si>
  <si>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</si>
  <si>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</si>
  <si>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</si>
  <si>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</si>
  <si>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</si>
  <si>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</si>
  <si>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</si>
  <si>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</si>
  <si>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</si>
  <si>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</si>
  <si>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</si>
  <si>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</si>
  <si>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</si>
  <si>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</si>
  <si>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</si>
  <si>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</si>
  <si>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</si>
  <si>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</si>
  <si>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</si>
  <si>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</si>
  <si>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</si>
  <si>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</si>
  <si>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</si>
  <si>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</si>
  <si>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</si>
  <si>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</si>
  <si>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</si>
  <si>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</si>
  <si>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</si>
  <si>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</si>
  <si>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</si>
  <si>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</si>
  <si>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</si>
  <si>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</si>
  <si>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</si>
  <si>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</si>
  <si>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</si>
  <si>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</si>
  <si>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</si>
  <si>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</si>
  <si>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</si>
  <si>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</si>
  <si>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</si>
  <si>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</si>
  <si>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</si>
  <si>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</si>
  <si>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</si>
  <si>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</si>
  <si>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</si>
  <si>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</si>
  <si>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</si>
  <si>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</si>
  <si>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</si>
  <si>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</si>
  <si>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</si>
  <si>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</si>
  <si>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</si>
  <si>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</si>
  <si>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</si>
  <si>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</si>
  <si>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</si>
  <si>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</si>
  <si>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</si>
  <si>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</si>
  <si>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</si>
  <si>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</si>
  <si>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</si>
  <si>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</si>
  <si>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</si>
  <si>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</si>
  <si>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</si>
  <si>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</si>
  <si>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</si>
  <si>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</si>
  <si>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</si>
  <si>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</si>
  <si>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</si>
  <si>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</si>
  <si>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</si>
  <si>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</si>
  <si>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</si>
  <si>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</si>
  <si>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</si>
  <si>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</si>
  <si>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</si>
  <si>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</si>
  <si>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</si>
  <si>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</si>
  <si>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</si>
  <si>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</si>
  <si>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</si>
  <si>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</si>
  <si>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</si>
  <si>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</si>
  <si>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</si>
  <si>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</si>
  <si>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</si>
  <si>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</si>
  <si>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</si>
  <si>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</si>
  <si>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</si>
  <si>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</si>
  <si>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</si>
  <si>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</si>
  <si>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</si>
  <si>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</si>
  <si>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</si>
  <si>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</si>
  <si>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</si>
  <si>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</si>
  <si>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</si>
  <si>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</si>
  <si>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</si>
  <si>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</si>
  <si>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</si>
  <si>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</si>
  <si>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</si>
  <si>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</si>
  <si>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</si>
  <si>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</si>
  <si>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</si>
  <si>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</si>
  <si>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</si>
  <si>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</si>
  <si>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</si>
  <si>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</si>
  <si>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</si>
  <si>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</si>
  <si>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</si>
  <si>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</si>
  <si>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</si>
  <si>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</si>
  <si>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</si>
  <si>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</si>
  <si>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</si>
  <si>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</si>
  <si>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</si>
  <si>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</si>
  <si>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</si>
  <si>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</si>
  <si>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</si>
  <si>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</si>
  <si>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</si>
  <si>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</si>
  <si>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</si>
  <si>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</si>
  <si>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</si>
  <si>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</si>
  <si>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</si>
  <si>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</si>
  <si>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</si>
  <si>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</si>
  <si>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</si>
  <si>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</si>
  <si>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</si>
  <si>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</si>
  <si>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</si>
  <si>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</si>
  <si>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</si>
  <si>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</si>
  <si>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</si>
  <si>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</si>
  <si>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</si>
  <si>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</si>
  <si>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</si>
  <si>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</si>
  <si>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</si>
  <si>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</si>
  <si>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</si>
  <si>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</si>
  <si>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</si>
  <si>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</si>
  <si>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</si>
  <si>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</si>
  <si>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</si>
  <si>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</si>
  <si>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</si>
  <si>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</si>
  <si>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</si>
  <si>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</si>
  <si>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</si>
  <si>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</si>
  <si>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</si>
  <si>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</si>
  <si>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</si>
  <si>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</si>
  <si>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</si>
  <si>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</si>
  <si>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</si>
  <si>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</si>
  <si>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</si>
  <si>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</si>
  <si>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</si>
  <si>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</si>
  <si>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</si>
  <si>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</si>
  <si>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</si>
  <si>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</si>
  <si>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</si>
  <si>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</si>
  <si>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</si>
  <si>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</si>
  <si>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</si>
  <si>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</si>
  <si>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</si>
  <si>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</si>
  <si>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</si>
  <si>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</si>
  <si>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</si>
  <si>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</si>
  <si>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</si>
  <si>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</si>
  <si>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</si>
  <si>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</si>
  <si>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</si>
  <si>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</si>
  <si>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</si>
  <si>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</si>
  <si>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</si>
  <si>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</si>
  <si>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</si>
  <si>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</si>
  <si>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</si>
  <si>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</si>
  <si>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</si>
  <si>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</si>
  <si>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</si>
  <si>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</si>
  <si>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</si>
  <si>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</si>
  <si>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</si>
  <si>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</si>
  <si>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</si>
  <si>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</si>
  <si>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</si>
  <si>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</si>
  <si>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</si>
  <si>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</si>
  <si>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</si>
  <si>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</si>
  <si>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</si>
  <si>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</si>
  <si>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</si>
  <si>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</si>
  <si>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</si>
  <si>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</si>
  <si>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</si>
  <si>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</si>
  <si>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</si>
  <si>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</si>
  <si>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</si>
  <si>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</si>
  <si>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</si>
  <si>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</si>
  <si>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</si>
  <si>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</si>
  <si>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</si>
  <si>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</si>
  <si>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</si>
  <si>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</si>
  <si>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</si>
  <si>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</si>
  <si>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</si>
  <si>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</si>
  <si>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</si>
  <si>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</si>
  <si>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Juan Pascual</t>
  </si>
  <si>
    <t>Corredera 4H, guía oculta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</si>
</sst>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G23" sqref="G2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20250159</v>
      </c>
      <c r="G7" s="8">
        <f ca="1">TODAY()</f>
        <v>45873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1062</v>
      </c>
      <c r="C13" s="79" t="str">
        <f>IFERROR(VLOOKUP($B13,Tarifa_all_20240711!$A$2:$G$660,2,FALSE()),"-")</f>
        <v>CASC.DOBLE GUIA DESM.LAC.6 ESP.2-6 MTS</v>
      </c>
      <c r="D13" s="79"/>
      <c r="E13" s="17">
        <v>1</v>
      </c>
      <c r="F13" s="18">
        <f>IFERROR(VLOOKUP($B13,Tarifa_all_20240711!$A$2:$G$660,5,FALSE()),"-")</f>
        <v>380.9325</v>
      </c>
      <c r="G13" s="18">
        <f t="shared" ref="G13:G30" si="0">IFERROR(E13*F13,"-")</f>
        <v>380.9325</v>
      </c>
      <c r="H13" s="1"/>
    </row>
    <row r="14" spans="1:12" x14ac:dyDescent="0.25">
      <c r="A14" t="s">
        <v>15</v>
      </c>
      <c r="B14" s="16" t="s">
        <v>982</v>
      </c>
      <c r="C14" s="79" t="str">
        <f>IFERROR(VLOOKUP($B14,Tarifa_all_20240711!$A$2:$G$660,2,FALSE()),"-")</f>
        <v>GUIA SKY PLUS DESMONT.LAC.6 ESP.2-6 MTS</v>
      </c>
      <c r="D14" s="79"/>
      <c r="E14" s="17">
        <v>2</v>
      </c>
      <c r="F14" s="18">
        <f>IFERROR(VLOOKUP($B14,Tarifa_all_20240711!$A$2:$G$660,5,FALSE()),"-")</f>
        <v>143.715</v>
      </c>
      <c r="G14" s="18">
        <f t="shared" si="0"/>
        <v>287.43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9</v>
      </c>
      <c r="F15" s="18">
        <f>IFERROR(VLOOKUP($B15,Tarifa_all_20240711!$A$2:$G$660,5,FALSE()),"-")</f>
        <v>11.737500000000001</v>
      </c>
      <c r="G15" s="18">
        <f t="shared" si="0"/>
        <v>105.6375</v>
      </c>
      <c r="H15" s="1"/>
    </row>
    <row r="16" spans="1:12" x14ac:dyDescent="0.25">
      <c r="A16" t="s">
        <v>17</v>
      </c>
      <c r="B16" s="16" t="s">
        <v>341</v>
      </c>
      <c r="C16" s="79" t="str">
        <f>IFERROR(VLOOKUP($B16,Tarifa_all_20240711!$A$2:$G$660,2,FALSE()),"-")</f>
        <v>KIT AMORTIGUADOR SKY BIDIRECCIONAL 60KG</v>
      </c>
      <c r="D16" s="79"/>
      <c r="E16" s="17">
        <v>4</v>
      </c>
      <c r="F16" s="18">
        <f>IFERROR(VLOOKUP($B16,Tarifa_all_20240711!$A$2:$G$660,5,FALSE()),"-")</f>
        <v>30.599999999999998</v>
      </c>
      <c r="G16" s="18">
        <f t="shared" si="0"/>
        <v>122.39999999999999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4</v>
      </c>
      <c r="F17" s="18">
        <f>IFERROR(VLOOKUP($B17,Tarifa_all_20240711!$A$2:$G$660,5,FALSE()),"-")</f>
        <v>215.65500000000003</v>
      </c>
      <c r="G17" s="18">
        <f t="shared" si="0"/>
        <v>862.62000000000012</v>
      </c>
      <c r="H17" s="1"/>
    </row>
    <row r="18" spans="1:8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4</v>
      </c>
      <c r="F18" s="18">
        <f>IFERROR(VLOOKUP($B18,Tarifa_all_20240711!$A$2:$G$660,5,FALSE()),"-")</f>
        <v>29.954999999999998</v>
      </c>
      <c r="G18" s="18">
        <f t="shared" si="0"/>
        <v>119.82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4</v>
      </c>
      <c r="F19" s="18">
        <f>IFERROR(VLOOKUP($B19,Tarifa_all_20240711!$A$2:$G$660,5,FALSE()),"-")</f>
        <v>59.122500000000002</v>
      </c>
      <c r="G19" s="18">
        <f t="shared" si="0"/>
        <v>236.49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4</v>
      </c>
      <c r="F20" s="18">
        <f>IFERROR(VLOOKUP($B20,Tarifa_all_20240711!$A$2:$G$660,5,FALSE()),"-")</f>
        <v>8.61</v>
      </c>
      <c r="G20" s="18">
        <f t="shared" si="0"/>
        <v>34.44</v>
      </c>
      <c r="H20" s="1"/>
    </row>
    <row r="21" spans="1:8" x14ac:dyDescent="0.25">
      <c r="A21" t="s">
        <v>22</v>
      </c>
      <c r="B21" s="16" t="s">
        <v>143</v>
      </c>
      <c r="C21" s="79" t="str">
        <f>IFERROR(VLOOKUP($B21,Tarifa_all_20240711!$A$2:$G$660,2,FALSE()),"-")</f>
        <v>PERFIL EMBELL.HORIZ. ADH LAC.NEGRO TEXTURADO</v>
      </c>
      <c r="D21" s="79"/>
      <c r="E21" s="17">
        <v>8</v>
      </c>
      <c r="F21" s="18">
        <f>IFERROR(VLOOKUP($B21,Tarifa_all_20240711!$A$2:$G$660,5,FALSE()),"-")</f>
        <v>21.794999999999998</v>
      </c>
      <c r="G21" s="18">
        <f t="shared" si="0"/>
        <v>174.35999999999999</v>
      </c>
      <c r="H21" s="1"/>
    </row>
    <row r="22" spans="1:8" x14ac:dyDescent="0.25">
      <c r="B22" s="16" t="s">
        <v>328</v>
      </c>
      <c r="C22" s="79" t="str">
        <f>IFERROR(VLOOKUP($B22,Tarifa_all_20240711!$A$2:$G$660,2,FALSE()),"-")</f>
        <v>ARRASTRE PUERTA PA DCHA LAC.NEGRO MATE</v>
      </c>
      <c r="D22" s="79"/>
      <c r="E22" s="17">
        <v>1</v>
      </c>
      <c r="F22" s="18">
        <f>IFERROR(VLOOKUP($B22,Tarifa_all_20240711!$A$2:$G$660,5,FALSE()),"-")</f>
        <v>13.86</v>
      </c>
      <c r="G22" s="18">
        <f t="shared" si="0"/>
        <v>13.86</v>
      </c>
      <c r="H22" s="1"/>
    </row>
    <row r="23" spans="1:8" x14ac:dyDescent="0.25">
      <c r="B23" s="16" t="s">
        <v>333</v>
      </c>
      <c r="C23" s="79" t="str">
        <f>IFERROR(VLOOKUP($B23,Tarifa_all_20240711!$A$2:$G$660,2,FALSE()),"-")</f>
        <v>ARRASTRE PUERTA PA IZQ LAC.NEGRO MATE</v>
      </c>
      <c r="D23" s="79"/>
      <c r="E23" s="17">
        <v>1</v>
      </c>
      <c r="F23" s="18">
        <f>IFERROR(VLOOKUP($B23,Tarifa_all_20240711!$A$2:$G$660,5,FALSE()),"-")</f>
        <v>13.86</v>
      </c>
      <c r="G23" s="18">
        <f t="shared" si="0"/>
        <v>13.86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2351.8500000000004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Juan Pascual</v>
      </c>
      <c r="C9" s="86"/>
      <c r="D9" s="86"/>
      <c r="F9" s="3" t="s">
        <v>81</v>
      </c>
      <c r="G9" s="44">
        <f ca="1">TODAY()</f>
        <v>45873</v>
      </c>
    </row>
    <row r="10" spans="1:7" x14ac:dyDescent="0.25">
      <c r="A10" s="3" t="s">
        <v>82</v>
      </c>
      <c r="B10" s="11" t="str">
        <f>'DESPIECE (MATANALYSIS)'!C9</f>
        <v>Corredera 4H, guía oculta</v>
      </c>
      <c r="C10" s="45"/>
      <c r="D10" s="45"/>
      <c r="E10" s="46"/>
      <c r="F10" s="47" t="s">
        <v>83</v>
      </c>
      <c r="G10" s="7">
        <f>'DESPIECE (MATANALYSIS)'!C7</f>
        <v>20250159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2351.8500000000004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2025-08-04T16:03:01Z</dcterms:modified>
  <dc:language>es-ES</dc:language>
</cp:coreProperties>
</file>