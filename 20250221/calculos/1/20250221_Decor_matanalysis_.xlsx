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21\calculos\1\"/>
    </mc:Choice>
  </mc:AlternateContent>
  <xr:revisionPtr revIDLastSave="0" documentId="13_ncr:1_{1323D915-EF11-485E-8C8C-A2235DF85958}" xr6:coauthVersionLast="47" xr6:coauthVersionMax="47" xr10:uidLastSave="{00000000-0000-0000-0000-000000000000}"/>
  <bookViews>
    <workbookView xWindow="-17805" yWindow="1095" windowWidth="17520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0" l="1"/>
  <c r="L29" i="10" s="1"/>
  <c r="H20" i="10"/>
  <c r="L28" i="10"/>
  <c r="K29" i="10"/>
  <c r="K28" i="10"/>
  <c r="J30" i="10"/>
  <c r="J29" i="10"/>
  <c r="J28" i="10"/>
  <c r="E21" i="10"/>
  <c r="E27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<sst xmlns="http://schemas.openxmlformats.org/spreadsheetml/2006/main" count="5410" uniqueCount="1455">
  <si>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</si>
  <si>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</si>
  <si>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</si>
  <si>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</si>
  <si>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</si>
  <si>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</si>
  <si>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</si>
  <si>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</si>
  <si>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</si>
  <si>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</si>
  <si>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</si>
  <si>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</si>
  <si>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</si>
  <si>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</si>
  <si>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</si>
  <si>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</si>
  <si>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</si>
  <si>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</si>
  <si>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</si>
  <si>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</si>
  <si>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</si>
  <si>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</si>
  <si>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</si>
  <si>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</si>
  <si>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</si>
  <si>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</si>
  <si>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</si>
  <si>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</si>
  <si>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</si>
  <si>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</si>
  <si>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</si>
  <si>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</si>
  <si>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</si>
  <si>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</si>
  <si>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</si>
  <si>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</si>
  <si>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</si>
  <si>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</si>
  <si>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</si>
  <si>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</si>
  <si>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</si>
  <si>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</si>
  <si>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</si>
  <si>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</si>
  <si>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</si>
  <si>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</si>
  <si>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</si>
  <si>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</si>
  <si>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</si>
  <si>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</si>
  <si>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</si>
  <si>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</si>
  <si>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</si>
  <si>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</si>
  <si>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</si>
  <si>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</si>
  <si>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</si>
  <si>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</si>
  <si>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</si>
  <si>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</si>
  <si>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</si>
  <si>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</si>
  <si>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</si>
  <si>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</si>
  <si>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</si>
  <si>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</si>
  <si>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</si>
  <si>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</si>
  <si>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</si>
  <si>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</si>
  <si>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</si>
  <si>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</si>
  <si>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</si>
  <si>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</si>
  <si>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</si>
  <si>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</si>
  <si>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</si>
  <si>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</si>
  <si>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</si>
  <si>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</si>
  <si>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</si>
  <si>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</si>
  <si>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</si>
  <si>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</si>
  <si>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</si>
  <si>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</si>
  <si>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</si>
  <si>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</si>
  <si>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</si>
  <si>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</si>
  <si>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</si>
  <si>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</si>
  <si>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</si>
  <si>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</si>
  <si>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</si>
  <si>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</si>
  <si>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</si>
  <si>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</si>
  <si>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</si>
  <si>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</si>
  <si>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</si>
  <si>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</si>
  <si>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</si>
  <si>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</si>
  <si>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</si>
  <si>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</si>
  <si>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</si>
  <si>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</si>
  <si>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</si>
  <si>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</si>
  <si>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</si>
  <si>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</si>
  <si>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</si>
  <si>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</si>
  <si>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</si>
  <si>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</si>
  <si>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</si>
  <si>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</si>
  <si>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</si>
  <si>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</si>
  <si>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</si>
  <si>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</si>
  <si>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</si>
  <si>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</si>
  <si>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</si>
  <si>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</si>
  <si>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</si>
  <si>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</si>
  <si>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</si>
  <si>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</si>
  <si>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</si>
  <si>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</si>
  <si>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</si>
  <si>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</si>
  <si>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</si>
  <si>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</si>
  <si>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</si>
  <si>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</si>
  <si>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</si>
  <si>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</si>
  <si>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</si>
  <si>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</si>
  <si>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</si>
  <si>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</si>
  <si>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</si>
  <si>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</si>
  <si>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</si>
  <si>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</si>
  <si>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</si>
  <si>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</si>
  <si>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</si>
  <si>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</si>
  <si>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</si>
  <si>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</si>
  <si>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</si>
  <si>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</si>
  <si>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</si>
  <si>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</si>
  <si>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</si>
  <si>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</si>
  <si>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</si>
  <si>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</si>
  <si>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</si>
  <si>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</si>
  <si>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</si>
  <si>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</si>
  <si>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</si>
  <si>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</si>
  <si>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</si>
  <si>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</si>
  <si>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</si>
  <si>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</si>
  <si>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</si>
  <si>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</si>
  <si>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</si>
  <si>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</si>
  <si>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</si>
  <si>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</si>
  <si>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</si>
  <si>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</si>
  <si>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</si>
  <si>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</si>
  <si>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</si>
  <si>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</si>
  <si>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</si>
  <si>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</si>
  <si>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</si>
  <si>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</si>
  <si>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</si>
  <si>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</si>
  <si>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</si>
  <si>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</si>
  <si>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</si>
  <si>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</si>
  <si>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</si>
  <si>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</si>
  <si>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</si>
  <si>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</si>
  <si>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</si>
  <si>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</si>
  <si>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</si>
  <si>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</si>
  <si>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</si>
  <si>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</si>
  <si>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</si>
  <si>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</si>
  <si>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</si>
  <si>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</si>
  <si>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</si>
  <si>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</si>
  <si>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</si>
  <si>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</si>
  <si>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</si>
  <si>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</si>
  <si>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</si>
  <si>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</si>
  <si>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</si>
  <si>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</si>
  <si>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</si>
  <si>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</si>
  <si>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</si>
  <si>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</si>
  <si>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</si>
  <si>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</si>
  <si>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</si>
  <si>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</si>
  <si>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</si>
  <si>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</si>
  <si>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</si>
  <si>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</si>
  <si>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</si>
  <si>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</si>
  <si>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</si>
  <si>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</si>
  <si>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</si>
  <si>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</si>
  <si>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</si>
  <si>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</si>
  <si>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</si>
  <si>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</si>
  <si>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</si>
  <si>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</si>
  <si>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</si>
  <si>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</si>
  <si>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</si>
  <si>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</si>
  <si>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</si>
  <si>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</si>
  <si>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</si>
  <si>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</si>
  <si>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</si>
  <si>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</si>
  <si>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</si>
  <si>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</si>
  <si>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</si>
  <si>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</si>
  <si>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</si>
  <si>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</si>
  <si>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</si>
  <si>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</si>
  <si>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</si>
  <si>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</si>
  <si>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</si>
  <si>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</si>
  <si>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</si>
  <si>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</si>
  <si>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</si>
  <si>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</si>
  <si>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</si>
  <si>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</si>
  <si>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</si>
  <si>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</si>
  <si>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</si>
  <si>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</si>
  <si>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</si>
  <si>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</si>
  <si>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</si>
  <si>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</si>
  <si>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</si>
  <si>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</si>
  <si>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</si>
  <si>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</si>
  <si>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</si>
  <si>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</si>
  <si>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</si>
  <si>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</si>
  <si>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</si>
  <si>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</si>
  <si>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</si>
  <si>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</si>
  <si>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</si>
  <si>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</si>
  <si>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</si>
  <si>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</si>
  <si>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</si>
  <si>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</si>
  <si>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</si>
  <si>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</si>
  <si>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</si>
  <si>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</si>
  <si>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</si>
  <si>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</si>
  <si>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</si>
  <si>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</si>
  <si>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</si>
  <si>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</si>
  <si>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</si>
  <si>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</si>
  <si>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</si>
  <si>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</si>
  <si>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</si>
  <si>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</si>
  <si>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</si>
  <si>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</si>
  <si>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</si>
  <si>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</si>
  <si>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</si>
  <si>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</si>
  <si>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</si>
  <si>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</si>
  <si>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</si>
  <si>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</si>
  <si>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</si>
  <si>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</si>
  <si>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</si>
  <si>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</si>
  <si>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</si>
  <si>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</si>
  <si>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</si>
  <si>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</si>
  <si>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</si>
  <si>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</si>
  <si>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</si>
  <si>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</si>
  <si>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</si>
  <si>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</si>
  <si>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</si>
  <si>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</si>
  <si>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</si>
  <si>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</si>
  <si>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</si>
  <si>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</si>
  <si>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</si>
  <si>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</si>
  <si>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</si>
  <si>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</si>
  <si>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</si>
  <si>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</si>
  <si>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</si>
  <si>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</si>
  <si>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</si>
  <si>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</si>
  <si>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</si>
  <si>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</si>
  <si>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</si>
  <si>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</si>
  <si>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</si>
  <si>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</si>
  <si>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</si>
  <si>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</si>
  <si>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</si>
  <si>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</si>
  <si>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</si>
  <si>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</si>
  <si>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</si>
  <si>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</si>
  <si>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</si>
  <si>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</si>
  <si>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</si>
  <si>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</si>
  <si>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</si>
  <si>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</si>
  <si>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</si>
  <si>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</si>
  <si>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</si>
  <si>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</si>
  <si>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</si>
  <si>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</si>
  <si>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</si>
  <si>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</si>
  <si>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</si>
  <si>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</si>
  <si>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</si>
  <si>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</si>
  <si>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</si>
  <si>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</si>
  <si>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</si>
  <si>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</si>
  <si>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</si>
  <si>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</si>
  <si>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</si>
  <si>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</si>
  <si>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</si>
  <si>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</si>
  <si>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</si>
  <si>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</si>
  <si>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</si>
  <si>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</si>
  <si>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</si>
  <si>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</si>
  <si>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</si>
  <si>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</si>
  <si>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</si>
  <si>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</si>
  <si>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</si>
  <si>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</si>
  <si>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</si>
  <si>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</si>
  <si>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</si>
  <si>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</si>
  <si>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</si>
  <si>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</si>
  <si>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</si>
  <si>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</si>
  <si>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</si>
  <si>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</si>
  <si>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</si>
  <si>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</si>
  <si>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</si>
  <si>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</si>
  <si>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</si>
  <si>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</si>
  <si>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</si>
  <si>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</si>
  <si>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</si>
  <si>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</si>
  <si>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</si>
  <si>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</si>
  <si>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</si>
  <si>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</si>
  <si>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</si>
  <si>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</si>
  <si>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</si>
  <si>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</si>
  <si>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</si>
  <si>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</si>
  <si>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</si>
  <si>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</si>
  <si>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</si>
  <si>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</si>
  <si>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</si>
  <si>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</si>
  <si>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</si>
  <si>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</si>
  <si>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</si>
  <si>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</si>
  <si>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</si>
  <si>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</si>
  <si>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</si>
  <si>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</si>
  <si>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</si>
  <si>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</si>
  <si>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</si>
  <si>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</si>
  <si>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</si>
  <si>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</si>
  <si>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</si>
  <si>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</si>
  <si>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</si>
  <si>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</si>
  <si>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</si>
  <si>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</si>
  <si>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</si>
  <si>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</si>
  <si>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</si>
  <si>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</si>
  <si>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</si>
  <si>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</si>
  <si>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</si>
  <si>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</si>
  <si>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</si>
  <si>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</si>
  <si>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</si>
  <si>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</si>
  <si>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</si>
  <si>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</si>
  <si>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</si>
  <si>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</si>
  <si>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</si>
  <si>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</si>
  <si>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</si>
  <si>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</si>
  <si>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</si>
  <si>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</si>
  <si>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</si>
  <si>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</si>
  <si>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</si>
  <si>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</si>
  <si>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</si>
  <si>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</si>
  <si>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</si>
  <si>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</si>
  <si>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</si>
  <si>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</si>
  <si>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</si>
  <si>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</si>
  <si>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</si>
  <si>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</si>
  <si>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</si>
  <si>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</si>
  <si>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</si>
  <si>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</si>
  <si>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</si>
  <si>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</si>
  <si>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</si>
  <si>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</si>
  <si>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</si>
  <si>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</si>
  <si>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</si>
  <si>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</si>
  <si>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</si>
  <si>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</si>
  <si>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</si>
  <si>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</si>
  <si>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</si>
  <si>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</si>
  <si>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</si>
  <si>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</si>
  <si>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</si>
  <si>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</si>
  <si>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</si>
  <si>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</si>
  <si>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</si>
  <si>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</si>
  <si>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</si>
  <si>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</si>
  <si>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</si>
  <si>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</si>
  <si>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</si>
  <si>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</si>
  <si>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</si>
  <si>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</si>
  <si>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</si>
  <si>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</si>
  <si>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</si>
  <si>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</si>
  <si>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</si>
  <si>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</si>
  <si>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</si>
  <si>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</si>
  <si>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</si>
  <si>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</si>
  <si>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</si>
  <si>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</si>
  <si>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</si>
  <si>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</si>
  <si>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</si>
  <si>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</si>
  <si>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</si>
  <si>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</si>
  <si>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</si>
  <si>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</si>
  <si>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</si>
  <si>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</si>
  <si>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</si>
  <si>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</si>
  <si>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</si>
  <si>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</si>
  <si>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</si>
  <si>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</si>
  <si>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</si>
  <si>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</si>
  <si>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</si>
  <si>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</si>
  <si>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</si>
  <si>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</si>
  <si>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</si>
  <si>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</si>
  <si>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</si>
  <si>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</si>
  <si>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</si>
  <si>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</si>
  <si>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</si>
  <si>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</si>
  <si>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</si>
  <si>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</si>
  <si>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</si>
  <si>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</si>
  <si>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</si>
  <si>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</si>
  <si>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</si>
  <si>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</si>
  <si>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</si>
  <si>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</si>
  <si>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</si>
  <si>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</si>
  <si>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</si>
  <si>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</si>
  <si>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</si>
  <si>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</si>
  <si>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</si>
  <si>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</si>
  <si>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</si>
  <si>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</si>
  <si>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</si>
  <si>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</si>
  <si>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</si>
  <si>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</si>
  <si>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</si>
  <si>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</si>
  <si>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</si>
  <si>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</si>
  <si>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</si>
  <si>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</si>
  <si>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</si>
  <si>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</si>
  <si>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</si>
  <si>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</si>
  <si>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</si>
  <si>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</si>
  <si>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</si>
  <si>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</si>
  <si>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</si>
  <si>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</si>
  <si>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</si>
  <si>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</si>
  <si>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</si>
  <si>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</si>
  <si>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</si>
  <si>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</si>
  <si>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</si>
  <si>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</si>
  <si>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</si>
  <si>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</si>
  <si>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</si>
  <si>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</si>
  <si>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</si>
  <si>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</si>
  <si>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</si>
  <si>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</si>
  <si>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</si>
  <si>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</si>
  <si>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</si>
  <si>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</si>
  <si>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</si>
  <si>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</si>
  <si>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</si>
  <si>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</si>
  <si>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</si>
  <si>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</si>
  <si>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</si>
  <si>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</si>
  <si>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</si>
  <si>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</si>
  <si>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</si>
  <si>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</si>
  <si>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</si>
  <si>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</si>
  <si>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</si>
  <si>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</si>
  <si>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</si>
  <si>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</si>
  <si>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</si>
  <si>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</si>
  <si>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</si>
  <si>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</si>
  <si>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</si>
  <si>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</si>
  <si>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</si>
  <si>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</si>
  <si>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</si>
  <si>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</si>
  <si>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</si>
  <si>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</si>
  <si>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</si>
  <si>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</si>
  <si>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</si>
  <si>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</si>
  <si>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</si>
  <si>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</si>
  <si>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</si>
  <si>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</si>
  <si>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</si>
  <si>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</si>
  <si>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</si>
  <si>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</si>
  <si>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</si>
  <si>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</si>
  <si>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</si>
  <si>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</si>
  <si>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</si>
  <si>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</si>
  <si>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</si>
  <si>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</si>
  <si>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</si>
  <si>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</si>
  <si>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</si>
  <si>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</si>
  <si>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</si>
  <si>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</si>
  <si>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</si>
  <si>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</si>
  <si>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</si>
  <si>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</si>
  <si>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</si>
  <si>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</si>
  <si>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</si>
  <si>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</si>
  <si>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</si>
  <si>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</si>
  <si>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</si>
  <si>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</si>
  <si>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</si>
  <si>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</si>
  <si>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</si>
  <si>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</si>
  <si>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</si>
  <si>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</si>
  <si>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</si>
  <si>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</si>
  <si>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</si>
  <si>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</si>
  <si>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</si>
  <si>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</si>
  <si>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</si>
  <si>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</si>
  <si>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</si>
  <si>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</si>
  <si>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</si>
  <si>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</si>
  <si>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</si>
  <si>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</si>
  <si>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</si>
  <si>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</si>
  <si>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</si>
  <si>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</si>
  <si>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</si>
  <si>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</si>
  <si>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</si>
  <si>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</si>
  <si>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</si>
  <si>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</si>
  <si>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</si>
  <si>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</si>
  <si>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</si>
  <si>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</si>
  <si>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</si>
  <si>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</si>
  <si>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</si>
  <si>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</si>
  <si>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</si>
  <si>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</si>
  <si>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</si>
  <si>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</si>
  <si>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</si>
  <si>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</si>
  <si>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</si>
  <si>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</si>
  <si>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</si>
  <si>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</si>
  <si>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</si>
  <si>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</si>
  <si>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</si>
  <si>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</si>
  <si>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</si>
  <si>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</si>
  <si>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</si>
  <si>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</si>
  <si>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</si>
  <si>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</si>
  <si>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</si>
  <si>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</si>
  <si>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</si>
  <si>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</si>
  <si>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</si>
  <si>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</si>
  <si>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</si>
  <si>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</si>
  <si>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</si>
  <si>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</si>
  <si>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</si>
  <si>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</si>
  <si>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</si>
  <si>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</si>
  <si>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</si>
  <si>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</si>
  <si>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</si>
  <si>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</si>
  <si>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</si>
  <si>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</si>
  <si>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</si>
  <si>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</si>
  <si>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</si>
  <si>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</si>
  <si>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</si>
  <si>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</si>
  <si>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</si>
  <si>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</si>
  <si>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</si>
  <si>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</si>
  <si>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</si>
  <si>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</si>
  <si>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</si>
  <si>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</si>
  <si>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</si>
  <si>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</si>
  <si>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</si>
  <si>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</si>
  <si>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</si>
  <si>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</si>
  <si>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</si>
  <si>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</si>
  <si>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</si>
  <si>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</si>
  <si>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</si>
  <si>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</si>
  <si>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</si>
  <si>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</si>
  <si>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</si>
  <si>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</si>
  <si>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</si>
  <si>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</si>
  <si>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</si>
  <si>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</si>
  <si>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</si>
  <si>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</si>
  <si>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</si>
  <si>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</si>
  <si>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</si>
  <si>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</si>
  <si>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</si>
  <si>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</si>
  <si>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</si>
  <si>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</si>
  <si>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</si>
  <si>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</si>
  <si>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</si>
  <si>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</si>
  <si>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</si>
  <si>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</si>
  <si>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</si>
  <si>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</si>
  <si>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</si>
  <si>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</si>
  <si>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</si>
  <si>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</si>
  <si>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</si>
  <si>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</si>
  <si>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</si>
  <si>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</si>
  <si>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</si>
  <si>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</si>
  <si>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</si>
  <si>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</si>
  <si>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</si>
  <si>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</si>
  <si>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</si>
  <si>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</si>
  <si>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</si>
  <si>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</si>
  <si>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</si>
  <si>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</si>
  <si>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</si>
  <si>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</si>
  <si>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</si>
  <si>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</si>
  <si>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</si>
  <si>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</si>
  <si>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</si>
  <si>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</si>
  <si>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</si>
  <si>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</si>
  <si>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</si>
  <si>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</si>
  <si>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</si>
  <si>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</si>
  <si>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</si>
  <si>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</si>
  <si>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</si>
  <si>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</si>
  <si>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</si>
  <si>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</si>
  <si>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</si>
  <si>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</si>
  <si>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</si>
  <si>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</si>
  <si>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</si>
  <si>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</si>
  <si>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</si>
  <si>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</si>
  <si>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</si>
  <si>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</si>
  <si>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</si>
  <si>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</si>
  <si>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</si>
  <si>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</si>
  <si>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</si>
  <si>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</si>
  <si>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</si>
  <si>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</si>
  <si>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</si>
  <si>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</si>
  <si>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</si>
  <si>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</si>
  <si>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</si>
  <si>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</si>
  <si>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</si>
  <si>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</si>
  <si>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</si>
  <si>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</si>
  <si>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</si>
  <si>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</si>
  <si>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</si>
  <si>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</si>
  <si>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</si>
  <si>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</si>
  <si>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</si>
  <si>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</si>
  <si>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</si>
  <si>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</si>
  <si>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</si>
  <si>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</si>
  <si>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</si>
  <si>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</si>
  <si>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</si>
  <si>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</si>
  <si>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</si>
  <si>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</si>
  <si>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</si>
  <si>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</si>
  <si>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</si>
  <si>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</si>
  <si>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</si>
  <si>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</si>
  <si>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</si>
  <si>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</si>
  <si>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</si>
  <si>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</si>
  <si>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</si>
  <si>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</si>
  <si>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</si>
  <si>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</si>
  <si>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</si>
  <si>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</si>
  <si>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</si>
  <si>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</si>
  <si>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</si>
  <si>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</si>
  <si>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</si>
  <si>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</si>
  <si>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</si>
  <si>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</si>
  <si>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</si>
  <si>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</si>
  <si>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</si>
  <si>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</si>
  <si>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</si>
  <si>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</si>
  <si>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</si>
  <si>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</si>
  <si>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</si>
  <si>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</si>
  <si>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</si>
  <si>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</si>
  <si>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</si>
  <si>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</si>
  <si>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</si>
  <si>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</si>
  <si>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</si>
  <si>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</si>
  <si>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</si>
  <si>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</si>
  <si>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</si>
  <si>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</si>
  <si>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</si>
  <si>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</si>
  <si>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</si>
  <si>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</si>
  <si>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</si>
  <si>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</si>
  <si>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</si>
  <si>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</si>
  <si>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</si>
  <si>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</si>
  <si>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</si>
  <si>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</si>
  <si>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</si>
  <si>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</si>
  <si>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</si>
  <si>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</si>
  <si>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</si>
  <si>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</si>
  <si>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</si>
  <si>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</si>
  <si>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</si>
  <si>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</si>
  <si>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</si>
  <si>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</si>
  <si>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</si>
  <si>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</si>
  <si>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</si>
  <si>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</si>
  <si>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</si>
  <si>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</si>
  <si>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</si>
  <si>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</si>
  <si>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</si>
  <si>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</si>
  <si>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</si>
  <si>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</si>
  <si>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</si>
  <si>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</si>
  <si>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</si>
  <si>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</si>
  <si>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</si>
  <si>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</si>
  <si>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</si>
  <si>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</si>
  <si>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</si>
  <si>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</si>
  <si>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</si>
  <si>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</si>
  <si>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</si>
  <si>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</si>
  <si>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</si>
  <si>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</si>
  <si>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</si>
  <si>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</si>
  <si>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</si>
  <si>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</si>
  <si>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</si>
  <si>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</si>
  <si>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</si>
  <si>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</si>
  <si>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</si>
  <si>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</si>
  <si>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</si>
  <si>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</si>
  <si>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</si>
  <si>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</si>
  <si>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</si>
  <si>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</si>
  <si>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</si>
  <si>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</si>
  <si>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</si>
  <si>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</si>
  <si>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</si>
  <si>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</si>
  <si>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</si>
  <si>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</si>
  <si>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</si>
  <si>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</si>
  <si>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</si>
  <si>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</si>
  <si>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</si>
  <si>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</si>
  <si>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</si>
  <si>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</si>
  <si>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</si>
  <si>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</si>
  <si>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</si>
  <si>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</si>
  <si>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</si>
  <si>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</si>
  <si>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</si>
  <si>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</si>
  <si>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</si>
  <si>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</si>
  <si>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</si>
  <si>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</si>
  <si>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</si>
  <si>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</si>
  <si>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</si>
  <si>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</si>
  <si>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</si>
  <si>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</si>
  <si>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</si>
  <si>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</si>
  <si>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</si>
  <si>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</si>
  <si>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</si>
  <si>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</si>
  <si>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</si>
  <si>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</si>
  <si>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</si>
  <si>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</si>
  <si>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</si>
  <si>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</si>
  <si>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</si>
  <si>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</si>
  <si>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</si>
  <si>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</si>
  <si>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</si>
  <si>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</si>
  <si>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</si>
  <si>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</si>
  <si>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</si>
  <si>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</si>
  <si>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</si>
  <si>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</si>
  <si>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</si>
  <si>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</si>
  <si>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</si>
  <si>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</si>
  <si>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</si>
  <si>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</si>
  <si>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</si>
  <si>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</si>
  <si>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</si>
  <si>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</si>
  <si>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</si>
  <si>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</si>
  <si>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</si>
  <si>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</si>
  <si>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</si>
  <si>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</si>
  <si>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</si>
  <si>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</si>
  <si>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</si>
  <si>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</si>
  <si>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</si>
  <si>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</si>
  <si>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</si>
  <si>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</si>
  <si>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</si>
  <si>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</si>
  <si>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</si>
  <si>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</si>
  <si>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</si>
  <si>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</si>
  <si>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</si>
  <si>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</si>
  <si>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</si>
  <si>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</si>
  <si>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</si>
  <si>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</si>
  <si>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</si>
  <si>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</si>
  <si>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</si>
  <si>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</si>
  <si>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</si>
  <si>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</si>
  <si>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</si>
  <si>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</si>
  <si>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</si>
  <si>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</si>
  <si>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</si>
  <si>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</si>
  <si>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</si>
  <si>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</si>
  <si>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</si>
  <si>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</si>
  <si>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</si>
  <si>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</si>
  <si>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</si>
  <si>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</si>
  <si>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</si>
  <si>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</si>
  <si>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</si>
  <si>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</si>
  <si>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</si>
  <si>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</si>
  <si>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</si>
  <si>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</si>
  <si>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</si>
  <si>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</si>
  <si>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</si>
  <si>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</si>
  <si>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</si>
  <si>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</si>
  <si>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</si>
  <si>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</si>
  <si>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</si>
  <si>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</si>
  <si>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</si>
  <si>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</si>
  <si>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</si>
  <si>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</si>
  <si>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</si>
  <si>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</si>
  <si>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</si>
  <si>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</si>
  <si>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</si>
  <si>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</si>
  <si>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</si>
  <si>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</si>
  <si>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</si>
  <si>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</si>
  <si>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</si>
  <si>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</si>
  <si>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</si>
  <si>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</si>
  <si>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</si>
  <si>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</si>
  <si>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</si>
  <si>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</si>
  <si>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</si>
  <si>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</si>
  <si>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</si>
  <si>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</si>
  <si>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</si>
  <si>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</si>
  <si>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</si>
  <si>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</si>
  <si>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</si>
  <si>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</si>
  <si>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</si>
  <si>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</si>
  <si>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</si>
  <si>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</si>
  <si>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</si>
  <si>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</si>
  <si>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</si>
  <si>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</si>
  <si>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</si>
  <si>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</si>
  <si>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</si>
  <si>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</si>
  <si>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</si>
  <si>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</si>
  <si>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</si>
  <si>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</si>
  <si>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</si>
  <si>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</si>
  <si>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</si>
  <si>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</si>
  <si>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</si>
  <si>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</si>
  <si>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</si>
  <si>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</si>
  <si>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</si>
  <si>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</si>
  <si>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</si>
  <si>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</si>
  <si>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</si>
  <si>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</si>
  <si>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</si>
  <si>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</si>
  <si>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</si>
  <si>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</si>
  <si>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</si>
  <si>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</si>
  <si>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</si>
  <si>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</si>
  <si>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</si>
  <si>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</si>
  <si>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</si>
  <si>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</si>
  <si>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</si>
  <si>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</si>
  <si>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</si>
  <si>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</si>
  <si>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</si>
  <si>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</si>
  <si>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</si>
  <si>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</si>
  <si>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</si>
  <si>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</si>
  <si>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</si>
  <si>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</si>
  <si>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</si>
  <si>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</si>
  <si>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</si>
  <si>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</si>
  <si>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</si>
  <si>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</si>
  <si>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</si>
  <si>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</si>
  <si>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</si>
  <si>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</si>
  <si>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</si>
  <si>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</si>
  <si>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</si>
  <si>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</si>
  <si>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</si>
  <si>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</si>
  <si>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</si>
  <si>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</si>
  <si>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</si>
  <si>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</si>
  <si>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</si>
  <si>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</si>
  <si>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</si>
  <si>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</si>
  <si>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</si>
  <si>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</si>
  <si>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</si>
  <si>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</si>
  <si>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</si>
  <si>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</si>
  <si>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</si>
  <si>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</si>
  <si>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</si>
  <si>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</si>
  <si>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</si>
  <si>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</si>
  <si>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</si>
  <si>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</si>
  <si>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</si>
  <si>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</si>
  <si>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</si>
  <si>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</si>
  <si>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</si>
  <si>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</si>
  <si>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</si>
  <si>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</si>
  <si>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</si>
  <si>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</si>
  <si>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</si>
  <si>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</si>
  <si>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</si>
  <si>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</si>
  <si>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</si>
  <si>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</si>
  <si>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</si>
  <si>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</si>
  <si>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</si>
  <si>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</si>
  <si>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</si>
  <si>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</si>
  <si>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</si>
  <si>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</si>
  <si>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</si>
  <si>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</si>
  <si>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</si>
  <si>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</si>
  <si>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</si>
  <si>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</si>
  <si>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</si>
  <si>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</si>
  <si>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</si>
  <si>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</si>
  <si>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</si>
  <si>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</si>
  <si>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</si>
  <si>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</si>
  <si>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</si>
  <si>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</si>
  <si>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</si>
  <si>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</si>
  <si>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</si>
  <si>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</si>
  <si>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</si>
  <si>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</si>
  <si>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</si>
  <si>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</si>
  <si>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</si>
  <si>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</si>
  <si>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</si>
  <si>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</si>
  <si>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</si>
  <si>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</si>
  <si>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</si>
  <si>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</si>
  <si>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</si>
  <si>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</si>
  <si>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</si>
  <si>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</si>
  <si>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</si>
  <si>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</si>
  <si>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</si>
  <si>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</si>
  <si>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</si>
  <si>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</si>
  <si>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</si>
  <si>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</si>
  <si>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</si>
  <si>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</si>
  <si>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</si>
  <si>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</si>
  <si>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</si>
  <si>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</si>
  <si>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</si>
  <si>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</si>
  <si>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</si>
  <si>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</si>
  <si>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</si>
  <si>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</si>
  <si>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</si>
  <si>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</si>
  <si>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</si>
  <si>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</si>
  <si>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</si>
  <si>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</si>
  <si>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</si>
  <si>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</si>
  <si>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</si>
  <si>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</si>
  <si>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</si>
  <si>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</si>
  <si>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</si>
  <si>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</si>
  <si>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</si>
  <si>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</si>
  <si>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</si>
  <si>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</si>
  <si>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</si>
  <si>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</si>
  <si>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</si>
  <si>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</si>
  <si>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</si>
  <si>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</si>
  <si>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</si>
  <si>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</si>
  <si>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</si>
  <si>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</si>
  <si>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</si>
  <si>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</si>
  <si>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</si>
  <si>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</si>
  <si>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</si>
  <si>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</si>
  <si>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</si>
  <si>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</si>
  <si>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</si>
  <si>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</si>
  <si>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</si>
  <si>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</si>
  <si>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</si>
  <si>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</si>
  <si>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</si>
  <si>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</si>
  <si>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</si>
  <si>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</si>
  <si>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</si>
  <si>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</si>
  <si>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</si>
  <si>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</si>
  <si>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</si>
  <si>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</si>
  <si>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</si>
  <si>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</si>
  <si>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</si>
  <si>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</si>
  <si>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</si>
  <si>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</si>
  <si>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</si>
  <si>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</si>
  <si>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</si>
  <si>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</si>
  <si>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</si>
  <si>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</si>
  <si>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</si>
  <si>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</si>
  <si>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</si>
  <si>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</si>
  <si>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</si>
  <si>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</si>
  <si>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</si>
  <si>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</si>
  <si>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</si>
  <si>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</si>
  <si>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</si>
  <si>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</si>
  <si>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</si>
  <si>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</si>
  <si>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</si>
  <si>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</si>
  <si>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</si>
  <si>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</si>
  <si>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</si>
  <si>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</si>
  <si>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Juanita Serna</t>
  </si>
  <si>
    <t>DF1</t>
  </si>
  <si>
    <t>DF2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</si>
</sst>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/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view="pageBreakPreview" zoomScale="60" zoomScaleNormal="100" workbookViewId="0">
      <selection activeCell="G22" sqref="G22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20250221</v>
      </c>
      <c r="G7" s="8">
        <f ca="1">TODAY()</f>
        <v>45971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5" t="str">
        <f>IFERROR(VLOOKUP($B13,Tarifa_all_20240711!$A$2:$G$660,2,FALSE()),"-")</f>
        <v>CARC.SIMPLE GUIA DESM.LAC.6 ESP.2-2 MTS</v>
      </c>
      <c r="D13" s="85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85" t="str">
        <f>IFERROR(VLOOKUP($B14,Tarifa_all_20240711!$A$2:$G$660,2,FALSE()),"-")</f>
        <v>GUIA SKY PLUS DESMONT.LAC.6 ESP.2-2 MTS</v>
      </c>
      <c r="D14" s="85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85" t="str">
        <f>IFERROR(VLOOKUP($B15,Tarifa_all_20240711!$A$2:$G$660,2,FALSE()),"-")</f>
        <v>KIT ANCLAJE TECHO PARA GUIA PLADUR PLUS DEMONTABLE</v>
      </c>
      <c r="D15" s="85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85" t="str">
        <f>IFERROR(VLOOKUP($B16,Tarifa_all_20240711!$A$2:$G$660,2,FALSE()),"-")</f>
        <v>KIT AMORTIGUADOR SKY GUIA DESMONT. BIDIRECCIONAL 60KG</v>
      </c>
      <c r="D16" s="85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12" x14ac:dyDescent="0.25">
      <c r="A17" t="s">
        <v>18</v>
      </c>
      <c r="B17" s="16" t="s">
        <v>134</v>
      </c>
      <c r="C17" s="85" t="str">
        <f>IFERROR(VLOOKUP($B17,Tarifa_all_20240711!$A$2:$G$660,2,FALSE()),"-")</f>
        <v>KIT PUERTA PA CORREDERA LAC.NEGRO TEXTURADO</v>
      </c>
      <c r="D17" s="85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12" x14ac:dyDescent="0.25">
      <c r="A18" t="s">
        <v>19</v>
      </c>
      <c r="B18" s="16" t="s">
        <v>337</v>
      </c>
      <c r="C18" s="85" t="str">
        <f>IFERROR(VLOOKUP($B18,Tarifa_all_20240711!$A$2:$G$660,2,FALSE()),"-")</f>
        <v>CARRO SKY MADERA 120KG</v>
      </c>
      <c r="D18" s="85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12" x14ac:dyDescent="0.25">
      <c r="A19" t="s">
        <v>20</v>
      </c>
      <c r="B19" s="16" t="s">
        <v>515</v>
      </c>
      <c r="C19" s="85" t="str">
        <f>IFERROR(VLOOKUP($B19,Tarifa_all_20240711!$A$2:$G$660,2,FALSE()),"-")</f>
        <v>TIRADOR RECT.ADH CAVE LAC.NEGRO TEXTURADO: 2 UDS</v>
      </c>
      <c r="D19" s="85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12" x14ac:dyDescent="0.25">
      <c r="A20" t="s">
        <v>21</v>
      </c>
      <c r="B20" s="16" t="s">
        <v>1136</v>
      </c>
      <c r="C20" s="85" t="str">
        <f>IFERROR(VLOOKUP($B20,Tarifa_all_20240711!$A$2:$G$660,2,FALSE()),"-")</f>
        <v>GUIADOR FIJO PA LAC.NEGRO TEXTURADO</v>
      </c>
      <c r="D20" s="85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81">
        <f>SUM(G13:G20)+2*F21</f>
        <v>569.91000000000008</v>
      </c>
    </row>
    <row r="21" spans="1:12" x14ac:dyDescent="0.25">
      <c r="A21" t="s">
        <v>22</v>
      </c>
      <c r="B21" s="76" t="s">
        <v>143</v>
      </c>
      <c r="C21" s="86" t="str">
        <f>IFERROR(VLOOKUP($B21,Tarifa_all_20240711!$A$2:$G$660,2,FALSE()),"-")</f>
        <v>PERFIL EMBELL.HORIZ. ADH LAC.NEGRO TEXTURADO</v>
      </c>
      <c r="D21" s="86"/>
      <c r="E21" s="77">
        <f>2+5+5</f>
        <v>12</v>
      </c>
      <c r="F21" s="78">
        <f>IFERROR(VLOOKUP($B21,Tarifa_all_20240711!$A$2:$G$660,5,FALSE()),"-")</f>
        <v>21.794999999999998</v>
      </c>
      <c r="G21" s="78">
        <f t="shared" si="0"/>
        <v>261.53999999999996</v>
      </c>
      <c r="H21" s="1"/>
    </row>
    <row r="22" spans="1:12" x14ac:dyDescent="0.25">
      <c r="B22" s="16" t="s">
        <v>461</v>
      </c>
      <c r="C22" s="85" t="str">
        <f>IFERROR(VLOOKUP($B22,Tarifa_all_20240711!$A$2:$G$660,2,FALSE()),"-")</f>
        <v>MARCO FIJOS 35MM D-DECOR FIJO NEGRO TEXT 6,5 MTS</v>
      </c>
      <c r="D22" s="85"/>
      <c r="E22" s="17">
        <v>2</v>
      </c>
      <c r="F22" s="18">
        <f>IFERROR(VLOOKUP($B22,Tarifa_all_20240711!$A$2:$G$660,5,FALSE()),"-")</f>
        <v>60.045000000000002</v>
      </c>
      <c r="G22" s="18">
        <f t="shared" si="0"/>
        <v>120.09</v>
      </c>
      <c r="H22" s="1"/>
    </row>
    <row r="23" spans="1:12" x14ac:dyDescent="0.25">
      <c r="B23" s="16" t="s">
        <v>441</v>
      </c>
      <c r="C23" s="85" t="str">
        <f>IFERROR(VLOOKUP($B23,Tarifa_all_20240711!$A$2:$G$660,2,FALSE()),"-")</f>
        <v>ANCLAJE TAPA 35MM D-DECOR FIJO NEGRO TEXT 6,5 MTS</v>
      </c>
      <c r="D23" s="85"/>
      <c r="E23" s="17">
        <v>2</v>
      </c>
      <c r="F23" s="18">
        <f>IFERROR(VLOOKUP($B23,Tarifa_all_20240711!$A$2:$G$660,5,FALSE()),"-")</f>
        <v>29.0625</v>
      </c>
      <c r="G23" s="18">
        <f t="shared" si="0"/>
        <v>58.125</v>
      </c>
      <c r="H23" s="1"/>
    </row>
    <row r="24" spans="1:12" x14ac:dyDescent="0.25">
      <c r="B24" s="16" t="s">
        <v>481</v>
      </c>
      <c r="C24" s="85" t="str">
        <f>IFERROR(VLOOKUP($B24,Tarifa_all_20240711!$A$2:$G$660,2,FALSE()),"-")</f>
        <v>TAPA MARCO 35MM D-DECOR FIJO NEGRO TEXT 6,5 MTS</v>
      </c>
      <c r="D24" s="85"/>
      <c r="E24" s="17">
        <v>2</v>
      </c>
      <c r="F24" s="18">
        <f>IFERROR(VLOOKUP($B24,Tarifa_all_20240711!$A$2:$G$660,5,FALSE()),"-")</f>
        <v>24.487499999999997</v>
      </c>
      <c r="G24" s="18">
        <f t="shared" si="0"/>
        <v>48.974999999999994</v>
      </c>
      <c r="H24" s="1"/>
    </row>
    <row r="25" spans="1:12" x14ac:dyDescent="0.25">
      <c r="B25" s="16" t="s">
        <v>450</v>
      </c>
      <c r="C25" s="85" t="str">
        <f>IFERROR(VLOOKUP($B25,Tarifa_all_20240711!$A$2:$G$660,2,FALSE()),"-")</f>
        <v>PERFIL MINIMALISTA D-DECOR FIJO NEGRO TEXT 3 MTS</v>
      </c>
      <c r="D25" s="85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12" x14ac:dyDescent="0.25">
      <c r="B26" s="16" t="s">
        <v>298</v>
      </c>
      <c r="C26" s="85" t="str">
        <f>IFERROR(VLOOKUP($B26,Tarifa_all_20240711!$A$2:$G$660,2,FALSE()),"-")</f>
        <v>Tope Domo Decor</v>
      </c>
      <c r="D26" s="85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12" x14ac:dyDescent="0.25">
      <c r="B27" s="16" t="s">
        <v>300</v>
      </c>
      <c r="C27" s="85" t="str">
        <f>IFERROR(VLOOKUP($B27,Tarifa_all_20240711!$A$2:$G$660,2,FALSE()),"-")</f>
        <v>PERFIL 3 MTS REDUCTOR PARA VIDRIO 6mm</v>
      </c>
      <c r="D27" s="85"/>
      <c r="E27" s="17">
        <f>3+2</f>
        <v>5</v>
      </c>
      <c r="F27" s="18">
        <f>IFERROR(VLOOKUP($B27,Tarifa_all_20240711!$A$2:$G$660,5,FALSE()),"-")</f>
        <v>3.4275000000000002</v>
      </c>
      <c r="G27" s="18">
        <f t="shared" si="0"/>
        <v>17.137500000000003</v>
      </c>
      <c r="H27" s="1"/>
    </row>
    <row r="28" spans="1:12" x14ac:dyDescent="0.25">
      <c r="B28" s="16">
        <v>31229</v>
      </c>
      <c r="C28" s="85" t="str">
        <f>IFERROR(VLOOKUP($B28,Tarifa_all_20240711!$A$2:$G$660,2,FALSE()),"-")</f>
        <v>COMPLEMENTO FIJACION DOMO DECOR: BARRAS 3 MTS</v>
      </c>
      <c r="D28" s="85"/>
      <c r="E28" s="17">
        <v>5</v>
      </c>
      <c r="F28" s="18">
        <f>IFERROR(VLOOKUP($B28,Tarifa_all_20240711!$A$2:$G$660,5,FALSE()),"-")</f>
        <v>11.317499999999999</v>
      </c>
      <c r="G28" s="18">
        <f t="shared" si="0"/>
        <v>56.587499999999991</v>
      </c>
      <c r="H28" s="81">
        <f>SUM(G21:G28)-2*F21</f>
        <v>566.92500000000007</v>
      </c>
      <c r="I28" s="80" t="s">
        <v>1453</v>
      </c>
      <c r="J28">
        <f>1.95*1.35</f>
        <v>2.6325000000000003</v>
      </c>
      <c r="K28">
        <f>J28/J30</f>
        <v>0.54016620498614965</v>
      </c>
      <c r="L28" s="79">
        <f>$H$28*K28</f>
        <v>306.23372576177292</v>
      </c>
    </row>
    <row r="29" spans="1:12" x14ac:dyDescent="0.25">
      <c r="B29" s="16"/>
      <c r="C29" s="85" t="str">
        <f>IFERROR(VLOOKUP($B29,Tarifa_all_20240711!$A$2:$G$660,2,FALSE()),"-")</f>
        <v>-</v>
      </c>
      <c r="D29" s="85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  <c r="I29" s="80" t="s">
        <v>1454</v>
      </c>
      <c r="J29">
        <f>1.66*1.35</f>
        <v>2.2410000000000001</v>
      </c>
      <c r="K29">
        <f>J29/J30</f>
        <v>0.45983379501385047</v>
      </c>
      <c r="L29" s="79">
        <f>$H$28*K29</f>
        <v>260.69127423822721</v>
      </c>
    </row>
    <row r="30" spans="1:12" x14ac:dyDescent="0.25">
      <c r="B30" s="16"/>
      <c r="C30" s="85" t="str">
        <f>IFERROR(VLOOKUP($B30,Tarifa_all_20240711!$A$2:$G$660,2,FALSE()),"-")</f>
        <v>-</v>
      </c>
      <c r="D30" s="85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J30">
        <f>SUM(J28:J29)</f>
        <v>4.8734999999999999</v>
      </c>
    </row>
    <row r="31" spans="1:12" x14ac:dyDescent="0.25">
      <c r="B31" s="19"/>
      <c r="C31" s="19"/>
      <c r="D31" s="19"/>
      <c r="E31" s="19"/>
      <c r="F31" s="20"/>
      <c r="G31" s="21">
        <f>SUM(G13:G30)</f>
        <v>1136.835</v>
      </c>
    </row>
    <row r="32" spans="1:12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69" fitToHeight="0" orientation="landscape" horizontalDpi="300" verticalDpi="300" r:id="rId1"/>
  <colBreaks count="1" manualBreakCount="1">
    <brk id="7" max="36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2" t="s">
        <v>79</v>
      </c>
      <c r="B6" s="92"/>
      <c r="C6" s="92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3" t="str">
        <f>'DESPIECE (MATANALYSIS)'!C8</f>
        <v>Cristalum Gandia</v>
      </c>
      <c r="C9" s="93"/>
      <c r="D9" s="93"/>
      <c r="F9" s="3" t="s">
        <v>81</v>
      </c>
      <c r="G9" s="44">
        <f ca="1">TODAY()</f>
        <v>45971</v>
      </c>
    </row>
    <row r="10" spans="1:7" x14ac:dyDescent="0.25">
      <c r="A10" s="3" t="s">
        <v>82</v>
      </c>
      <c r="B10" s="11" t="str">
        <f>'DESPIECE (MATANALYSIS)'!C9</f>
        <v>Juanita Serna</v>
      </c>
      <c r="C10" s="45"/>
      <c r="D10" s="45"/>
      <c r="E10" s="46"/>
      <c r="F10" s="47" t="s">
        <v>83</v>
      </c>
      <c r="G10" s="7">
        <f>'DESPIECE (MATANALYSIS)'!C7</f>
        <v>20250221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8"/>
      <c r="B46" s="88"/>
      <c r="C46" s="71"/>
      <c r="D46" s="71"/>
      <c r="E46" s="71"/>
      <c r="F46" s="72"/>
      <c r="G46" s="73"/>
    </row>
    <row r="47" spans="1:7" ht="22.7" customHeight="1" x14ac:dyDescent="0.25">
      <c r="A47" s="89" t="s">
        <v>99</v>
      </c>
      <c r="B47" s="89"/>
      <c r="C47" s="59"/>
      <c r="D47" s="59"/>
      <c r="E47" s="59"/>
      <c r="F47" s="90">
        <f>'DESPIECE (MATANALYSIS)'!G31</f>
        <v>1136.835</v>
      </c>
      <c r="G47" s="90"/>
    </row>
    <row r="48" spans="1:7" s="1" customFormat="1" ht="22.7" customHeight="1" x14ac:dyDescent="0.25">
      <c r="A48" s="91" t="s">
        <v>100</v>
      </c>
      <c r="B48" s="91"/>
      <c r="C48" s="91"/>
      <c r="D48" s="91"/>
      <c r="E48" s="91"/>
      <c r="F48" s="91"/>
      <c r="G48" s="91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2025-11-10T17:45:30Z</cp:lastPrinted>
  <dcterms:created xsi:type="dcterms:W3CDTF">2024-04-15T12:43:19Z</dcterms:created>
  <dcterms:modified xsi:type="dcterms:W3CDTF">2025-11-10T17:46:09Z</dcterms:modified>
  <dc:language>es-ES</dc:language>
</cp:coreProperties>
</file>