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04\calculos\1\"/>
    </mc:Choice>
  </mc:AlternateContent>
  <xr:revisionPtr revIDLastSave="0" documentId="13_ncr:1_{A52B30D5-BF25-4366-AC13-E517F2F0313D}" xr6:coauthVersionLast="47" xr6:coauthVersionMax="47" xr10:uidLastSave="{00000000-0000-0000-0000-000000000000}"/>
  <bookViews>
    <workbookView xWindow="-289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H21" i="10" s="1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H28" i="10" l="1"/>
  <c r="G31" i="10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<sst xmlns="http://schemas.openxmlformats.org/spreadsheetml/2006/main" count="5409" uniqueCount="1454">
  <si>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</si>
  <si>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</si>
  <si>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</si>
  <si>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</si>
  <si>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</si>
  <si>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</si>
  <si>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</si>
  <si>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</si>
  <si>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</si>
  <si>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</si>
  <si>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</si>
  <si>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</si>
  <si>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</si>
  <si>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</si>
  <si>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</si>
  <si>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</si>
  <si>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</si>
  <si>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</si>
  <si>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</si>
  <si>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</si>
  <si>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</si>
  <si>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</si>
  <si>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</si>
  <si>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</si>
  <si>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</si>
  <si>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</si>
  <si>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</si>
  <si>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</si>
  <si>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</si>
  <si>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</si>
  <si>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</si>
  <si>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</si>
  <si>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</si>
  <si>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</si>
  <si>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</si>
  <si>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</si>
  <si>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</si>
  <si>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</si>
  <si>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</si>
  <si>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</si>
  <si>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</si>
  <si>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</si>
  <si>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</si>
  <si>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</si>
  <si>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</si>
  <si>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</si>
  <si>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</si>
  <si>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</si>
  <si>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</si>
  <si>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</si>
  <si>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</si>
  <si>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</si>
  <si>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</si>
  <si>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</si>
  <si>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</si>
  <si>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</si>
  <si>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</si>
  <si>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</si>
  <si>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</si>
  <si>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</si>
  <si>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</si>
  <si>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</si>
  <si>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</si>
  <si>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</si>
  <si>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</si>
  <si>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</si>
  <si>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</si>
  <si>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</si>
  <si>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</si>
  <si>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</si>
  <si>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</si>
  <si>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</si>
  <si>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</si>
  <si>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</si>
  <si>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</si>
  <si>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</si>
  <si>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</si>
  <si>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</si>
  <si>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</si>
  <si>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</si>
  <si>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</si>
  <si>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</si>
  <si>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</si>
  <si>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</si>
  <si>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</si>
  <si>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</si>
  <si>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</si>
  <si>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</si>
  <si>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</si>
  <si>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</si>
  <si>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</si>
  <si>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</si>
  <si>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</si>
  <si>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</si>
  <si>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</si>
  <si>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</si>
  <si>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</si>
  <si>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</si>
  <si>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</si>
  <si>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</si>
  <si>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</si>
  <si>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</si>
  <si>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</si>
  <si>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</si>
  <si>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</si>
  <si>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</si>
  <si>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</si>
  <si>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</si>
  <si>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</si>
  <si>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</si>
  <si>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</si>
  <si>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</si>
  <si>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</si>
  <si>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</si>
  <si>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</si>
  <si>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</si>
  <si>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</si>
  <si>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</si>
  <si>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</si>
  <si>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</si>
  <si>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</si>
  <si>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</si>
  <si>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</si>
  <si>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</si>
  <si>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</si>
  <si>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</si>
  <si>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</si>
  <si>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</si>
  <si>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</si>
  <si>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</si>
  <si>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</si>
  <si>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</si>
  <si>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</si>
  <si>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</si>
  <si>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</si>
  <si>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</si>
  <si>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</si>
  <si>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</si>
  <si>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</si>
  <si>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</si>
  <si>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</si>
  <si>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</si>
  <si>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</si>
  <si>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</si>
  <si>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</si>
  <si>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</si>
  <si>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</si>
  <si>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</si>
  <si>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</si>
  <si>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</si>
  <si>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</si>
  <si>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</si>
  <si>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</si>
  <si>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</si>
  <si>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</si>
  <si>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</si>
  <si>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</si>
  <si>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</si>
  <si>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</si>
  <si>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</si>
  <si>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</si>
  <si>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</si>
  <si>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</si>
  <si>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</si>
  <si>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</si>
  <si>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</si>
  <si>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</si>
  <si>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</si>
  <si>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</si>
  <si>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</si>
  <si>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</si>
  <si>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</si>
  <si>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</si>
  <si>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</si>
  <si>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</si>
  <si>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</si>
  <si>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</si>
  <si>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</si>
  <si>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</si>
  <si>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</si>
  <si>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</si>
  <si>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</si>
  <si>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</si>
  <si>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</si>
  <si>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</si>
  <si>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</si>
  <si>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</si>
  <si>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</si>
  <si>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</si>
  <si>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</si>
  <si>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</si>
  <si>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</si>
  <si>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</si>
  <si>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</si>
  <si>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</si>
  <si>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</si>
  <si>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</si>
  <si>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</si>
  <si>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</si>
  <si>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</si>
  <si>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</si>
  <si>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</si>
  <si>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</si>
  <si>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</si>
  <si>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</si>
  <si>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</si>
  <si>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</si>
  <si>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</si>
  <si>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</si>
  <si>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</si>
  <si>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</si>
  <si>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</si>
  <si>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</si>
  <si>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</si>
  <si>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</si>
  <si>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</si>
  <si>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</si>
  <si>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</si>
  <si>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</si>
  <si>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</si>
  <si>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</si>
  <si>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</si>
  <si>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</si>
  <si>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</si>
  <si>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</si>
  <si>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</si>
  <si>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</si>
  <si>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</si>
  <si>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</si>
  <si>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</si>
  <si>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</si>
  <si>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</si>
  <si>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</si>
  <si>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</si>
  <si>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</si>
  <si>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</si>
  <si>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</si>
  <si>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</si>
  <si>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</si>
  <si>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</si>
  <si>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</si>
  <si>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</si>
  <si>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</si>
  <si>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</si>
  <si>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</si>
  <si>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</si>
  <si>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</si>
  <si>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</si>
  <si>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</si>
  <si>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</si>
  <si>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</si>
  <si>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</si>
  <si>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</si>
  <si>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</si>
  <si>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</si>
  <si>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</si>
  <si>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</si>
  <si>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</si>
  <si>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</si>
  <si>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</si>
  <si>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</si>
  <si>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</si>
  <si>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</si>
  <si>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</si>
  <si>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</si>
  <si>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</si>
  <si>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</si>
  <si>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</si>
  <si>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</si>
  <si>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</si>
  <si>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</si>
  <si>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</si>
  <si>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</si>
  <si>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</si>
  <si>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</si>
  <si>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</si>
  <si>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</si>
  <si>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</si>
  <si>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</si>
  <si>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</si>
  <si>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</si>
  <si>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</si>
  <si>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</si>
  <si>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</si>
  <si>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</si>
  <si>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</si>
  <si>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</si>
  <si>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</si>
  <si>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</si>
  <si>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</si>
  <si>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</si>
  <si>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</si>
  <si>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</si>
  <si>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</si>
  <si>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</si>
  <si>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</si>
  <si>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</si>
  <si>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</si>
  <si>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</si>
  <si>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</si>
  <si>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</si>
  <si>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</si>
  <si>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</si>
  <si>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</si>
  <si>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</si>
  <si>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</si>
  <si>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</si>
  <si>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</si>
  <si>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</si>
  <si>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</si>
  <si>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</si>
  <si>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</si>
  <si>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</si>
  <si>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</si>
  <si>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</si>
  <si>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</si>
  <si>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</si>
  <si>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</si>
  <si>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</si>
  <si>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</si>
  <si>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</si>
  <si>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</si>
  <si>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</si>
  <si>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</si>
  <si>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</si>
  <si>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</si>
  <si>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</si>
  <si>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</si>
  <si>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</si>
  <si>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</si>
  <si>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</si>
  <si>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</si>
  <si>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</si>
  <si>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</si>
  <si>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</si>
  <si>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</si>
  <si>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</si>
  <si>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</si>
  <si>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</si>
  <si>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</si>
  <si>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</si>
  <si>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</si>
  <si>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</si>
  <si>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</si>
  <si>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</si>
  <si>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</si>
  <si>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</si>
  <si>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</si>
  <si>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</si>
  <si>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</si>
  <si>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</si>
  <si>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</si>
  <si>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</si>
  <si>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</si>
  <si>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</si>
  <si>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</si>
  <si>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</si>
  <si>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</si>
  <si>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</si>
  <si>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</si>
  <si>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</si>
  <si>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</si>
  <si>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</si>
  <si>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</si>
  <si>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</si>
  <si>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</si>
  <si>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</si>
  <si>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</si>
  <si>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</si>
  <si>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</si>
  <si>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</si>
  <si>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</si>
  <si>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</si>
  <si>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</si>
  <si>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</si>
  <si>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</si>
  <si>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</si>
  <si>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</si>
  <si>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</si>
  <si>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</si>
  <si>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</si>
  <si>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</si>
  <si>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</si>
  <si>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</si>
  <si>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</si>
  <si>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</si>
  <si>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</si>
  <si>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</si>
  <si>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</si>
  <si>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</si>
  <si>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</si>
  <si>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</si>
  <si>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</si>
  <si>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</si>
  <si>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</si>
  <si>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</si>
  <si>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</si>
  <si>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</si>
  <si>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</si>
  <si>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</si>
  <si>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</si>
  <si>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</si>
  <si>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</si>
  <si>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</si>
  <si>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</si>
  <si>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</si>
  <si>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</si>
  <si>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</si>
  <si>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</si>
  <si>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</si>
  <si>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</si>
  <si>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</si>
  <si>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</si>
  <si>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</si>
  <si>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</si>
  <si>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</si>
  <si>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</si>
  <si>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</si>
  <si>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</si>
  <si>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</si>
  <si>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</si>
  <si>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</si>
  <si>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</si>
  <si>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</si>
  <si>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</si>
  <si>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</si>
  <si>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</si>
  <si>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</si>
  <si>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</si>
  <si>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</si>
  <si>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</si>
  <si>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</si>
  <si>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</si>
  <si>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</si>
  <si>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</si>
  <si>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</si>
  <si>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</si>
  <si>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</si>
  <si>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</si>
  <si>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</si>
  <si>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</si>
  <si>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</si>
  <si>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</si>
  <si>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</si>
  <si>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</si>
  <si>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</si>
  <si>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</si>
  <si>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</si>
  <si>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</si>
  <si>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</si>
  <si>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</si>
  <si>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</si>
  <si>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</si>
  <si>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</si>
  <si>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</si>
  <si>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</si>
  <si>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</si>
  <si>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</si>
  <si>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</si>
  <si>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</si>
  <si>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</si>
  <si>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</si>
  <si>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</si>
  <si>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</si>
  <si>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</si>
  <si>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</si>
  <si>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</si>
  <si>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</si>
  <si>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</si>
  <si>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</si>
  <si>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</si>
  <si>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</si>
  <si>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</si>
  <si>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</si>
  <si>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</si>
  <si>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</si>
  <si>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</si>
  <si>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</si>
  <si>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</si>
  <si>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</si>
  <si>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</si>
  <si>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</si>
  <si>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</si>
  <si>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</si>
  <si>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</si>
  <si>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</si>
  <si>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</si>
  <si>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</si>
  <si>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</si>
  <si>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</si>
  <si>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</si>
  <si>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</si>
  <si>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</si>
  <si>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</si>
  <si>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</si>
  <si>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</si>
  <si>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</si>
  <si>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</si>
  <si>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</si>
  <si>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</si>
  <si>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</si>
  <si>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</si>
  <si>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</si>
  <si>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</si>
  <si>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</si>
  <si>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</si>
  <si>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</si>
  <si>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</si>
  <si>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</si>
  <si>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</si>
  <si>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</si>
  <si>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</si>
  <si>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</si>
  <si>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</si>
  <si>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</si>
  <si>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</si>
  <si>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</si>
  <si>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</si>
  <si>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</si>
  <si>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</si>
  <si>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</si>
  <si>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</si>
  <si>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</si>
  <si>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</si>
  <si>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</si>
  <si>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</si>
  <si>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</si>
  <si>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</si>
  <si>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</si>
  <si>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</si>
  <si>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</si>
  <si>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</si>
  <si>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</si>
  <si>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</si>
  <si>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</si>
  <si>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</si>
  <si>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</si>
  <si>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</si>
  <si>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</si>
  <si>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</si>
  <si>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</si>
  <si>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</si>
  <si>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</si>
  <si>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</si>
  <si>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</si>
  <si>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</si>
  <si>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</si>
  <si>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</si>
  <si>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</si>
  <si>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</si>
  <si>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</si>
  <si>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</si>
  <si>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</si>
  <si>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</si>
  <si>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</si>
  <si>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</si>
  <si>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</si>
  <si>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</si>
  <si>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</si>
  <si>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</si>
  <si>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</si>
  <si>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</si>
  <si>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</si>
  <si>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</si>
  <si>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</si>
  <si>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</si>
  <si>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</si>
  <si>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</si>
  <si>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</si>
  <si>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</si>
  <si>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</si>
  <si>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</si>
  <si>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</si>
  <si>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</si>
  <si>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</si>
  <si>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</si>
  <si>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</si>
  <si>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</si>
  <si>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</si>
  <si>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</si>
  <si>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</si>
  <si>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</si>
  <si>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</si>
  <si>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</si>
  <si>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</si>
  <si>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</si>
  <si>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</si>
  <si>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</si>
  <si>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</si>
  <si>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</si>
  <si>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</si>
  <si>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</si>
  <si>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</si>
  <si>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</si>
  <si>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</si>
  <si>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</si>
  <si>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</si>
  <si>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</si>
  <si>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</si>
  <si>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</si>
  <si>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</si>
  <si>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</si>
  <si>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</si>
  <si>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</si>
  <si>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</si>
  <si>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</si>
  <si>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</si>
  <si>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</si>
  <si>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</si>
  <si>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</si>
  <si>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</si>
  <si>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</si>
  <si>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</si>
  <si>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</si>
  <si>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</si>
  <si>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</si>
  <si>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</si>
  <si>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</si>
  <si>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</si>
  <si>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</si>
  <si>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</si>
  <si>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</si>
  <si>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</si>
  <si>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</si>
  <si>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</si>
  <si>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</si>
  <si>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</si>
  <si>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</si>
  <si>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</si>
  <si>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</si>
  <si>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</si>
  <si>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</si>
  <si>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</si>
  <si>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</si>
  <si>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</si>
  <si>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</si>
  <si>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</si>
  <si>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</si>
  <si>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</si>
  <si>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</si>
  <si>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</si>
  <si>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</si>
  <si>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</si>
  <si>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</si>
  <si>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</si>
  <si>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</si>
  <si>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</si>
  <si>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</si>
  <si>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</si>
  <si>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</si>
  <si>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</si>
  <si>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</si>
  <si>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</si>
  <si>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</si>
  <si>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</si>
  <si>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</si>
  <si>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</si>
  <si>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</si>
  <si>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</si>
  <si>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</si>
  <si>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</si>
  <si>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</si>
  <si>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</si>
  <si>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</si>
  <si>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</si>
  <si>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</si>
  <si>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</si>
  <si>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</si>
  <si>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</si>
  <si>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</si>
  <si>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</si>
  <si>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</si>
  <si>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</si>
  <si>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</si>
  <si>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</si>
  <si>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</si>
  <si>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</si>
  <si>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</si>
  <si>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</si>
  <si>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</si>
  <si>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</si>
  <si>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</si>
  <si>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</si>
  <si>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</si>
  <si>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</si>
  <si>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</si>
  <si>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</si>
  <si>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</si>
  <si>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</si>
  <si>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</si>
  <si>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</si>
  <si>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</si>
  <si>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</si>
  <si>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</si>
  <si>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</si>
  <si>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</si>
  <si>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</si>
  <si>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</si>
  <si>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</si>
  <si>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</si>
  <si>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</si>
  <si>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</si>
  <si>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</si>
  <si>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</si>
  <si>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</si>
  <si>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</si>
  <si>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</si>
  <si>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</si>
  <si>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</si>
  <si>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</si>
  <si>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</si>
  <si>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</si>
  <si>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</si>
  <si>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</si>
  <si>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</si>
  <si>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</si>
  <si>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</si>
  <si>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</si>
  <si>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</si>
  <si>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</si>
  <si>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</si>
  <si>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</si>
  <si>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</si>
  <si>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</si>
  <si>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</si>
  <si>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</si>
  <si>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</si>
  <si>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</si>
  <si>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</si>
  <si>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</si>
  <si>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</si>
  <si>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</si>
  <si>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</si>
  <si>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</si>
  <si>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</si>
  <si>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</si>
  <si>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</si>
  <si>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</si>
  <si>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</si>
  <si>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</si>
  <si>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</si>
  <si>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</si>
  <si>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</si>
  <si>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</si>
  <si>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</si>
  <si>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</si>
  <si>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</si>
  <si>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</si>
  <si>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</si>
  <si>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</si>
  <si>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</si>
  <si>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</si>
  <si>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</si>
  <si>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</si>
  <si>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</si>
  <si>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</si>
  <si>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</si>
  <si>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</si>
  <si>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</si>
  <si>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</si>
  <si>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</si>
  <si>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</si>
  <si>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</si>
  <si>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</si>
  <si>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</si>
  <si>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</si>
  <si>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</si>
  <si>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</si>
  <si>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</si>
  <si>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</si>
  <si>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</si>
  <si>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</si>
  <si>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</si>
  <si>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</si>
  <si>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</si>
  <si>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</si>
  <si>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</si>
  <si>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</si>
  <si>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</si>
  <si>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</si>
  <si>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</si>
  <si>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</si>
  <si>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</si>
  <si>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</si>
  <si>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</si>
  <si>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</si>
  <si>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</si>
  <si>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</si>
  <si>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</si>
  <si>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</si>
  <si>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</si>
  <si>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</si>
  <si>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</si>
  <si>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</si>
  <si>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</si>
  <si>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</si>
  <si>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</si>
  <si>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</si>
  <si>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</si>
  <si>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</si>
  <si>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</si>
  <si>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</si>
  <si>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</si>
  <si>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</si>
  <si>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</si>
  <si>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</si>
  <si>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</si>
  <si>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</si>
  <si>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</si>
  <si>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</si>
  <si>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</si>
  <si>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</si>
  <si>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</si>
  <si>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</si>
  <si>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</si>
  <si>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</si>
  <si>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</si>
  <si>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</si>
  <si>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</si>
  <si>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</si>
  <si>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</si>
  <si>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</si>
  <si>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</si>
  <si>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</si>
  <si>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</si>
  <si>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</si>
  <si>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</si>
  <si>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</si>
  <si>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</si>
  <si>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</si>
  <si>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</si>
  <si>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</si>
  <si>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</si>
  <si>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</si>
  <si>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</si>
  <si>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</si>
  <si>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</si>
  <si>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</si>
  <si>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</si>
  <si>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</si>
  <si>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</si>
  <si>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</si>
  <si>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</si>
  <si>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</si>
  <si>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</si>
  <si>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</si>
  <si>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</si>
  <si>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</si>
  <si>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</si>
  <si>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</si>
  <si>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</si>
  <si>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</si>
  <si>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</si>
  <si>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</si>
  <si>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</si>
  <si>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</si>
  <si>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</si>
  <si>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</si>
  <si>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</si>
  <si>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</si>
  <si>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</si>
  <si>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</si>
  <si>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</si>
  <si>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</si>
  <si>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</si>
  <si>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</si>
  <si>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</si>
  <si>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</si>
  <si>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</si>
  <si>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</si>
  <si>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</si>
  <si>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</si>
  <si>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</si>
  <si>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</si>
  <si>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</si>
  <si>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</si>
  <si>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</si>
  <si>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</si>
  <si>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</si>
  <si>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</si>
  <si>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</si>
  <si>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</si>
  <si>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</si>
  <si>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</si>
  <si>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</si>
  <si>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</si>
  <si>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</si>
  <si>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</si>
  <si>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</si>
  <si>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</si>
  <si>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</si>
  <si>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</si>
  <si>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</si>
  <si>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</si>
  <si>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</si>
  <si>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</si>
  <si>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</si>
  <si>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</si>
  <si>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</si>
  <si>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</si>
  <si>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</si>
  <si>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</si>
  <si>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</si>
  <si>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</si>
  <si>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</si>
  <si>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</si>
  <si>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</si>
  <si>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</si>
  <si>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</si>
  <si>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</si>
  <si>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</si>
  <si>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</si>
  <si>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</si>
  <si>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</si>
  <si>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</si>
  <si>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</si>
  <si>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</si>
  <si>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</si>
  <si>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</si>
  <si>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</si>
  <si>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</si>
  <si>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</si>
  <si>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</si>
  <si>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</si>
  <si>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</si>
  <si>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</si>
  <si>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</si>
  <si>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</si>
  <si>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</si>
  <si>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</si>
  <si>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</si>
  <si>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</si>
  <si>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</si>
  <si>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</si>
  <si>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</si>
  <si>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</si>
  <si>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</si>
  <si>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</si>
  <si>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</si>
  <si>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</si>
  <si>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</si>
  <si>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</si>
  <si>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</si>
  <si>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</si>
  <si>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</si>
  <si>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</si>
  <si>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</si>
  <si>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</si>
  <si>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</si>
  <si>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</si>
  <si>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</si>
  <si>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</si>
  <si>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</si>
  <si>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</si>
  <si>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</si>
  <si>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</si>
  <si>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</si>
  <si>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</si>
  <si>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</si>
  <si>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</si>
  <si>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</si>
  <si>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</si>
  <si>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</si>
  <si>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</si>
  <si>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</si>
  <si>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</si>
  <si>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</si>
  <si>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</si>
  <si>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</si>
  <si>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</si>
  <si>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</si>
  <si>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</si>
  <si>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</si>
  <si>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</si>
  <si>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</si>
  <si>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</si>
  <si>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</si>
  <si>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</si>
  <si>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</si>
  <si>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</si>
  <si>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</si>
  <si>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</si>
  <si>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</si>
  <si>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</si>
  <si>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</si>
  <si>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</si>
  <si>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</si>
  <si>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</si>
  <si>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</si>
  <si>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</si>
  <si>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</si>
  <si>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</si>
  <si>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</si>
  <si>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</si>
  <si>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</si>
  <si>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</si>
  <si>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</si>
  <si>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</si>
  <si>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</si>
  <si>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</si>
  <si>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</si>
  <si>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</si>
  <si>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</si>
  <si>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</si>
  <si>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</si>
  <si>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</si>
  <si>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</si>
  <si>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</si>
  <si>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</si>
  <si>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</si>
  <si>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</si>
  <si>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</si>
  <si>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</si>
  <si>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</si>
  <si>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</si>
  <si>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</si>
  <si>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</si>
  <si>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</si>
  <si>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</si>
  <si>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</si>
  <si>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</si>
  <si>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</si>
  <si>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</si>
  <si>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</si>
  <si>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</si>
  <si>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</si>
  <si>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</si>
  <si>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</si>
  <si>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</si>
  <si>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</si>
  <si>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</si>
  <si>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</si>
  <si>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</si>
  <si>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</si>
  <si>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</si>
  <si>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</si>
  <si>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</si>
  <si>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</si>
  <si>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</si>
  <si>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</si>
  <si>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</si>
  <si>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</si>
  <si>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</si>
  <si>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</si>
  <si>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</si>
  <si>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</si>
  <si>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</si>
  <si>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</si>
  <si>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</si>
  <si>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</si>
  <si>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</si>
  <si>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</si>
  <si>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</si>
  <si>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</si>
  <si>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</si>
  <si>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</si>
  <si>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</si>
  <si>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</si>
  <si>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</si>
  <si>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</si>
  <si>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</si>
  <si>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</si>
  <si>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</si>
  <si>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</si>
  <si>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</si>
  <si>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</si>
  <si>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</si>
  <si>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</si>
  <si>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</si>
  <si>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</si>
  <si>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</si>
  <si>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</si>
  <si>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</si>
  <si>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</si>
  <si>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</si>
  <si>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</si>
  <si>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</si>
  <si>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</si>
  <si>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</si>
  <si>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</si>
  <si>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</si>
  <si>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</si>
  <si>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</si>
  <si>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</si>
  <si>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</si>
  <si>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</si>
  <si>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</si>
  <si>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</si>
  <si>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</si>
  <si>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</si>
  <si>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</si>
  <si>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</si>
  <si>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</si>
  <si>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</si>
  <si>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</si>
  <si>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</si>
  <si>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</si>
  <si>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</si>
  <si>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</si>
  <si>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</si>
  <si>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</si>
  <si>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</si>
  <si>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</si>
  <si>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</si>
  <si>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</si>
  <si>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</si>
  <si>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</si>
  <si>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</si>
  <si>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</si>
  <si>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</si>
  <si>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</si>
  <si>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</si>
  <si>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</si>
  <si>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</si>
  <si>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</si>
  <si>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</si>
  <si>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</si>
  <si>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</si>
  <si>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</si>
  <si>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</si>
  <si>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</si>
  <si>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</si>
  <si>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</si>
  <si>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</si>
  <si>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</si>
  <si>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</si>
  <si>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</si>
  <si>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</si>
  <si>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</si>
  <si>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</si>
  <si>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</si>
  <si>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</si>
  <si>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</si>
  <si>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</si>
  <si>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</si>
  <si>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</si>
  <si>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</si>
  <si>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</si>
  <si>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</si>
  <si>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</si>
  <si>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</si>
  <si>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</si>
  <si>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</si>
  <si>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</si>
  <si>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</si>
  <si>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</si>
  <si>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</si>
  <si>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</si>
  <si>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</si>
  <si>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</si>
  <si>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</si>
  <si>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</si>
  <si>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</si>
  <si>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</si>
  <si>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</si>
  <si>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</si>
  <si>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</si>
  <si>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</si>
  <si>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</si>
  <si>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</si>
  <si>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</si>
  <si>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</si>
  <si>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</si>
  <si>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</si>
  <si>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</si>
  <si>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</si>
  <si>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</si>
  <si>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</si>
  <si>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</si>
  <si>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</si>
  <si>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</si>
  <si>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</si>
  <si>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</si>
  <si>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</si>
  <si>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</si>
  <si>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</si>
  <si>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</si>
  <si>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</si>
  <si>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</si>
  <si>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</si>
  <si>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</si>
  <si>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</si>
  <si>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</si>
  <si>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</si>
  <si>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</si>
  <si>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</si>
  <si>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</si>
  <si>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</si>
  <si>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</si>
  <si>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</si>
  <si>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</si>
  <si>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</si>
  <si>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</si>
  <si>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</si>
  <si>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</si>
  <si>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</si>
  <si>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</si>
  <si>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</si>
  <si>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</si>
  <si>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</si>
  <si>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</si>
  <si>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</si>
  <si>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</si>
  <si>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</si>
  <si>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</si>
  <si>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</si>
  <si>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</si>
  <si>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</si>
  <si>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</si>
  <si>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</si>
  <si>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</si>
  <si>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</si>
  <si>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</si>
  <si>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</si>
  <si>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</si>
  <si>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</si>
  <si>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</si>
  <si>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</si>
  <si>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</si>
  <si>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</si>
  <si>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</si>
  <si>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</si>
  <si>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</si>
  <si>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</si>
  <si>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</si>
  <si>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</si>
  <si>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</si>
  <si>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</si>
  <si>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</si>
  <si>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</si>
  <si>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</si>
  <si>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</si>
  <si>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</si>
  <si>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</si>
  <si>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</si>
  <si>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</si>
  <si>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</si>
  <si>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</si>
  <si>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</si>
  <si>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</si>
  <si>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</si>
  <si>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</si>
  <si>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</si>
  <si>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</si>
  <si>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</si>
  <si>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</si>
  <si>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</si>
  <si>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</si>
  <si>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</si>
  <si>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</si>
  <si>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</si>
  <si>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</si>
  <si>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</si>
  <si>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</si>
  <si>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</si>
  <si>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</si>
  <si>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</si>
  <si>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</si>
  <si>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</si>
  <si>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</si>
  <si>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</si>
  <si>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</si>
  <si>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</si>
  <si>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</si>
  <si>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</si>
  <si>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</si>
  <si>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</si>
  <si>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</si>
  <si>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</si>
  <si>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</si>
  <si>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</si>
  <si>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</si>
  <si>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</si>
  <si>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</si>
  <si>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</si>
  <si>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</si>
  <si>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</si>
  <si>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</si>
  <si>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</si>
  <si>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</si>
  <si>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</si>
  <si>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</si>
  <si>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</si>
  <si>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</si>
  <si>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</si>
  <si>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</si>
  <si>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</si>
  <si>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</si>
  <si>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</si>
  <si>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</si>
  <si>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</si>
  <si>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</si>
  <si>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</si>
  <si>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</si>
  <si>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</si>
  <si>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</si>
  <si>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</si>
  <si>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</si>
  <si>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</si>
  <si>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</si>
  <si>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</si>
  <si>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</si>
  <si>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</si>
  <si>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</si>
  <si>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</si>
  <si>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</si>
  <si>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</si>
  <si>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</si>
  <si>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</si>
  <si>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</si>
  <si>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</si>
  <si>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</si>
  <si>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</si>
  <si>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</si>
  <si>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</si>
  <si>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</si>
  <si>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</si>
  <si>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</si>
  <si>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</si>
  <si>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</si>
  <si>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</si>
  <si>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</si>
  <si>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</si>
  <si>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</si>
  <si>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</si>
  <si>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</si>
  <si>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</si>
  <si>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</si>
  <si>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</si>
  <si>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</si>
  <si>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</si>
  <si>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</si>
  <si>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</si>
  <si>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</si>
  <si>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</si>
  <si>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</si>
  <si>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</si>
  <si>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</si>
  <si>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</si>
  <si>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</si>
  <si>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</si>
  <si>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</si>
  <si>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</si>
  <si>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</si>
  <si>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</si>
  <si>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</si>
  <si>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</si>
  <si>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</si>
  <si>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</si>
  <si>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</si>
  <si>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</si>
  <si>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</si>
  <si>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</si>
  <si>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</si>
  <si>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</si>
  <si>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</si>
  <si>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</si>
  <si>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</si>
  <si>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</si>
  <si>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</si>
  <si>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</si>
  <si>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</si>
  <si>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</si>
  <si>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</si>
  <si>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</si>
  <si>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</si>
  <si>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</si>
  <si>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</si>
  <si>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</si>
  <si>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</si>
  <si>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</si>
  <si>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</si>
  <si>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</si>
  <si>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</si>
  <si>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</si>
  <si>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</si>
  <si>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</si>
  <si>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</si>
  <si>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</si>
  <si>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</si>
  <si>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</si>
  <si>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</si>
  <si>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</si>
  <si>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</si>
  <si>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</si>
  <si>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</si>
  <si>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</si>
  <si>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</si>
  <si>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</si>
  <si>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</si>
  <si>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</si>
  <si>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</si>
  <si>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</si>
  <si>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</si>
  <si>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</si>
  <si>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</si>
  <si>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</si>
  <si>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</si>
  <si>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</si>
  <si>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</si>
  <si>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</si>
  <si>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</si>
  <si>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</si>
  <si>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</si>
  <si>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</si>
  <si>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</si>
  <si>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</si>
  <si>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</si>
  <si>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</si>
  <si>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</si>
  <si>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</si>
  <si>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</si>
  <si>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</si>
  <si>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</si>
  <si>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</si>
  <si>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</si>
  <si>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</si>
  <si>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</si>
  <si>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</si>
  <si>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</si>
  <si>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</si>
  <si>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</si>
  <si>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</si>
  <si>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</si>
  <si>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</si>
  <si>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</si>
  <si>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</si>
  <si>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</si>
  <si>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</si>
  <si>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</si>
  <si>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</si>
  <si>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</si>
  <si>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</si>
  <si>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</si>
  <si>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</si>
  <si>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</si>
  <si>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</si>
  <si>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</si>
  <si>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</si>
  <si>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</si>
  <si>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</si>
  <si>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</si>
  <si>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</si>
  <si>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</si>
  <si>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</si>
  <si>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</si>
  <si>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</si>
  <si>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</si>
  <si>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</si>
  <si>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</si>
  <si>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</si>
  <si>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Cerraj. Vial</t>
  </si>
  <si>
    <t>C3</t>
  </si>
  <si>
    <t>Winperfil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</si>
</sst>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8" x14ac:knownFonts="1"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sz val="11"/>
      <color theme="5"/>
      <name val="Calibri"/>
      <family val="2"/>
    </font>
    <font>
      <sz val="11"/>
      <color rgb="FF00B05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6" tint="0.79998168889431442"/>
        <bgColor indexed="65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5">
    <xf numFmtId="0" fontId="0" fillId="0" borderId="0"/>
    <xf numFmtId="44" fontId="6" fillId="0" borderId="0" applyFont="0" applyFill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1" fillId="14" borderId="0" applyNumberFormat="0" applyBorder="0" applyAlignment="0" applyProtection="0"/>
  </cellStyleXfs>
  <cellXfs count="94">
    <xf numFmtId="0" fontId="0" fillId="0" borderId="0" xfId="0"/>
    <xf numFmtId="0" fontId="0" fillId="0" borderId="0" xfId="0" applyAlignment="1">
      <alignment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9" fillId="0" borderId="0" xfId="0" applyFont="1"/>
    <xf numFmtId="0" fontId="0" fillId="0" borderId="0" xfId="0" applyAlignment="1">
      <alignment horizontal="right"/>
    </xf>
    <xf numFmtId="164" fontId="9" fillId="0" borderId="0" xfId="0" applyNumberFormat="1" applyFont="1"/>
    <xf numFmtId="0" fontId="9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9" fillId="2" borderId="4" xfId="2" applyNumberFormat="1" applyFont="1" applyFill="1" applyBorder="1" applyAlignment="1">
      <alignment horizontal="left" vertical="center" indent="1"/>
    </xf>
    <xf numFmtId="0" fontId="9" fillId="2" borderId="4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9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9" fillId="2" borderId="5" xfId="0" applyNumberFormat="1" applyFont="1" applyFill="1" applyBorder="1" applyAlignment="1">
      <alignment horizontal="right" vertical="center"/>
    </xf>
    <xf numFmtId="0" fontId="9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3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0" fillId="3" borderId="1" xfId="0" applyFont="1" applyFill="1" applyBorder="1"/>
    <xf numFmtId="0" fontId="10" fillId="3" borderId="0" xfId="0" applyFont="1" applyFill="1" applyAlignment="1">
      <alignment vertical="top"/>
    </xf>
    <xf numFmtId="0" fontId="0" fillId="2" borderId="1" xfId="0" applyFill="1" applyBorder="1"/>
    <xf numFmtId="0" fontId="11" fillId="3" borderId="0" xfId="2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 wrapText="1"/>
    </xf>
    <xf numFmtId="0" fontId="11" fillId="4" borderId="0" xfId="2" applyFont="1" applyFill="1" applyAlignment="1">
      <alignment horizontal="center" vertical="center"/>
    </xf>
    <xf numFmtId="0" fontId="0" fillId="4" borderId="0" xfId="0" applyFill="1"/>
    <xf numFmtId="0" fontId="11" fillId="3" borderId="2" xfId="2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top" wrapText="1"/>
    </xf>
    <xf numFmtId="0" fontId="11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0" fontId="9" fillId="5" borderId="0" xfId="0" applyFont="1" applyFill="1" applyAlignment="1">
      <alignment horizontal="left" vertical="center"/>
    </xf>
    <xf numFmtId="0" fontId="9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2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9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6" fillId="0" borderId="0" xfId="1" applyFont="1"/>
    <xf numFmtId="0" fontId="9" fillId="11" borderId="0" xfId="0" applyFont="1" applyFill="1" applyAlignment="1">
      <alignment horizontal="right"/>
    </xf>
    <xf numFmtId="9" fontId="6" fillId="0" borderId="0" xfId="3" applyFont="1"/>
    <xf numFmtId="0" fontId="0" fillId="12" borderId="0" xfId="0" applyFill="1"/>
    <xf numFmtId="0" fontId="0" fillId="13" borderId="0" xfId="0" applyFill="1"/>
    <xf numFmtId="0" fontId="2" fillId="13" borderId="0" xfId="0" applyFont="1" applyFill="1" applyAlignment="1">
      <alignment vertical="center"/>
    </xf>
    <xf numFmtId="0" fontId="2" fillId="1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right" vertical="center"/>
    </xf>
    <xf numFmtId="0" fontId="15" fillId="9" borderId="0" xfId="0" applyFont="1" applyFill="1" applyAlignment="1">
      <alignment vertical="center"/>
    </xf>
    <xf numFmtId="9" fontId="15" fillId="9" borderId="0" xfId="0" applyNumberFormat="1" applyFont="1" applyFill="1" applyAlignment="1">
      <alignment vertical="center"/>
    </xf>
    <xf numFmtId="165" fontId="15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 vertical="center"/>
    </xf>
    <xf numFmtId="0" fontId="13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5" fillId="9" borderId="0" xfId="0" applyFont="1" applyFill="1" applyAlignment="1">
      <alignment vertical="center" wrapText="1"/>
    </xf>
    <xf numFmtId="0" fontId="9" fillId="6" borderId="0" xfId="0" applyFont="1" applyFill="1" applyAlignment="1">
      <alignment vertical="center" wrapText="1"/>
    </xf>
    <xf numFmtId="165" fontId="9" fillId="6" borderId="0" xfId="0" applyNumberFormat="1" applyFont="1" applyFill="1" applyAlignment="1">
      <alignment horizontal="right" vertical="center"/>
    </xf>
    <xf numFmtId="0" fontId="14" fillId="10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vertical="center"/>
    </xf>
    <xf numFmtId="0" fontId="0" fillId="2" borderId="0" xfId="0" applyFont="1" applyFill="1" applyAlignment="1">
      <alignment vertical="top" wrapText="1"/>
    </xf>
    <xf numFmtId="165" fontId="16" fillId="2" borderId="0" xfId="0" applyNumberFormat="1" applyFont="1" applyFill="1" applyAlignment="1">
      <alignment horizontal="right" vertical="center"/>
    </xf>
    <xf numFmtId="165" fontId="17" fillId="2" borderId="0" xfId="0" applyNumberFormat="1" applyFont="1" applyFill="1" applyAlignment="1">
      <alignment horizontal="right" vertical="center"/>
    </xf>
    <xf numFmtId="0" fontId="1" fillId="14" borderId="0" xfId="4" applyAlignment="1">
      <alignment horizontal="right"/>
    </xf>
    <xf numFmtId="2" fontId="1" fillId="14" borderId="0" xfId="4" applyNumberFormat="1" applyAlignment="1">
      <alignment horizontal="right"/>
    </xf>
    <xf numFmtId="0" fontId="1" fillId="14" borderId="0" xfId="4" applyAlignment="1">
      <alignment horizontal="right" vertical="center"/>
    </xf>
  </cellXfs>
  <cellStyles count="5">
    <cellStyle name="20% - Énfasis3" xfId="4" builtinId="38"/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L79"/>
  <sheetViews>
    <sheetView tabSelected="1" topLeftCell="A5" zoomScaleNormal="100" zoomScaleSheetLayoutView="115" workbookViewId="0">
      <selection activeCell="I20" sqref="I2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  <col min="9" max="9" width="16.42578125" style="7"/>
  </cols>
  <sheetData>
    <row r="1" spans="1:12" x14ac:dyDescent="0.25">
      <c r="H1" s="1"/>
      <c r="I1" s="10"/>
      <c r="J1" s="1"/>
      <c r="K1" s="1"/>
      <c r="L1" s="1"/>
    </row>
    <row r="2" spans="1:12" ht="40.5" customHeight="1" x14ac:dyDescent="0.25">
      <c r="G2" s="2" t="s">
        <v>0</v>
      </c>
      <c r="H2" s="1"/>
      <c r="I2" s="10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20250106</v>
      </c>
      <c r="G7" s="8">
        <f ca="1">TODAY()</f>
        <v>45789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0"/>
      <c r="J9" s="1"/>
      <c r="K9" s="1"/>
      <c r="L9" s="1"/>
    </row>
    <row r="10" spans="1:12" x14ac:dyDescent="0.25">
      <c r="B10" s="3"/>
      <c r="C10" s="11"/>
      <c r="H10" s="1"/>
      <c r="I10" s="10"/>
      <c r="J10" s="1"/>
      <c r="K10" s="1"/>
      <c r="L10" s="1"/>
    </row>
    <row r="11" spans="1:12" x14ac:dyDescent="0.25">
      <c r="B11" s="3"/>
      <c r="C11" s="11"/>
      <c r="H11" s="1"/>
      <c r="I11" s="93" t="s">
        <v>1453</v>
      </c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  <c r="I12" s="91"/>
    </row>
    <row r="13" spans="1:12" x14ac:dyDescent="0.25">
      <c r="A13" t="s">
        <v>14</v>
      </c>
      <c r="B13" s="16" t="s">
        <v>287</v>
      </c>
      <c r="C13" s="79" t="str">
        <f>IFERROR(VLOOKUP($B13,Tarifa_all_20240711!$A$2:$G$660,2,FALSE()),"-")</f>
        <v>CARC.SIMPLE GUIA DESM.LAC.BLANCO MATE 9003-6 MTS</v>
      </c>
      <c r="D13" s="79"/>
      <c r="E13" s="17">
        <v>1</v>
      </c>
      <c r="F13" s="18">
        <f>IFERROR(VLOOKUP($B13,Tarifa_all_20240711!$A$2:$G$660,5,FALSE()),"-")</f>
        <v>174.64500000000001</v>
      </c>
      <c r="G13" s="89">
        <f t="shared" ref="G13:G30" si="0">IFERROR(E13*F13,"-")</f>
        <v>174.64500000000001</v>
      </c>
      <c r="H13" s="1"/>
      <c r="I13" s="92">
        <v>192.12</v>
      </c>
    </row>
    <row r="14" spans="1:12" x14ac:dyDescent="0.25">
      <c r="A14" t="s">
        <v>15</v>
      </c>
      <c r="B14" s="16" t="s">
        <v>279</v>
      </c>
      <c r="C14" s="79" t="str">
        <f>IFERROR(VLOOKUP($B14,Tarifa_all_20240711!$A$2:$G$660,2,FALSE()),"-")</f>
        <v>GUIA SKY PLUS DESMONT.LAC.BLANCO MATE 9003-6 MTS</v>
      </c>
      <c r="D14" s="79"/>
      <c r="E14" s="17">
        <v>1</v>
      </c>
      <c r="F14" s="18">
        <f>IFERROR(VLOOKUP($B14,Tarifa_all_20240711!$A$2:$G$660,5,FALSE()),"-")</f>
        <v>130.64999999999998</v>
      </c>
      <c r="G14" s="89">
        <f t="shared" si="0"/>
        <v>130.64999999999998</v>
      </c>
      <c r="H14" s="1"/>
      <c r="I14" s="92">
        <v>143.69999999999999</v>
      </c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9</v>
      </c>
      <c r="F15" s="18">
        <f>IFERROR(VLOOKUP($B15,Tarifa_all_20240711!$A$2:$G$660,5,FALSE()),"-")</f>
        <v>11.737500000000001</v>
      </c>
      <c r="G15" s="89">
        <f t="shared" si="0"/>
        <v>105.6375</v>
      </c>
      <c r="H15" s="1"/>
      <c r="I15" s="92">
        <v>46.96</v>
      </c>
    </row>
    <row r="16" spans="1:12" x14ac:dyDescent="0.25">
      <c r="A16" t="s">
        <v>17</v>
      </c>
      <c r="B16" s="16" t="s">
        <v>566</v>
      </c>
      <c r="C16" s="79" t="str">
        <f>IFERROR(VLOOKUP($B16,Tarifa_all_20240711!$A$2:$G$660,2,FALSE()),"-")</f>
        <v>KIT AMORTIGUADOR SKY GUIA DESMONT. BIDIRECCIONAL 60KG</v>
      </c>
      <c r="D16" s="79"/>
      <c r="E16" s="17">
        <v>1</v>
      </c>
      <c r="F16" s="18">
        <f>IFERROR(VLOOKUP($B16,Tarifa_all_20240711!$A$2:$G$660,5,FALSE()),"-")</f>
        <v>30.599999999999998</v>
      </c>
      <c r="G16" s="90">
        <f t="shared" si="0"/>
        <v>30.599999999999998</v>
      </c>
      <c r="H16" s="1"/>
      <c r="I16" s="92"/>
    </row>
    <row r="17" spans="1:9" x14ac:dyDescent="0.25">
      <c r="A17" t="s">
        <v>18</v>
      </c>
      <c r="B17" s="16" t="s">
        <v>129</v>
      </c>
      <c r="C17" s="79" t="str">
        <f>IFERROR(VLOOKUP($B17,Tarifa_all_20240711!$A$2:$G$660,2,FALSE()),"-")</f>
        <v>KIT PUERTA PA CORREDERA LAC.BLANCO MATE 9003</v>
      </c>
      <c r="D17" s="79"/>
      <c r="E17" s="17">
        <v>1</v>
      </c>
      <c r="F17" s="18">
        <f>IFERROR(VLOOKUP($B17,Tarifa_all_20240711!$A$2:$G$660,5,FALSE()),"-")</f>
        <v>215.65500000000003</v>
      </c>
      <c r="G17" s="90">
        <f t="shared" si="0"/>
        <v>215.65500000000003</v>
      </c>
      <c r="H17" s="1"/>
      <c r="I17" s="92"/>
    </row>
    <row r="18" spans="1:9" x14ac:dyDescent="0.25">
      <c r="A18" t="s">
        <v>19</v>
      </c>
      <c r="B18" s="16" t="s">
        <v>335</v>
      </c>
      <c r="C18" s="79" t="str">
        <f>IFERROR(VLOOKUP($B18,Tarifa_all_20240711!$A$2:$G$660,2,FALSE()),"-")</f>
        <v>CARRO SKY MADERA 60KG</v>
      </c>
      <c r="D18" s="79"/>
      <c r="E18" s="17">
        <v>1</v>
      </c>
      <c r="F18" s="18">
        <f>IFERROR(VLOOKUP($B18,Tarifa_all_20240711!$A$2:$G$660,5,FALSE()),"-")</f>
        <v>16.634999999999998</v>
      </c>
      <c r="G18" s="90">
        <f t="shared" si="0"/>
        <v>16.634999999999998</v>
      </c>
      <c r="H18" s="1"/>
      <c r="I18" s="92"/>
    </row>
    <row r="19" spans="1:9" x14ac:dyDescent="0.25">
      <c r="A19" t="s">
        <v>20</v>
      </c>
      <c r="B19" s="16" t="s">
        <v>375</v>
      </c>
      <c r="C19" s="79" t="str">
        <f>IFERROR(VLOOKUP($B19,Tarifa_all_20240711!$A$2:$G$660,2,FALSE()),"-")</f>
        <v>TIRADOR RECT.ADH CAVE LAC.BLANCO MATE 9003: 2 UDS</v>
      </c>
      <c r="D19" s="79"/>
      <c r="E19" s="17">
        <v>1</v>
      </c>
      <c r="F19" s="18">
        <f>IFERROR(VLOOKUP($B19,Tarifa_all_20240711!$A$2:$G$660,5,FALSE()),"-")</f>
        <v>59.122500000000002</v>
      </c>
      <c r="G19" s="89">
        <f t="shared" si="0"/>
        <v>59.122500000000002</v>
      </c>
      <c r="H19" s="1"/>
      <c r="I19" s="92">
        <v>67.989999999999995</v>
      </c>
    </row>
    <row r="20" spans="1:9" x14ac:dyDescent="0.25">
      <c r="A20" t="s">
        <v>21</v>
      </c>
      <c r="B20" s="16" t="s">
        <v>322</v>
      </c>
      <c r="C20" s="79" t="str">
        <f>IFERROR(VLOOKUP($B20,Tarifa_all_20240711!$A$2:$G$660,2,FALSE()),"-")</f>
        <v>GUIADOR FIJO PA LAC.BLANCO MATE 9003</v>
      </c>
      <c r="D20" s="79"/>
      <c r="E20" s="17">
        <v>1</v>
      </c>
      <c r="F20" s="18">
        <f>IFERROR(VLOOKUP($B20,Tarifa_all_20240711!$A$2:$G$660,5,FALSE()),"-")</f>
        <v>8.61</v>
      </c>
      <c r="G20" s="90">
        <f t="shared" si="0"/>
        <v>8.61</v>
      </c>
      <c r="H20" s="1"/>
      <c r="I20" s="92"/>
    </row>
    <row r="21" spans="1:9" x14ac:dyDescent="0.25">
      <c r="A21" t="s">
        <v>22</v>
      </c>
      <c r="B21" s="16" t="s">
        <v>140</v>
      </c>
      <c r="C21" s="79" t="str">
        <f>IFERROR(VLOOKUP($B21,Tarifa_all_20240711!$A$2:$G$660,2,FALSE()),"-")</f>
        <v>PERFIL EMBELL.HORIZ. ADH LAC.BLANCO MATE 9003</v>
      </c>
      <c r="D21" s="79"/>
      <c r="E21" s="17">
        <v>6</v>
      </c>
      <c r="F21" s="18">
        <f>IFERROR(VLOOKUP($B21,Tarifa_all_20240711!$A$2:$G$660,5,FALSE()),"-")</f>
        <v>21.794999999999998</v>
      </c>
      <c r="G21" s="90">
        <f t="shared" si="0"/>
        <v>130.76999999999998</v>
      </c>
      <c r="H21" s="87">
        <f>SUM(G13:G20)+(G21/2)</f>
        <v>806.93999999999994</v>
      </c>
      <c r="I21" s="92"/>
    </row>
    <row r="22" spans="1:9" x14ac:dyDescent="0.25">
      <c r="B22" s="16" t="s">
        <v>464</v>
      </c>
      <c r="C22" s="79" t="str">
        <f>IFERROR(VLOOKUP($B22,Tarifa_all_20240711!$A$2:$G$660,2,FALSE()),"-")</f>
        <v>MARCO FIJOS 35MM D-DECOR FIJO BLANCO 9003 M 6,5 MT</v>
      </c>
      <c r="D22" s="79"/>
      <c r="E22" s="17">
        <v>1</v>
      </c>
      <c r="F22" s="18">
        <f>IFERROR(VLOOKUP($B22,Tarifa_all_20240711!$A$2:$G$660,5,FALSE()),"-")</f>
        <v>60.045000000000002</v>
      </c>
      <c r="G22" s="90">
        <f t="shared" si="0"/>
        <v>60.045000000000002</v>
      </c>
      <c r="H22" s="1"/>
      <c r="I22" s="92"/>
    </row>
    <row r="23" spans="1:9" x14ac:dyDescent="0.25">
      <c r="B23" s="16" t="s">
        <v>444</v>
      </c>
      <c r="C23" s="79" t="str">
        <f>IFERROR(VLOOKUP($B23,Tarifa_all_20240711!$A$2:$G$660,2,FALSE()),"-")</f>
        <v>ANCLAJE TAPA 35MM D-DECOR FIJO BLAN 9003 M 6,5 MT</v>
      </c>
      <c r="D23" s="79"/>
      <c r="E23" s="17">
        <v>1</v>
      </c>
      <c r="F23" s="18">
        <f>IFERROR(VLOOKUP($B23,Tarifa_all_20240711!$A$2:$G$660,5,FALSE()),"-")</f>
        <v>29.0625</v>
      </c>
      <c r="G23" s="90">
        <f t="shared" si="0"/>
        <v>29.0625</v>
      </c>
      <c r="H23" s="1"/>
      <c r="I23" s="92"/>
    </row>
    <row r="24" spans="1:9" x14ac:dyDescent="0.25">
      <c r="B24" s="16" t="s">
        <v>484</v>
      </c>
      <c r="C24" s="79" t="str">
        <f>IFERROR(VLOOKUP($B24,Tarifa_all_20240711!$A$2:$G$660,2,FALSE()),"-")</f>
        <v>TAPA MARCO 35MM D-DECOR FIJO BLANCO 9003 M. 6,5 MT</v>
      </c>
      <c r="D24" s="79"/>
      <c r="E24" s="17">
        <v>1</v>
      </c>
      <c r="F24" s="18">
        <f>IFERROR(VLOOKUP($B24,Tarifa_all_20240711!$A$2:$G$660,5,FALSE()),"-")</f>
        <v>24.487499999999997</v>
      </c>
      <c r="G24" s="90">
        <f t="shared" si="0"/>
        <v>24.487499999999997</v>
      </c>
      <c r="H24" s="1"/>
      <c r="I24" s="92"/>
    </row>
    <row r="25" spans="1:9" x14ac:dyDescent="0.25">
      <c r="B25" s="16" t="s">
        <v>452</v>
      </c>
      <c r="C25" s="79" t="str">
        <f>IFERROR(VLOOKUP($B25,Tarifa_all_20240711!$A$2:$G$660,2,FALSE()),"-")</f>
        <v>PERFIL MINIMALISTA D-DECOR FIJO BLANCO 9003 M 3 MT</v>
      </c>
      <c r="D25" s="79"/>
      <c r="E25" s="17">
        <v>1</v>
      </c>
      <c r="F25" s="18">
        <f>IFERROR(VLOOKUP($B25,Tarifa_all_20240711!$A$2:$G$660,5,FALSE()),"-")</f>
        <v>36.72</v>
      </c>
      <c r="G25" s="90">
        <f t="shared" si="0"/>
        <v>36.72</v>
      </c>
      <c r="H25" s="1"/>
      <c r="I25" s="92"/>
    </row>
    <row r="26" spans="1:9" x14ac:dyDescent="0.25">
      <c r="B26" s="16" t="s">
        <v>298</v>
      </c>
      <c r="C26" s="79" t="str">
        <f>IFERROR(VLOOKUP($B26,Tarifa_all_20240711!$A$2:$G$660,2,FALSE()),"-")</f>
        <v>Tope Domo Decor</v>
      </c>
      <c r="D26" s="79"/>
      <c r="E26" s="17">
        <v>4</v>
      </c>
      <c r="F26" s="18">
        <f>IFERROR(VLOOKUP($B26,Tarifa_all_20240711!$A$2:$G$660,5,FALSE()),"-")</f>
        <v>1.4175</v>
      </c>
      <c r="G26" s="90">
        <f t="shared" si="0"/>
        <v>5.67</v>
      </c>
      <c r="H26" s="1"/>
      <c r="I26" s="92"/>
    </row>
    <row r="27" spans="1:9" x14ac:dyDescent="0.25">
      <c r="B27" s="16" t="s">
        <v>300</v>
      </c>
      <c r="C27" s="79" t="str">
        <f>IFERROR(VLOOKUP($B27,Tarifa_all_20240711!$A$2:$G$660,2,FALSE()),"-")</f>
        <v>PERFIL 3 MTS REDUCTOR PARA VIDRIO 6mm</v>
      </c>
      <c r="D27" s="79"/>
      <c r="E27" s="17">
        <v>3</v>
      </c>
      <c r="F27" s="18">
        <f>IFERROR(VLOOKUP($B27,Tarifa_all_20240711!$A$2:$G$660,5,FALSE()),"-")</f>
        <v>3.4275000000000002</v>
      </c>
      <c r="G27" s="89">
        <f t="shared" si="0"/>
        <v>10.282500000000001</v>
      </c>
      <c r="H27" s="1"/>
      <c r="I27" s="92">
        <v>20.52</v>
      </c>
    </row>
    <row r="28" spans="1:9" x14ac:dyDescent="0.25">
      <c r="B28" s="16">
        <v>31229</v>
      </c>
      <c r="C28" s="79" t="str">
        <f>IFERROR(VLOOKUP($B28,Tarifa_all_20240711!$A$2:$G$660,2,FALSE()),"-")</f>
        <v>COMPLEMENTO FIJACION DOMO DECOR: BARRAS 3 MTS</v>
      </c>
      <c r="D28" s="79"/>
      <c r="E28" s="17">
        <v>2</v>
      </c>
      <c r="F28" s="18">
        <f>IFERROR(VLOOKUP($B28,Tarifa_all_20240711!$A$2:$G$660,5,FALSE()),"-")</f>
        <v>11.317499999999999</v>
      </c>
      <c r="G28" s="90">
        <f t="shared" si="0"/>
        <v>22.634999999999998</v>
      </c>
      <c r="H28" s="87">
        <f>SUM(G22:G28)+(G21/2)</f>
        <v>254.28749999999997</v>
      </c>
      <c r="I28" s="92"/>
    </row>
    <row r="29" spans="1:9" x14ac:dyDescent="0.25">
      <c r="B29" s="16"/>
      <c r="C29" s="79" t="str">
        <f>IFERROR(VLOOKUP($B29,Tarifa_all_20240711!$A$2:$G$660,2,FALSE()),"-")</f>
        <v>-</v>
      </c>
      <c r="D29" s="79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  <c r="I29" s="92"/>
    </row>
    <row r="30" spans="1:9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  <c r="I30" s="92"/>
    </row>
    <row r="31" spans="1:9" x14ac:dyDescent="0.25">
      <c r="B31" s="19"/>
      <c r="C31" s="19"/>
      <c r="D31" s="19"/>
      <c r="E31" s="19"/>
      <c r="F31" s="20"/>
      <c r="G31" s="21">
        <f>SUM(G13:G30)</f>
        <v>1061.2275</v>
      </c>
      <c r="I31" s="91"/>
    </row>
    <row r="32" spans="1:9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88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6" orientation="landscape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Cerraj. Vial</v>
      </c>
      <c r="C9" s="86"/>
      <c r="D9" s="86"/>
      <c r="F9" s="3" t="s">
        <v>81</v>
      </c>
      <c r="G9" s="44">
        <f ca="1">TODAY()</f>
        <v>45789</v>
      </c>
    </row>
    <row r="10" spans="1:7" x14ac:dyDescent="0.25">
      <c r="A10" s="3" t="s">
        <v>82</v>
      </c>
      <c r="B10" s="11" t="str">
        <f>'DESPIECE (MATANALYSIS)'!C9</f>
        <v>C3</v>
      </c>
      <c r="C10" s="45"/>
      <c r="D10" s="45"/>
      <c r="E10" s="46"/>
      <c r="F10" s="47" t="s">
        <v>83</v>
      </c>
      <c r="G10" s="7">
        <f>'DESPIECE (MATANALYSIS)'!C7</f>
        <v>20250106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1061.2275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2025-05-12T08:21:56Z</cp:lastPrinted>
  <dcterms:created xsi:type="dcterms:W3CDTF">2024-04-15T12:43:19Z</dcterms:created>
  <dcterms:modified xsi:type="dcterms:W3CDTF">2025-05-12T08:22:45Z</dcterms:modified>
  <dc:language>es-ES</dc:language>
</cp:coreProperties>
</file>