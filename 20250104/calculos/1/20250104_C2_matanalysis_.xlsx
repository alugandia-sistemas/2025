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4\calculos\1\"/>
    </mc:Choice>
  </mc:AlternateContent>
  <xr:revisionPtr revIDLastSave="0" documentId="13_ncr:1_{B634D0D0-94D2-4E07-9475-0DD8336D8DDC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0" l="1"/>
  <c r="H28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<sst xmlns="http://schemas.openxmlformats.org/spreadsheetml/2006/main" count="5408" uniqueCount="1454">
  <si>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</si>
  <si>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</si>
  <si>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</si>
  <si>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</si>
  <si>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</si>
  <si>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</si>
  <si>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</si>
  <si>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</si>
  <si>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</si>
  <si>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</si>
  <si>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</si>
  <si>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</si>
  <si>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</si>
  <si>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</si>
  <si>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</si>
  <si>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</si>
  <si>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</si>
  <si>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</si>
  <si>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</si>
  <si>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</si>
  <si>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</si>
  <si>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</si>
  <si>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</si>
  <si>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</si>
  <si>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</si>
  <si>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</si>
  <si>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</si>
  <si>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</si>
  <si>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</si>
  <si>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</si>
  <si>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</si>
  <si>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</si>
  <si>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</si>
  <si>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</si>
  <si>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</si>
  <si>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</si>
  <si>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</si>
  <si>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</si>
  <si>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</si>
  <si>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</si>
  <si>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</si>
  <si>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</si>
  <si>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</si>
  <si>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</si>
  <si>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</si>
  <si>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</si>
  <si>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</si>
  <si>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</si>
  <si>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</si>
  <si>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</si>
  <si>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</si>
  <si>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</si>
  <si>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</si>
  <si>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</si>
  <si>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</si>
  <si>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</si>
  <si>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</si>
  <si>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</si>
  <si>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</si>
  <si>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</si>
  <si>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</si>
  <si>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</si>
  <si>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</si>
  <si>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</si>
  <si>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</si>
  <si>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</si>
  <si>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</si>
  <si>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</si>
  <si>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</si>
  <si>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</si>
  <si>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</si>
  <si>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</si>
  <si>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</si>
  <si>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</si>
  <si>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</si>
  <si>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</si>
  <si>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</si>
  <si>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</si>
  <si>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</si>
  <si>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</si>
  <si>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</si>
  <si>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</si>
  <si>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</si>
  <si>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</si>
  <si>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</si>
  <si>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</si>
  <si>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</si>
  <si>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</si>
  <si>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</si>
  <si>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</si>
  <si>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</si>
  <si>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</si>
  <si>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</si>
  <si>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</si>
  <si>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</si>
  <si>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</si>
  <si>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</si>
  <si>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</si>
  <si>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</si>
  <si>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</si>
  <si>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</si>
  <si>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</si>
  <si>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</si>
  <si>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</si>
  <si>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</si>
  <si>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</si>
  <si>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</si>
  <si>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</si>
  <si>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</si>
  <si>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</si>
  <si>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</si>
  <si>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</si>
  <si>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</si>
  <si>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</si>
  <si>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</si>
  <si>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</si>
  <si>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</si>
  <si>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</si>
  <si>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</si>
  <si>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</si>
  <si>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</si>
  <si>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</si>
  <si>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</si>
  <si>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</si>
  <si>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</si>
  <si>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</si>
  <si>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</si>
  <si>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</si>
  <si>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</si>
  <si>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</si>
  <si>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</si>
  <si>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</si>
  <si>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</si>
  <si>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</si>
  <si>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</si>
  <si>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</si>
  <si>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</si>
  <si>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</si>
  <si>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</si>
  <si>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</si>
  <si>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</si>
  <si>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</si>
  <si>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</si>
  <si>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</si>
  <si>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</si>
  <si>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</si>
  <si>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</si>
  <si>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</si>
  <si>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</si>
  <si>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</si>
  <si>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</si>
  <si>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</si>
  <si>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</si>
  <si>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</si>
  <si>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</si>
  <si>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</si>
  <si>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</si>
  <si>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</si>
  <si>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</si>
  <si>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</si>
  <si>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</si>
  <si>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</si>
  <si>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</si>
  <si>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</si>
  <si>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</si>
  <si>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</si>
  <si>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</si>
  <si>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</si>
  <si>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</si>
  <si>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</si>
  <si>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</si>
  <si>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</si>
  <si>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</si>
  <si>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</si>
  <si>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</si>
  <si>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</si>
  <si>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</si>
  <si>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</si>
  <si>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</si>
  <si>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</si>
  <si>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</si>
  <si>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</si>
  <si>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</si>
  <si>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</si>
  <si>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</si>
  <si>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</si>
  <si>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</si>
  <si>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</si>
  <si>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</si>
  <si>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</si>
  <si>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</si>
  <si>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</si>
  <si>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</si>
  <si>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</si>
  <si>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</si>
  <si>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</si>
  <si>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</si>
  <si>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</si>
  <si>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</si>
  <si>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</si>
  <si>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</si>
  <si>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</si>
  <si>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</si>
  <si>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</si>
  <si>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</si>
  <si>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</si>
  <si>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</si>
  <si>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</si>
  <si>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</si>
  <si>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</si>
  <si>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</si>
  <si>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</si>
  <si>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</si>
  <si>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</si>
  <si>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</si>
  <si>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</si>
  <si>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</si>
  <si>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</si>
  <si>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</si>
  <si>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</si>
  <si>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</si>
  <si>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</si>
  <si>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</si>
  <si>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</si>
  <si>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</si>
  <si>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</si>
  <si>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</si>
  <si>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</si>
  <si>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</si>
  <si>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</si>
  <si>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</si>
  <si>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</si>
  <si>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</si>
  <si>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</si>
  <si>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</si>
  <si>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</si>
  <si>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</si>
  <si>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</si>
  <si>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</si>
  <si>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</si>
  <si>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</si>
  <si>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</si>
  <si>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</si>
  <si>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</si>
  <si>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</si>
  <si>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</si>
  <si>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</si>
  <si>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</si>
  <si>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</si>
  <si>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</si>
  <si>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</si>
  <si>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</si>
  <si>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</si>
  <si>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</si>
  <si>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</si>
  <si>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</si>
  <si>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</si>
  <si>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</si>
  <si>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</si>
  <si>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</si>
  <si>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</si>
  <si>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</si>
  <si>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</si>
  <si>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</si>
  <si>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</si>
  <si>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</si>
  <si>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</si>
  <si>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</si>
  <si>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</si>
  <si>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</si>
  <si>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</si>
  <si>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</si>
  <si>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</si>
  <si>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</si>
  <si>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</si>
  <si>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</si>
  <si>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</si>
  <si>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</si>
  <si>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</si>
  <si>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</si>
  <si>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</si>
  <si>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</si>
  <si>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</si>
  <si>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</si>
  <si>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</si>
  <si>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</si>
  <si>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</si>
  <si>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</si>
  <si>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</si>
  <si>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</si>
  <si>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</si>
  <si>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</si>
  <si>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</si>
  <si>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</si>
  <si>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</si>
  <si>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</si>
  <si>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</si>
  <si>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</si>
  <si>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</si>
  <si>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</si>
  <si>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</si>
  <si>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</si>
  <si>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</si>
  <si>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</si>
  <si>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</si>
  <si>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</si>
  <si>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</si>
  <si>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</si>
  <si>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</si>
  <si>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</si>
  <si>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</si>
  <si>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</si>
  <si>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</si>
  <si>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</si>
  <si>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</si>
  <si>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</si>
  <si>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</si>
  <si>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</si>
  <si>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</si>
  <si>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</si>
  <si>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</si>
  <si>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</si>
  <si>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</si>
  <si>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</si>
  <si>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</si>
  <si>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</si>
  <si>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</si>
  <si>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</si>
  <si>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</si>
  <si>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</si>
  <si>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</si>
  <si>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</si>
  <si>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</si>
  <si>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</si>
  <si>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</si>
  <si>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</si>
  <si>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</si>
  <si>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</si>
  <si>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</si>
  <si>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</si>
  <si>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</si>
  <si>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</si>
  <si>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</si>
  <si>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</si>
  <si>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</si>
  <si>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</si>
  <si>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</si>
  <si>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</si>
  <si>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</si>
  <si>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</si>
  <si>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</si>
  <si>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</si>
  <si>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</si>
  <si>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</si>
  <si>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</si>
  <si>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</si>
  <si>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</si>
  <si>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</si>
  <si>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</si>
  <si>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</si>
  <si>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</si>
  <si>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</si>
  <si>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</si>
  <si>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</si>
  <si>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</si>
  <si>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</si>
  <si>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</si>
  <si>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</si>
  <si>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</si>
  <si>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</si>
  <si>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</si>
  <si>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</si>
  <si>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</si>
  <si>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</si>
  <si>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</si>
  <si>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</si>
  <si>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</si>
  <si>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</si>
  <si>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</si>
  <si>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</si>
  <si>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</si>
  <si>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</si>
  <si>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</si>
  <si>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</si>
  <si>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</si>
  <si>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</si>
  <si>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</si>
  <si>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</si>
  <si>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</si>
  <si>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</si>
  <si>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</si>
  <si>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</si>
  <si>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</si>
  <si>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</si>
  <si>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</si>
  <si>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</si>
  <si>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</si>
  <si>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</si>
  <si>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</si>
  <si>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</si>
  <si>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</si>
  <si>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</si>
  <si>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</si>
  <si>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</si>
  <si>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</si>
  <si>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</si>
  <si>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</si>
  <si>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</si>
  <si>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</si>
  <si>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</si>
  <si>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</si>
  <si>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</si>
  <si>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</si>
  <si>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</si>
  <si>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</si>
  <si>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</si>
  <si>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</si>
  <si>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</si>
  <si>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</si>
  <si>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</si>
  <si>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</si>
  <si>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</si>
  <si>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</si>
  <si>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</si>
  <si>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</si>
  <si>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</si>
  <si>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</si>
  <si>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</si>
  <si>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</si>
  <si>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</si>
  <si>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</si>
  <si>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</si>
  <si>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</si>
  <si>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</si>
  <si>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</si>
  <si>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</si>
  <si>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</si>
  <si>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</si>
  <si>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</si>
  <si>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</si>
  <si>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</si>
  <si>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</si>
  <si>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</si>
  <si>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</si>
  <si>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</si>
  <si>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</si>
  <si>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</si>
  <si>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</si>
  <si>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</si>
  <si>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</si>
  <si>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</si>
  <si>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</si>
  <si>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</si>
  <si>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</si>
  <si>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</si>
  <si>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</si>
  <si>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</si>
  <si>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</si>
  <si>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</si>
  <si>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</si>
  <si>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</si>
  <si>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</si>
  <si>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</si>
  <si>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</si>
  <si>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</si>
  <si>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</si>
  <si>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</si>
  <si>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</si>
  <si>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</si>
  <si>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</si>
  <si>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</si>
  <si>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</si>
  <si>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</si>
  <si>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</si>
  <si>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</si>
  <si>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</si>
  <si>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</si>
  <si>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</si>
  <si>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</si>
  <si>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</si>
  <si>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</si>
  <si>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</si>
  <si>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</si>
  <si>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</si>
  <si>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</si>
  <si>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</si>
  <si>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</si>
  <si>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</si>
  <si>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</si>
  <si>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</si>
  <si>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</si>
  <si>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</si>
  <si>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</si>
  <si>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</si>
  <si>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</si>
  <si>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</si>
  <si>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</si>
  <si>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</si>
  <si>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</si>
  <si>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</si>
  <si>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</si>
  <si>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</si>
  <si>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</si>
  <si>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</si>
  <si>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</si>
  <si>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</si>
  <si>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</si>
  <si>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</si>
  <si>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</si>
  <si>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</si>
  <si>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</si>
  <si>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</si>
  <si>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</si>
  <si>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</si>
  <si>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</si>
  <si>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</si>
  <si>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</si>
  <si>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</si>
  <si>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</si>
  <si>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</si>
  <si>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</si>
  <si>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</si>
  <si>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</si>
  <si>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</si>
  <si>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</si>
  <si>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</si>
  <si>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</si>
  <si>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</si>
  <si>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</si>
  <si>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</si>
  <si>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</si>
  <si>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</si>
  <si>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</si>
  <si>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</si>
  <si>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</si>
  <si>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</si>
  <si>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</si>
  <si>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</si>
  <si>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</si>
  <si>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</si>
  <si>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</si>
  <si>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</si>
  <si>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</si>
  <si>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</si>
  <si>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</si>
  <si>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</si>
  <si>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</si>
  <si>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</si>
  <si>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</si>
  <si>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</si>
  <si>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</si>
  <si>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</si>
  <si>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</si>
  <si>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</si>
  <si>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</si>
  <si>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</si>
  <si>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</si>
  <si>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</si>
  <si>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</si>
  <si>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</si>
  <si>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</si>
  <si>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</si>
  <si>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</si>
  <si>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</si>
  <si>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</si>
  <si>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</si>
  <si>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</si>
  <si>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</si>
  <si>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</si>
  <si>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</si>
  <si>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</si>
  <si>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</si>
  <si>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</si>
  <si>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</si>
  <si>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</si>
  <si>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</si>
  <si>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</si>
  <si>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</si>
  <si>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</si>
  <si>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</si>
  <si>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</si>
  <si>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</si>
  <si>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</si>
  <si>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</si>
  <si>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</si>
  <si>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</si>
  <si>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</si>
  <si>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</si>
  <si>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</si>
  <si>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</si>
  <si>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</si>
  <si>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</si>
  <si>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</si>
  <si>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</si>
  <si>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</si>
  <si>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</si>
  <si>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</si>
  <si>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</si>
  <si>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</si>
  <si>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</si>
  <si>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</si>
  <si>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</si>
  <si>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</si>
  <si>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</si>
  <si>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</si>
  <si>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</si>
  <si>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</si>
  <si>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</si>
  <si>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</si>
  <si>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</si>
  <si>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</si>
  <si>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</si>
  <si>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</si>
  <si>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</si>
  <si>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</si>
  <si>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</si>
  <si>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</si>
  <si>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</si>
  <si>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</si>
  <si>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</si>
  <si>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</si>
  <si>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</si>
  <si>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</si>
  <si>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</si>
  <si>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</si>
  <si>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</si>
  <si>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</si>
  <si>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</si>
  <si>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</si>
  <si>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</si>
  <si>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</si>
  <si>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</si>
  <si>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</si>
  <si>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</si>
  <si>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</si>
  <si>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</si>
  <si>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</si>
  <si>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</si>
  <si>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</si>
  <si>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</si>
  <si>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</si>
  <si>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</si>
  <si>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</si>
  <si>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</si>
  <si>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</si>
  <si>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</si>
  <si>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</si>
  <si>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</si>
  <si>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</si>
  <si>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</si>
  <si>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</si>
  <si>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</si>
  <si>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</si>
  <si>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</si>
  <si>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</si>
  <si>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</si>
  <si>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</si>
  <si>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</si>
  <si>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</si>
  <si>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</si>
  <si>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</si>
  <si>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</si>
  <si>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</si>
  <si>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</si>
  <si>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</si>
  <si>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</si>
  <si>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</si>
  <si>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</si>
  <si>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</si>
  <si>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</si>
  <si>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</si>
  <si>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</si>
  <si>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</si>
  <si>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</si>
  <si>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</si>
  <si>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</si>
  <si>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</si>
  <si>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</si>
  <si>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</si>
  <si>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</si>
  <si>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</si>
  <si>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</si>
  <si>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</si>
  <si>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</si>
  <si>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</si>
  <si>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</si>
  <si>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</si>
  <si>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</si>
  <si>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</si>
  <si>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</si>
  <si>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</si>
  <si>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</si>
  <si>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</si>
  <si>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</si>
  <si>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</si>
  <si>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</si>
  <si>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</si>
  <si>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</si>
  <si>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</si>
  <si>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</si>
  <si>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</si>
  <si>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</si>
  <si>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</si>
  <si>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</si>
  <si>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</si>
  <si>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</si>
  <si>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</si>
  <si>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</si>
  <si>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</si>
  <si>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</si>
  <si>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</si>
  <si>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</si>
  <si>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</si>
  <si>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</si>
  <si>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</si>
  <si>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</si>
  <si>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</si>
  <si>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</si>
  <si>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</si>
  <si>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</si>
  <si>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</si>
  <si>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</si>
  <si>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</si>
  <si>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</si>
  <si>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</si>
  <si>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</si>
  <si>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</si>
  <si>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</si>
  <si>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</si>
  <si>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</si>
  <si>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</si>
  <si>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</si>
  <si>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</si>
  <si>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</si>
  <si>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</si>
  <si>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</si>
  <si>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</si>
  <si>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</si>
  <si>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</si>
  <si>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</si>
  <si>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</si>
  <si>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</si>
  <si>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</si>
  <si>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</si>
  <si>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</si>
  <si>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</si>
  <si>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</si>
  <si>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</si>
  <si>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</si>
  <si>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</si>
  <si>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</si>
  <si>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</si>
  <si>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</si>
  <si>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</si>
  <si>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</si>
  <si>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</si>
  <si>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</si>
  <si>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</si>
  <si>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</si>
  <si>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</si>
  <si>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</si>
  <si>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</si>
  <si>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</si>
  <si>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</si>
  <si>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</si>
  <si>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</si>
  <si>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</si>
  <si>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</si>
  <si>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</si>
  <si>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</si>
  <si>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</si>
  <si>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</si>
  <si>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</si>
  <si>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</si>
  <si>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</si>
  <si>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</si>
  <si>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</si>
  <si>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</si>
  <si>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</si>
  <si>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</si>
  <si>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</si>
  <si>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</si>
  <si>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</si>
  <si>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</si>
  <si>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</si>
  <si>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</si>
  <si>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</si>
  <si>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</si>
  <si>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</si>
  <si>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</si>
  <si>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</si>
  <si>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</si>
  <si>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</si>
  <si>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</si>
  <si>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</si>
  <si>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</si>
  <si>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</si>
  <si>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</si>
  <si>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</si>
  <si>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</si>
  <si>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</si>
  <si>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</si>
  <si>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</si>
  <si>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</si>
  <si>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</si>
  <si>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</si>
  <si>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</si>
  <si>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</si>
  <si>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</si>
  <si>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</si>
  <si>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</si>
  <si>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</si>
  <si>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</si>
  <si>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</si>
  <si>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</si>
  <si>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</si>
  <si>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</si>
  <si>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</si>
  <si>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</si>
  <si>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</si>
  <si>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</si>
  <si>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</si>
  <si>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</si>
  <si>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</si>
  <si>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</si>
  <si>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</si>
  <si>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</si>
  <si>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</si>
  <si>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</si>
  <si>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</si>
  <si>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</si>
  <si>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</si>
  <si>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</si>
  <si>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</si>
  <si>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</si>
  <si>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</si>
  <si>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</si>
  <si>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</si>
  <si>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</si>
  <si>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</si>
  <si>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</si>
  <si>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</si>
  <si>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</si>
  <si>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</si>
  <si>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</si>
  <si>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</si>
  <si>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</si>
  <si>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</si>
  <si>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</si>
  <si>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</si>
  <si>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</si>
  <si>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</si>
  <si>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</si>
  <si>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</si>
  <si>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</si>
  <si>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</si>
  <si>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</si>
  <si>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</si>
  <si>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</si>
  <si>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</si>
  <si>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</si>
  <si>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</si>
  <si>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</si>
  <si>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</si>
  <si>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</si>
  <si>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</si>
  <si>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</si>
  <si>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</si>
  <si>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</si>
  <si>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</si>
  <si>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</si>
  <si>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</si>
  <si>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</si>
  <si>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</si>
  <si>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</si>
  <si>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</si>
  <si>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</si>
  <si>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</si>
  <si>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</si>
  <si>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</si>
  <si>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</si>
  <si>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</si>
  <si>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</si>
  <si>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</si>
  <si>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</si>
  <si>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</si>
  <si>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</si>
  <si>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</si>
  <si>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</si>
  <si>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</si>
  <si>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</si>
  <si>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</si>
  <si>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</si>
  <si>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</si>
  <si>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</si>
  <si>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</si>
  <si>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</si>
  <si>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</si>
  <si>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</si>
  <si>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</si>
  <si>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</si>
  <si>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</si>
  <si>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</si>
  <si>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</si>
  <si>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</si>
  <si>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</si>
  <si>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</si>
  <si>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</si>
  <si>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</si>
  <si>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</si>
  <si>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</si>
  <si>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</si>
  <si>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</si>
  <si>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</si>
  <si>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</si>
  <si>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</si>
  <si>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</si>
  <si>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</si>
  <si>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</si>
  <si>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</si>
  <si>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</si>
  <si>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</si>
  <si>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</si>
  <si>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</si>
  <si>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</si>
  <si>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</si>
  <si>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</si>
  <si>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</si>
  <si>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</si>
  <si>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</si>
  <si>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</si>
  <si>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</si>
  <si>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</si>
  <si>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</si>
  <si>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</si>
  <si>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</si>
  <si>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</si>
  <si>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</si>
  <si>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</si>
  <si>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</si>
  <si>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</si>
  <si>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</si>
  <si>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</si>
  <si>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</si>
  <si>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</si>
  <si>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</si>
  <si>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</si>
  <si>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</si>
  <si>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</si>
  <si>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</si>
  <si>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</si>
  <si>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</si>
  <si>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</si>
  <si>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</si>
  <si>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</si>
  <si>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</si>
  <si>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</si>
  <si>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</si>
  <si>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</si>
  <si>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</si>
  <si>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</si>
  <si>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</si>
  <si>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</si>
  <si>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</si>
  <si>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</si>
  <si>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</si>
  <si>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</si>
  <si>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</si>
  <si>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</si>
  <si>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</si>
  <si>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</si>
  <si>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</si>
  <si>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</si>
  <si>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</si>
  <si>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</si>
  <si>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</si>
  <si>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</si>
  <si>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</si>
  <si>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</si>
  <si>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</si>
  <si>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</si>
  <si>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</si>
  <si>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</si>
  <si>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</si>
  <si>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</si>
  <si>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</si>
  <si>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</si>
  <si>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</si>
  <si>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</si>
  <si>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</si>
  <si>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</si>
  <si>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</si>
  <si>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</si>
  <si>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</si>
  <si>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</si>
  <si>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</si>
  <si>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</si>
  <si>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</si>
  <si>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</si>
  <si>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</si>
  <si>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</si>
  <si>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</si>
  <si>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</si>
  <si>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</si>
  <si>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</si>
  <si>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</si>
  <si>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</si>
  <si>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</si>
  <si>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</si>
  <si>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</si>
  <si>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</si>
  <si>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</si>
  <si>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</si>
  <si>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</si>
  <si>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</si>
  <si>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</si>
  <si>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</si>
  <si>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</si>
  <si>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</si>
  <si>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</si>
  <si>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</si>
  <si>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</si>
  <si>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</si>
  <si>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</si>
  <si>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</si>
  <si>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</si>
  <si>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</si>
  <si>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</si>
  <si>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</si>
  <si>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</si>
  <si>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</si>
  <si>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</si>
  <si>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</si>
  <si>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</si>
  <si>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</si>
  <si>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</si>
  <si>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</si>
  <si>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</si>
  <si>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</si>
  <si>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</si>
  <si>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</si>
  <si>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</si>
  <si>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</si>
  <si>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</si>
  <si>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</si>
  <si>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</si>
  <si>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</si>
  <si>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</si>
  <si>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</si>
  <si>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</si>
  <si>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</si>
  <si>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</si>
  <si>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</si>
  <si>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</si>
  <si>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</si>
  <si>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</si>
  <si>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</si>
  <si>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</si>
  <si>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</si>
  <si>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</si>
  <si>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</si>
  <si>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</si>
  <si>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</si>
  <si>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</si>
  <si>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</si>
  <si>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</si>
  <si>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</si>
  <si>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</si>
  <si>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</si>
  <si>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</si>
  <si>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</si>
  <si>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</si>
  <si>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</si>
  <si>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</si>
  <si>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</si>
  <si>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</si>
  <si>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</si>
  <si>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</si>
  <si>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</si>
  <si>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</si>
  <si>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</si>
  <si>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</si>
  <si>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</si>
  <si>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</si>
  <si>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</si>
  <si>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</si>
  <si>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</si>
  <si>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</si>
  <si>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</si>
  <si>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</si>
  <si>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</si>
  <si>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</si>
  <si>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</si>
  <si>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</si>
  <si>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</si>
  <si>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</si>
  <si>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</si>
  <si>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</si>
  <si>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</si>
  <si>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</si>
  <si>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</si>
  <si>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</si>
  <si>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</si>
  <si>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</si>
  <si>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</si>
  <si>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</si>
  <si>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</si>
  <si>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</si>
  <si>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</si>
  <si>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</si>
  <si>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</si>
  <si>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</si>
  <si>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</si>
  <si>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</si>
  <si>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</si>
  <si>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</si>
  <si>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</si>
  <si>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</si>
  <si>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</si>
  <si>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</si>
  <si>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</si>
  <si>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</si>
  <si>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</si>
  <si>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</si>
  <si>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</si>
  <si>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</si>
  <si>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</si>
  <si>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</si>
  <si>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</si>
  <si>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</si>
  <si>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</si>
  <si>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</si>
  <si>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</si>
  <si>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</si>
  <si>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</si>
  <si>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</si>
  <si>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</si>
  <si>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</si>
  <si>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</si>
  <si>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</si>
  <si>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</si>
  <si>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</si>
  <si>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</si>
  <si>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</si>
  <si>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</si>
  <si>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</si>
  <si>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</si>
  <si>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</si>
  <si>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</si>
  <si>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</si>
  <si>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</si>
  <si>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</si>
  <si>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</si>
  <si>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</si>
  <si>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</si>
  <si>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</si>
  <si>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</si>
  <si>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</si>
  <si>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</si>
  <si>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</si>
  <si>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</si>
  <si>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</si>
  <si>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</si>
  <si>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</si>
  <si>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</si>
  <si>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</si>
  <si>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</si>
  <si>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</si>
  <si>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</si>
  <si>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</si>
  <si>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</si>
  <si>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</si>
  <si>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</si>
  <si>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</si>
  <si>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</si>
  <si>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</si>
  <si>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</si>
  <si>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</si>
  <si>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</si>
  <si>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</si>
  <si>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</si>
  <si>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</si>
  <si>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</si>
  <si>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</si>
  <si>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</si>
  <si>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</si>
  <si>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</si>
  <si>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</si>
  <si>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</si>
  <si>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</si>
  <si>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</si>
  <si>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</si>
  <si>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</si>
  <si>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</si>
  <si>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</si>
  <si>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</si>
  <si>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</si>
  <si>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</si>
  <si>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</si>
  <si>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</si>
  <si>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</si>
  <si>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</si>
  <si>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</si>
  <si>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</si>
  <si>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</si>
  <si>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</si>
  <si>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</si>
  <si>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</si>
  <si>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</si>
  <si>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</si>
  <si>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</si>
  <si>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</si>
  <si>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</si>
  <si>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</si>
  <si>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</si>
  <si>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</si>
  <si>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</si>
  <si>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</si>
  <si>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</si>
  <si>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</si>
  <si>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</si>
  <si>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</si>
  <si>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</si>
  <si>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</si>
  <si>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</si>
  <si>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</si>
  <si>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</si>
  <si>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</si>
  <si>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</si>
  <si>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</si>
  <si>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</si>
  <si>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</si>
  <si>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</si>
  <si>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</si>
  <si>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</si>
  <si>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</si>
  <si>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</si>
  <si>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</si>
  <si>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</si>
  <si>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</si>
  <si>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</si>
  <si>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</si>
  <si>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</si>
  <si>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</si>
  <si>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</si>
  <si>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</si>
  <si>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</si>
  <si>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</si>
  <si>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</si>
  <si>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</si>
  <si>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</si>
  <si>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</si>
  <si>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</si>
  <si>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</si>
  <si>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</si>
  <si>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</si>
  <si>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</si>
  <si>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</si>
  <si>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</si>
  <si>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</si>
  <si>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</si>
  <si>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</si>
  <si>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</si>
  <si>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</si>
  <si>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</si>
  <si>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</si>
  <si>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</si>
  <si>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</si>
  <si>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</si>
  <si>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</si>
  <si>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</si>
  <si>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</si>
  <si>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</si>
  <si>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</si>
  <si>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</si>
  <si>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</si>
  <si>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</si>
  <si>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</si>
  <si>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</si>
  <si>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</si>
  <si>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</si>
  <si>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</si>
  <si>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</si>
  <si>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</si>
  <si>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</si>
  <si>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</si>
  <si>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</si>
  <si>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</si>
  <si>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</si>
  <si>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</si>
  <si>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</si>
  <si>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</si>
  <si>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</si>
  <si>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</si>
  <si>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</si>
  <si>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</si>
  <si>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</si>
  <si>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</si>
  <si>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</si>
  <si>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</si>
  <si>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</si>
  <si>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</si>
  <si>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</si>
  <si>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</si>
  <si>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</si>
  <si>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</si>
  <si>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</si>
  <si>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</si>
  <si>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</si>
  <si>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</si>
  <si>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</si>
  <si>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</si>
  <si>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</si>
  <si>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</si>
  <si>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</si>
  <si>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</si>
  <si>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</si>
  <si>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</si>
  <si>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</si>
  <si>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</si>
  <si>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</si>
  <si>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</si>
  <si>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</si>
  <si>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</si>
  <si>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</si>
  <si>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</si>
  <si>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</si>
  <si>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</si>
  <si>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</si>
  <si>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</si>
  <si>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</si>
  <si>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</si>
  <si>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</si>
  <si>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</si>
  <si>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</si>
  <si>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</si>
  <si>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</si>
  <si>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</si>
  <si>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</si>
  <si>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</si>
  <si>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</si>
  <si>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</si>
  <si>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</si>
  <si>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</si>
  <si>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</si>
  <si>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</si>
  <si>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</si>
  <si>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</si>
  <si>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</si>
  <si>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</si>
  <si>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</si>
  <si>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</si>
  <si>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</si>
  <si>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</si>
  <si>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</si>
  <si>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</si>
  <si>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</si>
  <si>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</si>
  <si>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</si>
  <si>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</si>
  <si>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</si>
  <si>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</si>
  <si>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</si>
  <si>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</si>
  <si>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</si>
  <si>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</si>
  <si>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</si>
  <si>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</si>
  <si>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</si>
  <si>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</si>
  <si>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</si>
  <si>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</si>
  <si>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</si>
  <si>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</si>
  <si>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</si>
  <si>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</si>
  <si>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</si>
  <si>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</si>
  <si>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</si>
  <si>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</si>
  <si>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</si>
  <si>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</si>
  <si>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</si>
  <si>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</si>
  <si>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</si>
  <si>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</si>
  <si>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</si>
  <si>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</si>
  <si>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</si>
  <si>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</si>
  <si>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</si>
  <si>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</si>
  <si>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</si>
  <si>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</si>
  <si>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</si>
  <si>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</si>
  <si>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</si>
  <si>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</si>
  <si>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</si>
  <si>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</si>
  <si>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</si>
  <si>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</si>
  <si>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</si>
  <si>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</si>
  <si>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</si>
  <si>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</si>
  <si>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</si>
  <si>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</si>
  <si>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</si>
  <si>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</si>
  <si>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</si>
  <si>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</si>
  <si>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</si>
  <si>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</si>
  <si>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</si>
  <si>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</si>
  <si>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</si>
  <si>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</si>
  <si>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</si>
  <si>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</si>
  <si>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</si>
  <si>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</si>
  <si>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</si>
  <si>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</si>
  <si>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</si>
  <si>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</si>
  <si>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</si>
  <si>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</si>
  <si>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</si>
  <si>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</si>
  <si>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</si>
  <si>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</si>
  <si>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</si>
  <si>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</si>
  <si>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</si>
  <si>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</si>
  <si>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</si>
  <si>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</si>
  <si>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</si>
  <si>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</si>
  <si>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</si>
  <si>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</si>
  <si>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</si>
  <si>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</si>
  <si>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</si>
  <si>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</si>
  <si>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</si>
  <si>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</si>
  <si>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</si>
  <si>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</si>
  <si>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</si>
  <si>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Cerraj. Vial</t>
  </si>
  <si>
    <t>C2</t>
  </si>
  <si>
    <t>WinPerfil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</si>
</sst>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theme="5"/>
      <name val="Calibri"/>
      <family val="2"/>
    </font>
    <font>
      <b/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165" fontId="15" fillId="2" borderId="0" xfId="0" applyNumberFormat="1" applyFont="1" applyFill="1" applyAlignment="1">
      <alignment horizontal="right" vertical="center"/>
    </xf>
    <xf numFmtId="165" fontId="16" fillId="2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topLeftCell="A2" zoomScale="85" zoomScaleNormal="85" workbookViewId="0">
      <selection activeCell="H31" sqref="H3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20250104</v>
      </c>
      <c r="G7" s="8">
        <f ca="1">TODAY()</f>
        <v>45789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ht="15.75" x14ac:dyDescent="0.25">
      <c r="B11" s="3"/>
      <c r="C11" s="11"/>
      <c r="H11" s="1"/>
      <c r="I11" s="90" t="s">
        <v>1453</v>
      </c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281</v>
      </c>
      <c r="C13" s="79" t="str">
        <f>IFERROR(VLOOKUP($B13,Tarifa_all_20240711!$A$2:$G$660,2,FALSE()),"-")</f>
        <v>CARC.SIMPLE GUIA DESM.LAC.BLANCO MATE 9003-2 MTS</v>
      </c>
      <c r="D13" s="79"/>
      <c r="E13" s="17">
        <v>1</v>
      </c>
      <c r="F13" s="18">
        <f>IFERROR(VLOOKUP($B13,Tarifa_all_20240711!$A$2:$G$660,5,FALSE()),"-")</f>
        <v>58.222499999999997</v>
      </c>
      <c r="G13" s="89">
        <f t="shared" ref="G13:G30" si="0">IFERROR(E13*F13,"-")</f>
        <v>58.222499999999997</v>
      </c>
      <c r="H13" s="1"/>
      <c r="I13">
        <v>64.040000000000006</v>
      </c>
    </row>
    <row r="14" spans="1:12" x14ac:dyDescent="0.25">
      <c r="A14" t="s">
        <v>15</v>
      </c>
      <c r="B14" s="16" t="s">
        <v>273</v>
      </c>
      <c r="C14" s="79" t="str">
        <f>IFERROR(VLOOKUP($B14,Tarifa_all_20240711!$A$2:$G$660,2,FALSE()),"-")</f>
        <v>GUIA SKY PLUS DESMONT.LAC.BLANCO MATE 9003-2 MTS</v>
      </c>
      <c r="D14" s="79"/>
      <c r="E14" s="17">
        <v>1</v>
      </c>
      <c r="F14" s="18">
        <f>IFERROR(VLOOKUP($B14,Tarifa_all_20240711!$A$2:$G$660,5,FALSE()),"-")</f>
        <v>43.552500000000002</v>
      </c>
      <c r="G14" s="89">
        <f t="shared" si="0"/>
        <v>43.552500000000002</v>
      </c>
      <c r="H14" s="1"/>
      <c r="I14">
        <v>47.9</v>
      </c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4</v>
      </c>
      <c r="F15" s="18">
        <f>IFERROR(VLOOKUP($B15,Tarifa_all_20240711!$A$2:$G$660,5,FALSE()),"-")</f>
        <v>11.737500000000001</v>
      </c>
      <c r="G15" s="89">
        <f t="shared" si="0"/>
        <v>46.95</v>
      </c>
      <c r="H15" s="1"/>
      <c r="I15">
        <v>35.22</v>
      </c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88">
        <f t="shared" si="0"/>
        <v>30.599999999999998</v>
      </c>
      <c r="H16" s="1"/>
    </row>
    <row r="17" spans="1:9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LAC.BLANCO MATE 9003</v>
      </c>
      <c r="D17" s="79"/>
      <c r="E17" s="17">
        <v>1</v>
      </c>
      <c r="F17" s="18">
        <f>IFERROR(VLOOKUP($B17,Tarifa_all_20240711!$A$2:$G$660,5,FALSE()),"-")</f>
        <v>215.65500000000003</v>
      </c>
      <c r="G17" s="88">
        <f t="shared" si="0"/>
        <v>215.65500000000003</v>
      </c>
      <c r="H17" s="1"/>
    </row>
    <row r="18" spans="1:9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88">
        <f t="shared" si="0"/>
        <v>16.634999999999998</v>
      </c>
      <c r="H18" s="1"/>
    </row>
    <row r="19" spans="1:9" x14ac:dyDescent="0.25">
      <c r="A19" t="s">
        <v>20</v>
      </c>
      <c r="B19" s="16" t="s">
        <v>375</v>
      </c>
      <c r="C19" s="79" t="str">
        <f>IFERROR(VLOOKUP($B19,Tarifa_all_20240711!$A$2:$G$660,2,FALSE()),"-")</f>
        <v>TIRADOR RECT.ADH CAVE LAC.BLANCO MATE 9003: 2 UDS</v>
      </c>
      <c r="D19" s="79"/>
      <c r="E19" s="17">
        <v>1</v>
      </c>
      <c r="F19" s="18">
        <f>IFERROR(VLOOKUP($B19,Tarifa_all_20240711!$A$2:$G$660,5,FALSE()),"-")</f>
        <v>59.122500000000002</v>
      </c>
      <c r="G19" s="88">
        <f t="shared" si="0"/>
        <v>59.122500000000002</v>
      </c>
      <c r="H19" s="1"/>
    </row>
    <row r="20" spans="1:9" x14ac:dyDescent="0.25">
      <c r="A20" t="s">
        <v>21</v>
      </c>
      <c r="B20" s="16" t="s">
        <v>322</v>
      </c>
      <c r="C20" s="79" t="str">
        <f>IFERROR(VLOOKUP($B20,Tarifa_all_20240711!$A$2:$G$660,2,FALSE()),"-")</f>
        <v>GUIADOR FIJO PA LAC.BLANCO MATE 9003</v>
      </c>
      <c r="D20" s="79"/>
      <c r="E20" s="17">
        <v>1</v>
      </c>
      <c r="F20" s="18">
        <f>IFERROR(VLOOKUP($B20,Tarifa_all_20240711!$A$2:$G$660,5,FALSE()),"-")</f>
        <v>8.61</v>
      </c>
      <c r="G20" s="88">
        <f t="shared" si="0"/>
        <v>8.61</v>
      </c>
      <c r="H20" s="87">
        <f>SUM(G13:G20)</f>
        <v>479.34750000000003</v>
      </c>
    </row>
    <row r="21" spans="1:9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9" x14ac:dyDescent="0.25">
      <c r="B22" s="16" t="s">
        <v>462</v>
      </c>
      <c r="C22" s="79" t="str">
        <f>IFERROR(VLOOKUP($B22,Tarifa_all_20240711!$A$2:$G$660,2,FALSE()),"-")</f>
        <v>MARCO FIJOS 35MM D-DECOR FIJO BLAN 9003 MATE 3 MT</v>
      </c>
      <c r="D22" s="79"/>
      <c r="E22" s="17">
        <v>1</v>
      </c>
      <c r="F22" s="18">
        <f>IFERROR(VLOOKUP($B22,Tarifa_all_20240711!$A$2:$G$660,5,FALSE()),"-")</f>
        <v>27.712500000000002</v>
      </c>
      <c r="G22" s="88">
        <f t="shared" si="0"/>
        <v>27.712500000000002</v>
      </c>
      <c r="H22" s="1"/>
    </row>
    <row r="23" spans="1:9" x14ac:dyDescent="0.25">
      <c r="B23" s="16" t="s">
        <v>442</v>
      </c>
      <c r="C23" s="79" t="str">
        <f>IFERROR(VLOOKUP($B23,Tarifa_all_20240711!$A$2:$G$660,2,FALSE()),"-")</f>
        <v>ANCLAJE TAPA 35MM D-DECOR FIJO BLANCO 9003 M 3 MT</v>
      </c>
      <c r="D23" s="79"/>
      <c r="E23" s="17">
        <v>1</v>
      </c>
      <c r="F23" s="18">
        <f>IFERROR(VLOOKUP($B23,Tarifa_all_20240711!$A$2:$G$660,5,FALSE()),"-")</f>
        <v>13.4175</v>
      </c>
      <c r="G23" s="88">
        <f t="shared" si="0"/>
        <v>13.4175</v>
      </c>
      <c r="H23" s="1"/>
    </row>
    <row r="24" spans="1:9" x14ac:dyDescent="0.25">
      <c r="B24" s="16" t="s">
        <v>482</v>
      </c>
      <c r="C24" s="79" t="str">
        <f>IFERROR(VLOOKUP($B24,Tarifa_all_20240711!$A$2:$G$660,2,FALSE()),"-")</f>
        <v>TAPA MARCO 35MM D-DECOR FIJO BLANCO 9003 MATE 3 MT</v>
      </c>
      <c r="D24" s="79"/>
      <c r="E24" s="17">
        <v>1</v>
      </c>
      <c r="F24" s="18">
        <f>IFERROR(VLOOKUP($B24,Tarifa_all_20240711!$A$2:$G$660,5,FALSE()),"-")</f>
        <v>11.3025</v>
      </c>
      <c r="G24" s="88">
        <f t="shared" si="0"/>
        <v>11.3025</v>
      </c>
      <c r="H24" s="1"/>
    </row>
    <row r="25" spans="1:9" x14ac:dyDescent="0.25">
      <c r="B25" s="16" t="s">
        <v>452</v>
      </c>
      <c r="C25" s="79" t="str">
        <f>IFERROR(VLOOKUP($B25,Tarifa_all_20240711!$A$2:$G$660,2,FALSE()),"-")</f>
        <v>PERFIL MINIMALISTA D-DECOR FIJO BLANCO 9003 M 3 MT</v>
      </c>
      <c r="D25" s="79"/>
      <c r="E25" s="17">
        <v>1</v>
      </c>
      <c r="F25" s="18">
        <f>IFERROR(VLOOKUP($B25,Tarifa_all_20240711!$A$2:$G$660,5,FALSE()),"-")</f>
        <v>36.72</v>
      </c>
      <c r="G25" s="88">
        <f t="shared" si="0"/>
        <v>36.72</v>
      </c>
      <c r="H25" s="1"/>
    </row>
    <row r="26" spans="1:9" x14ac:dyDescent="0.25">
      <c r="B26" s="16" t="s">
        <v>298</v>
      </c>
      <c r="C26" s="79" t="str">
        <f>IFERROR(VLOOKUP($B26,Tarifa_all_20240711!$A$2:$G$660,2,FALSE()),"-")</f>
        <v>Tope Domo Decor</v>
      </c>
      <c r="D26" s="79"/>
      <c r="E26" s="17">
        <v>4</v>
      </c>
      <c r="F26" s="18">
        <f>IFERROR(VLOOKUP($B26,Tarifa_all_20240711!$A$2:$G$660,5,FALSE()),"-")</f>
        <v>1.4175</v>
      </c>
      <c r="G26" s="88">
        <f t="shared" si="0"/>
        <v>5.67</v>
      </c>
      <c r="H26" s="1"/>
    </row>
    <row r="27" spans="1:9" x14ac:dyDescent="0.25">
      <c r="B27" s="16" t="s">
        <v>300</v>
      </c>
      <c r="C27" s="79" t="str">
        <f>IFERROR(VLOOKUP($B27,Tarifa_all_20240711!$A$2:$G$660,2,FALSE()),"-")</f>
        <v>PERFIL 3 MTS REDUCTOR PARA VIDRIO 6mm</v>
      </c>
      <c r="D27" s="79"/>
      <c r="E27" s="17">
        <v>2</v>
      </c>
      <c r="F27" s="18">
        <f>IFERROR(VLOOKUP($B27,Tarifa_all_20240711!$A$2:$G$660,5,FALSE()),"-")</f>
        <v>3.4275000000000002</v>
      </c>
      <c r="G27" s="89">
        <f t="shared" si="0"/>
        <v>6.8550000000000004</v>
      </c>
      <c r="H27" s="1"/>
      <c r="I27">
        <v>13.68</v>
      </c>
    </row>
    <row r="28" spans="1:9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1</v>
      </c>
      <c r="F28" s="18">
        <f>IFERROR(VLOOKUP($B28,Tarifa_all_20240711!$A$2:$G$660,5,FALSE()),"-")</f>
        <v>11.317499999999999</v>
      </c>
      <c r="G28" s="88">
        <f t="shared" si="0"/>
        <v>11.317499999999999</v>
      </c>
      <c r="H28" s="87">
        <f>SUM(G22:G28)</f>
        <v>112.995</v>
      </c>
    </row>
    <row r="29" spans="1:9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9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9" x14ac:dyDescent="0.25">
      <c r="B31" s="19"/>
      <c r="C31" s="19"/>
      <c r="D31" s="19"/>
      <c r="E31" s="19"/>
      <c r="F31" s="20"/>
      <c r="G31" s="21">
        <f>SUM(G13:G30)</f>
        <v>592.34249999999997</v>
      </c>
      <c r="I31">
        <v>598.30999999999995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6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Cerraj. Vial</v>
      </c>
      <c r="C9" s="86"/>
      <c r="D9" s="86"/>
      <c r="F9" s="3" t="s">
        <v>81</v>
      </c>
      <c r="G9" s="44">
        <f ca="1">TODAY()</f>
        <v>45789</v>
      </c>
    </row>
    <row r="10" spans="1:7" x14ac:dyDescent="0.25">
      <c r="A10" s="3" t="s">
        <v>82</v>
      </c>
      <c r="B10" s="11" t="str">
        <f>'DESPIECE (MATANALYSIS)'!C9</f>
        <v>C2</v>
      </c>
      <c r="C10" s="45"/>
      <c r="D10" s="45"/>
      <c r="E10" s="46"/>
      <c r="F10" s="47" t="s">
        <v>83</v>
      </c>
      <c r="G10" s="7">
        <f>'DESPIECE (MATANALYSIS)'!C7</f>
        <v>20250104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592.34249999999997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2025-05-12T07:37:41Z</cp:lastPrinted>
  <dcterms:created xsi:type="dcterms:W3CDTF">2024-04-15T12:43:19Z</dcterms:created>
  <dcterms:modified xsi:type="dcterms:W3CDTF">2025-05-12T07:56:21Z</dcterms:modified>
  <dc:language>es-ES</dc:language>
</cp:coreProperties>
</file>