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04\calculos\1\"/>
    </mc:Choice>
  </mc:AlternateContent>
  <xr:revisionPtr revIDLastSave="0" documentId="13_ncr:1_{65492E4B-0D92-4FDA-9625-57171341303F}" xr6:coauthVersionLast="47" xr6:coauthVersionMax="47" xr10:uidLastSave="{00000000-0000-0000-0000-000000000000}"/>
  <bookViews>
    <workbookView xWindow="-14505" yWindow="0" windowWidth="14610" windowHeight="1558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<sst xmlns="http://schemas.openxmlformats.org/spreadsheetml/2006/main" count="5401" uniqueCount="1453">
  <si>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</si>
  <si>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</si>
  <si>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</si>
  <si>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</si>
  <si>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</si>
  <si>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</si>
  <si>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</si>
  <si>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</si>
  <si>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</si>
  <si>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</si>
  <si>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</si>
  <si>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</si>
  <si>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</si>
  <si>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</si>
  <si>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</si>
  <si>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</si>
  <si>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</si>
  <si>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</si>
  <si>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</si>
  <si>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</si>
  <si>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</si>
  <si>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</si>
  <si>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</si>
  <si>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</si>
  <si>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</si>
  <si>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</si>
  <si>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</si>
  <si>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</si>
  <si>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</si>
  <si>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</si>
  <si>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</si>
  <si>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</si>
  <si>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</si>
  <si>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</si>
  <si>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</si>
  <si>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</si>
  <si>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</si>
  <si>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</si>
  <si>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</si>
  <si>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</si>
  <si>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</si>
  <si>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</si>
  <si>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</si>
  <si>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</si>
  <si>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</si>
  <si>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</si>
  <si>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</si>
  <si>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</si>
  <si>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</si>
  <si>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</si>
  <si>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</si>
  <si>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</si>
  <si>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</si>
  <si>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</si>
  <si>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</si>
  <si>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</si>
  <si>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</si>
  <si>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</si>
  <si>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</si>
  <si>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</si>
  <si>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</si>
  <si>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</si>
  <si>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</si>
  <si>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</si>
  <si>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</si>
  <si>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</si>
  <si>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</si>
  <si>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</si>
  <si>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</si>
  <si>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</si>
  <si>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</si>
  <si>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</si>
  <si>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</si>
  <si>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</si>
  <si>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</si>
  <si>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</si>
  <si>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</si>
  <si>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</si>
  <si>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</si>
  <si>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</si>
  <si>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</si>
  <si>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</si>
  <si>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</si>
  <si>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</si>
  <si>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</si>
  <si>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</si>
  <si>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</si>
  <si>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</si>
  <si>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</si>
  <si>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</si>
  <si>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</si>
  <si>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</si>
  <si>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</si>
  <si>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</si>
  <si>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</si>
  <si>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</si>
  <si>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</si>
  <si>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</si>
  <si>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</si>
  <si>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</si>
  <si>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</si>
  <si>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</si>
  <si>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</si>
  <si>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</si>
  <si>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</si>
  <si>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</si>
  <si>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</si>
  <si>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</si>
  <si>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</si>
  <si>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</si>
  <si>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</si>
  <si>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</si>
  <si>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</si>
  <si>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</si>
  <si>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</si>
  <si>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</si>
  <si>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</si>
  <si>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</si>
  <si>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</si>
  <si>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</si>
  <si>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</si>
  <si>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</si>
  <si>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</si>
  <si>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</si>
  <si>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</si>
  <si>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</si>
  <si>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</si>
  <si>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</si>
  <si>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</si>
  <si>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</si>
  <si>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</si>
  <si>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</si>
  <si>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</si>
  <si>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</si>
  <si>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</si>
  <si>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</si>
  <si>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</si>
  <si>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</si>
  <si>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</si>
  <si>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</si>
  <si>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</si>
  <si>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</si>
  <si>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</si>
  <si>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</si>
  <si>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</si>
  <si>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</si>
  <si>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</si>
  <si>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</si>
  <si>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</si>
  <si>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</si>
  <si>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</si>
  <si>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</si>
  <si>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</si>
  <si>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</si>
  <si>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</si>
  <si>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</si>
  <si>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</si>
  <si>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</si>
  <si>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</si>
  <si>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</si>
  <si>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</si>
  <si>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</si>
  <si>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</si>
  <si>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</si>
  <si>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</si>
  <si>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</si>
  <si>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</si>
  <si>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</si>
  <si>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</si>
  <si>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</si>
  <si>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</si>
  <si>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</si>
  <si>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</si>
  <si>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</si>
  <si>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</si>
  <si>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</si>
  <si>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</si>
  <si>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</si>
  <si>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</si>
  <si>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</si>
  <si>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</si>
  <si>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</si>
  <si>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</si>
  <si>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</si>
  <si>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</si>
  <si>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</si>
  <si>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</si>
  <si>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</si>
  <si>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</si>
  <si>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</si>
  <si>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</si>
  <si>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</si>
  <si>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</si>
  <si>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</si>
  <si>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</si>
  <si>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</si>
  <si>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</si>
  <si>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</si>
  <si>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</si>
  <si>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</si>
  <si>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</si>
  <si>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</si>
  <si>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</si>
  <si>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</si>
  <si>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</si>
  <si>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</si>
  <si>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</si>
  <si>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</si>
  <si>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</si>
  <si>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</si>
  <si>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</si>
  <si>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</si>
  <si>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</si>
  <si>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</si>
  <si>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</si>
  <si>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</si>
  <si>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</si>
  <si>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</si>
  <si>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</si>
  <si>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</si>
  <si>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</si>
  <si>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</si>
  <si>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</si>
  <si>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</si>
  <si>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</si>
  <si>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</si>
  <si>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</si>
  <si>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</si>
  <si>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</si>
  <si>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</si>
  <si>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</si>
  <si>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</si>
  <si>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</si>
  <si>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</si>
  <si>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</si>
  <si>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</si>
  <si>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</si>
  <si>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</si>
  <si>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</si>
  <si>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</si>
  <si>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</si>
  <si>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</si>
  <si>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</si>
  <si>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</si>
  <si>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</si>
  <si>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</si>
  <si>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</si>
  <si>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</si>
  <si>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</si>
  <si>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</si>
  <si>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</si>
  <si>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</si>
  <si>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</si>
  <si>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</si>
  <si>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</si>
  <si>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</si>
  <si>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</si>
  <si>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</si>
  <si>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</si>
  <si>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</si>
  <si>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</si>
  <si>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</si>
  <si>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</si>
  <si>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</si>
  <si>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</si>
  <si>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</si>
  <si>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</si>
  <si>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</si>
  <si>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</si>
  <si>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</si>
  <si>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</si>
  <si>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</si>
  <si>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</si>
  <si>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</si>
  <si>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</si>
  <si>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</si>
  <si>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</si>
  <si>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</si>
  <si>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</si>
  <si>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</si>
  <si>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</si>
  <si>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</si>
  <si>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</si>
  <si>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</si>
  <si>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</si>
  <si>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</si>
  <si>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</si>
  <si>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</si>
  <si>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</si>
  <si>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</si>
  <si>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</si>
  <si>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</si>
  <si>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</si>
  <si>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</si>
  <si>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</si>
  <si>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</si>
  <si>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</si>
  <si>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</si>
  <si>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</si>
  <si>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</si>
  <si>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</si>
  <si>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</si>
  <si>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</si>
  <si>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</si>
  <si>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</si>
  <si>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</si>
  <si>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</si>
  <si>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</si>
  <si>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</si>
  <si>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</si>
  <si>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</si>
  <si>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</si>
  <si>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</si>
  <si>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</si>
  <si>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</si>
  <si>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</si>
  <si>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</si>
  <si>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</si>
  <si>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</si>
  <si>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</si>
  <si>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</si>
  <si>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</si>
  <si>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</si>
  <si>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</si>
  <si>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</si>
  <si>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</si>
  <si>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</si>
  <si>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</si>
  <si>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</si>
  <si>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</si>
  <si>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</si>
  <si>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</si>
  <si>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</si>
  <si>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</si>
  <si>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</si>
  <si>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</si>
  <si>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</si>
  <si>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</si>
  <si>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</si>
  <si>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</si>
  <si>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</si>
  <si>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</si>
  <si>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</si>
  <si>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</si>
  <si>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</si>
  <si>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</si>
  <si>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</si>
  <si>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</si>
  <si>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</si>
  <si>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</si>
  <si>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</si>
  <si>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</si>
  <si>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</si>
  <si>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</si>
  <si>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</si>
  <si>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</si>
  <si>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</si>
  <si>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</si>
  <si>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</si>
  <si>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</si>
  <si>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</si>
  <si>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</si>
  <si>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</si>
  <si>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</si>
  <si>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</si>
  <si>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</si>
  <si>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</si>
  <si>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</si>
  <si>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</si>
  <si>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</si>
  <si>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</si>
  <si>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</si>
  <si>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</si>
  <si>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</si>
  <si>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</si>
  <si>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</si>
  <si>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</si>
  <si>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</si>
  <si>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</si>
  <si>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</si>
  <si>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</si>
  <si>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</si>
  <si>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</si>
  <si>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</si>
  <si>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</si>
  <si>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</si>
  <si>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</si>
  <si>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</si>
  <si>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</si>
  <si>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</si>
  <si>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</si>
  <si>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</si>
  <si>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</si>
  <si>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</si>
  <si>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</si>
  <si>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</si>
  <si>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</si>
  <si>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</si>
  <si>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</si>
  <si>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</si>
  <si>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</si>
  <si>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</si>
  <si>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</si>
  <si>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</si>
  <si>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</si>
  <si>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</si>
  <si>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</si>
  <si>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</si>
  <si>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</si>
  <si>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</si>
  <si>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</si>
  <si>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</si>
  <si>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</si>
  <si>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</si>
  <si>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</si>
  <si>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</si>
  <si>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</si>
  <si>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</si>
  <si>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</si>
  <si>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</si>
  <si>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</si>
  <si>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</si>
  <si>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</si>
  <si>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</si>
  <si>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</si>
  <si>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</si>
  <si>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</si>
  <si>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</si>
  <si>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</si>
  <si>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</si>
  <si>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</si>
  <si>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</si>
  <si>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</si>
  <si>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</si>
  <si>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</si>
  <si>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</si>
  <si>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</si>
  <si>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</si>
  <si>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</si>
  <si>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</si>
  <si>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</si>
  <si>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</si>
  <si>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</si>
  <si>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</si>
  <si>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</si>
  <si>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</si>
  <si>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</si>
  <si>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</si>
  <si>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</si>
  <si>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</si>
  <si>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</si>
  <si>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</si>
  <si>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</si>
  <si>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</si>
  <si>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</si>
  <si>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</si>
  <si>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</si>
  <si>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</si>
  <si>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</si>
  <si>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</si>
  <si>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</si>
  <si>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</si>
  <si>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</si>
  <si>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</si>
  <si>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</si>
  <si>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</si>
  <si>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</si>
  <si>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</si>
  <si>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</si>
  <si>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</si>
  <si>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</si>
  <si>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</si>
  <si>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</si>
  <si>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</si>
  <si>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</si>
  <si>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</si>
  <si>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</si>
  <si>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</si>
  <si>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</si>
  <si>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</si>
  <si>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</si>
  <si>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</si>
  <si>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</si>
  <si>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</si>
  <si>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</si>
  <si>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</si>
  <si>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</si>
  <si>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</si>
  <si>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</si>
  <si>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</si>
  <si>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</si>
  <si>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</si>
  <si>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</si>
  <si>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</si>
  <si>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</si>
  <si>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</si>
  <si>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</si>
  <si>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</si>
  <si>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</si>
  <si>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</si>
  <si>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</si>
  <si>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</si>
  <si>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</si>
  <si>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</si>
  <si>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</si>
  <si>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</si>
  <si>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</si>
  <si>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</si>
  <si>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</si>
  <si>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</si>
  <si>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</si>
  <si>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</si>
  <si>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</si>
  <si>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</si>
  <si>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</si>
  <si>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</si>
  <si>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</si>
  <si>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</si>
  <si>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</si>
  <si>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</si>
  <si>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</si>
  <si>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</si>
  <si>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</si>
  <si>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</si>
  <si>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</si>
  <si>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</si>
  <si>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</si>
  <si>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</si>
  <si>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</si>
  <si>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</si>
  <si>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</si>
  <si>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</si>
  <si>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</si>
  <si>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</si>
  <si>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</si>
  <si>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</si>
  <si>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</si>
  <si>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</si>
  <si>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</si>
  <si>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</si>
  <si>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</si>
  <si>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</si>
  <si>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</si>
  <si>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</si>
  <si>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</si>
  <si>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</si>
  <si>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</si>
  <si>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</si>
  <si>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</si>
  <si>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</si>
  <si>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</si>
  <si>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</si>
  <si>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</si>
  <si>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</si>
  <si>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</si>
  <si>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</si>
  <si>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</si>
  <si>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</si>
  <si>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</si>
  <si>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</si>
  <si>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</si>
  <si>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</si>
  <si>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</si>
  <si>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</si>
  <si>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</si>
  <si>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</si>
  <si>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</si>
  <si>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</si>
  <si>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</si>
  <si>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</si>
  <si>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</si>
  <si>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</si>
  <si>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</si>
  <si>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</si>
  <si>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</si>
  <si>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</si>
  <si>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</si>
  <si>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</si>
  <si>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</si>
  <si>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</si>
  <si>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</si>
  <si>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</si>
  <si>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</si>
  <si>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</si>
  <si>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</si>
  <si>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</si>
  <si>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</si>
  <si>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</si>
  <si>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</si>
  <si>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</si>
  <si>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</si>
  <si>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</si>
  <si>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</si>
  <si>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</si>
  <si>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</si>
  <si>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</si>
  <si>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</si>
  <si>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</si>
  <si>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</si>
  <si>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</si>
  <si>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</si>
  <si>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</si>
  <si>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</si>
  <si>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</si>
  <si>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</si>
  <si>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</si>
  <si>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</si>
  <si>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</si>
  <si>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</si>
  <si>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</si>
  <si>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</si>
  <si>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</si>
  <si>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</si>
  <si>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</si>
  <si>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</si>
  <si>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</si>
  <si>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</si>
  <si>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</si>
  <si>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</si>
  <si>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</si>
  <si>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</si>
  <si>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</si>
  <si>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</si>
  <si>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</si>
  <si>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</si>
  <si>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</si>
  <si>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</si>
  <si>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</si>
  <si>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</si>
  <si>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</si>
  <si>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</si>
  <si>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</si>
  <si>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</si>
  <si>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</si>
  <si>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</si>
  <si>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</si>
  <si>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</si>
  <si>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</si>
  <si>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</si>
  <si>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</si>
  <si>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</si>
  <si>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</si>
  <si>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</si>
  <si>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</si>
  <si>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</si>
  <si>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</si>
  <si>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</si>
  <si>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</si>
  <si>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</si>
  <si>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</si>
  <si>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</si>
  <si>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</si>
  <si>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</si>
  <si>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</si>
  <si>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</si>
  <si>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</si>
  <si>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</si>
  <si>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</si>
  <si>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</si>
  <si>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</si>
  <si>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</si>
  <si>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</si>
  <si>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</si>
  <si>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</si>
  <si>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</si>
  <si>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</si>
  <si>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</si>
  <si>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</si>
  <si>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</si>
  <si>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</si>
  <si>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</si>
  <si>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</si>
  <si>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</si>
  <si>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</si>
  <si>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</si>
  <si>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</si>
  <si>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</si>
  <si>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</si>
  <si>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</si>
  <si>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</si>
  <si>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</si>
  <si>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</si>
  <si>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</si>
  <si>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</si>
  <si>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</si>
  <si>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</si>
  <si>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</si>
  <si>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</si>
  <si>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</si>
  <si>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</si>
  <si>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</si>
  <si>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</si>
  <si>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</si>
  <si>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</si>
  <si>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</si>
  <si>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</si>
  <si>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</si>
  <si>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</si>
  <si>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</si>
  <si>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</si>
  <si>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</si>
  <si>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</si>
  <si>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</si>
  <si>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</si>
  <si>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</si>
  <si>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</si>
  <si>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</si>
  <si>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</si>
  <si>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</si>
  <si>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</si>
  <si>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</si>
  <si>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</si>
  <si>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</si>
  <si>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</si>
  <si>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</si>
  <si>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</si>
  <si>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</si>
  <si>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</si>
  <si>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</si>
  <si>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</si>
  <si>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</si>
  <si>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</si>
  <si>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</si>
  <si>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</si>
  <si>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</si>
  <si>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</si>
  <si>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</si>
  <si>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</si>
  <si>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</si>
  <si>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</si>
  <si>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</si>
  <si>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</si>
  <si>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</si>
  <si>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</si>
  <si>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</si>
  <si>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</si>
  <si>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</si>
  <si>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</si>
  <si>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</si>
  <si>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</si>
  <si>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</si>
  <si>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</si>
  <si>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</si>
  <si>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</si>
  <si>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</si>
  <si>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</si>
  <si>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</si>
  <si>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</si>
  <si>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</si>
  <si>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</si>
  <si>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</si>
  <si>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</si>
  <si>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</si>
  <si>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</si>
  <si>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</si>
  <si>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</si>
  <si>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</si>
  <si>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</si>
  <si>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</si>
  <si>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</si>
  <si>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</si>
  <si>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</si>
  <si>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</si>
  <si>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</si>
  <si>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</si>
  <si>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</si>
  <si>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</si>
  <si>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</si>
  <si>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</si>
  <si>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</si>
  <si>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</si>
  <si>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</si>
  <si>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</si>
  <si>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</si>
  <si>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</si>
  <si>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</si>
  <si>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</si>
  <si>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</si>
  <si>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</si>
  <si>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</si>
  <si>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</si>
  <si>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</si>
  <si>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</si>
  <si>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</si>
  <si>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</si>
  <si>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</si>
  <si>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</si>
  <si>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</si>
  <si>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</si>
  <si>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</si>
  <si>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</si>
  <si>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</si>
  <si>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</si>
  <si>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</si>
  <si>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</si>
  <si>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</si>
  <si>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</si>
  <si>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</si>
  <si>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</si>
  <si>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</si>
  <si>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</si>
  <si>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</si>
  <si>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</si>
  <si>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</si>
  <si>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</si>
  <si>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</si>
  <si>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</si>
  <si>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</si>
  <si>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</si>
  <si>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</si>
  <si>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</si>
  <si>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</si>
  <si>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</si>
  <si>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</si>
  <si>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</si>
  <si>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</si>
  <si>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</si>
  <si>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</si>
  <si>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</si>
  <si>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</si>
  <si>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</si>
  <si>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</si>
  <si>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</si>
  <si>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</si>
  <si>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</si>
  <si>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</si>
  <si>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</si>
  <si>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</si>
  <si>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</si>
  <si>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</si>
  <si>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</si>
  <si>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</si>
  <si>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</si>
  <si>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</si>
  <si>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</si>
  <si>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</si>
  <si>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</si>
  <si>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</si>
  <si>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</si>
  <si>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</si>
  <si>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</si>
  <si>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</si>
  <si>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</si>
  <si>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</si>
  <si>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</si>
  <si>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</si>
  <si>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</si>
  <si>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</si>
  <si>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</si>
  <si>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</si>
  <si>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</si>
  <si>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</si>
  <si>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</si>
  <si>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</si>
  <si>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</si>
  <si>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</si>
  <si>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</si>
  <si>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</si>
  <si>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</si>
  <si>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</si>
  <si>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</si>
  <si>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</si>
  <si>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</si>
  <si>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</si>
  <si>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</si>
  <si>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</si>
  <si>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</si>
  <si>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</si>
  <si>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</si>
  <si>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</si>
  <si>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</si>
  <si>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</si>
  <si>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</si>
  <si>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</si>
  <si>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</si>
  <si>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</si>
  <si>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</si>
  <si>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</si>
  <si>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</si>
  <si>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</si>
  <si>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</si>
  <si>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</si>
  <si>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</si>
  <si>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</si>
  <si>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</si>
  <si>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</si>
  <si>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</si>
  <si>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</si>
  <si>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</si>
  <si>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</si>
  <si>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</si>
  <si>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</si>
  <si>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</si>
  <si>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</si>
  <si>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</si>
  <si>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</si>
  <si>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</si>
  <si>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</si>
  <si>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</si>
  <si>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</si>
  <si>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</si>
  <si>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</si>
  <si>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</si>
  <si>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</si>
  <si>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</si>
  <si>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</si>
  <si>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</si>
  <si>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</si>
  <si>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</si>
  <si>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</si>
  <si>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</si>
  <si>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</si>
  <si>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</si>
  <si>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</si>
  <si>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</si>
  <si>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</si>
  <si>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</si>
  <si>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</si>
  <si>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</si>
  <si>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</si>
  <si>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</si>
  <si>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</si>
  <si>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</si>
  <si>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</si>
  <si>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</si>
  <si>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</si>
  <si>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</si>
  <si>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</si>
  <si>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</si>
  <si>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</si>
  <si>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</si>
  <si>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</si>
  <si>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</si>
  <si>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</si>
  <si>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</si>
  <si>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</si>
  <si>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</si>
  <si>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</si>
  <si>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</si>
  <si>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</si>
  <si>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</si>
  <si>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</si>
  <si>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</si>
  <si>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</si>
  <si>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</si>
  <si>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</si>
  <si>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</si>
  <si>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</si>
  <si>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</si>
  <si>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</si>
  <si>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</si>
  <si>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</si>
  <si>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</si>
  <si>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</si>
  <si>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</si>
  <si>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</si>
  <si>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</si>
  <si>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</si>
  <si>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</si>
  <si>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</si>
  <si>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</si>
  <si>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</si>
  <si>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</si>
  <si>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</si>
  <si>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</si>
  <si>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</si>
  <si>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</si>
  <si>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</si>
  <si>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</si>
  <si>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</si>
  <si>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</si>
  <si>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</si>
  <si>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</si>
  <si>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</si>
  <si>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</si>
  <si>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</si>
  <si>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</si>
  <si>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</si>
  <si>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</si>
  <si>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</si>
  <si>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</si>
  <si>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</si>
  <si>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</si>
  <si>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</si>
  <si>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</si>
  <si>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</si>
  <si>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</si>
  <si>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</si>
  <si>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</si>
  <si>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</si>
  <si>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</si>
  <si>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</si>
  <si>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</si>
  <si>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</si>
  <si>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</si>
  <si>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</si>
  <si>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</si>
  <si>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</si>
  <si>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</si>
  <si>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</si>
  <si>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</si>
  <si>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</si>
  <si>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</si>
  <si>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</si>
  <si>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</si>
  <si>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</si>
  <si>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</si>
  <si>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</si>
  <si>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</si>
  <si>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</si>
  <si>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</si>
  <si>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</si>
  <si>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</si>
  <si>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</si>
  <si>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</si>
  <si>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</si>
  <si>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</si>
  <si>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</si>
  <si>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</si>
  <si>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</si>
  <si>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</si>
  <si>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</si>
  <si>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</si>
  <si>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</si>
  <si>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</si>
  <si>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</si>
  <si>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</si>
  <si>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</si>
  <si>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</si>
  <si>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</si>
  <si>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</si>
  <si>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</si>
  <si>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</si>
  <si>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</si>
  <si>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</si>
  <si>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</si>
  <si>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</si>
  <si>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</si>
  <si>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</si>
  <si>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</si>
  <si>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</si>
  <si>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</si>
  <si>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</si>
  <si>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</si>
  <si>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</si>
  <si>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</si>
  <si>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</si>
  <si>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</si>
  <si>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</si>
  <si>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</si>
  <si>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</si>
  <si>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</si>
  <si>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</si>
  <si>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</si>
  <si>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</si>
  <si>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</si>
  <si>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</si>
  <si>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</si>
  <si>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</si>
  <si>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</si>
  <si>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</si>
  <si>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</si>
  <si>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</si>
  <si>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</si>
  <si>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</si>
  <si>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</si>
  <si>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</si>
  <si>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</si>
  <si>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</si>
  <si>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</si>
  <si>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</si>
  <si>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</si>
  <si>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</si>
  <si>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</si>
  <si>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</si>
  <si>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</si>
  <si>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</si>
  <si>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</si>
  <si>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</si>
  <si>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</si>
  <si>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</si>
  <si>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</si>
  <si>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</si>
  <si>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</si>
  <si>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</si>
  <si>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</si>
  <si>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</si>
  <si>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</si>
  <si>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</si>
  <si>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</si>
  <si>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</si>
  <si>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</si>
  <si>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</si>
  <si>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</si>
  <si>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</si>
  <si>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</si>
  <si>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</si>
  <si>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</si>
  <si>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</si>
  <si>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</si>
  <si>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</si>
  <si>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</si>
  <si>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</si>
  <si>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</si>
  <si>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</si>
  <si>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</si>
  <si>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</si>
  <si>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</si>
  <si>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</si>
  <si>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</si>
  <si>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</si>
  <si>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</si>
  <si>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</si>
  <si>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</si>
  <si>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</si>
  <si>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</si>
  <si>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</si>
  <si>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</si>
  <si>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</si>
  <si>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</si>
  <si>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</si>
  <si>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</si>
  <si>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</si>
  <si>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</si>
  <si>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</si>
  <si>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</si>
  <si>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</si>
  <si>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</si>
  <si>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</si>
  <si>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</si>
  <si>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</si>
  <si>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</si>
  <si>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</si>
  <si>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</si>
  <si>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</si>
  <si>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</si>
  <si>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</si>
  <si>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</si>
  <si>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</si>
  <si>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</si>
  <si>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</si>
  <si>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</si>
  <si>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</si>
  <si>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</si>
  <si>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</si>
  <si>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</si>
  <si>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</si>
  <si>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</si>
  <si>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</si>
  <si>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</si>
  <si>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</si>
  <si>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</si>
  <si>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</si>
  <si>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</si>
  <si>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</si>
  <si>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</si>
  <si>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</si>
  <si>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</si>
  <si>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</si>
  <si>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</si>
  <si>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</si>
  <si>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</si>
  <si>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</si>
  <si>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</si>
  <si>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</si>
  <si>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</si>
  <si>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</si>
  <si>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</si>
  <si>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</si>
  <si>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</si>
  <si>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</si>
  <si>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</si>
  <si>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</si>
  <si>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</si>
  <si>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</si>
  <si>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</si>
  <si>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</si>
  <si>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</si>
  <si>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</si>
  <si>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</si>
  <si>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</si>
  <si>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</si>
  <si>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</si>
  <si>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</si>
  <si>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</si>
  <si>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</si>
  <si>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</si>
  <si>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</si>
  <si>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</si>
  <si>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</si>
  <si>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</si>
  <si>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</si>
  <si>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</si>
  <si>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</si>
  <si>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</si>
  <si>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</si>
  <si>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</si>
  <si>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</si>
  <si>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</si>
  <si>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</si>
  <si>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</si>
  <si>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</si>
  <si>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</si>
  <si>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</si>
  <si>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</si>
  <si>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</si>
  <si>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</si>
  <si>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</si>
  <si>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</si>
  <si>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</si>
  <si>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</si>
  <si>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</si>
  <si>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</si>
  <si>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</si>
  <si>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</si>
  <si>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</si>
  <si>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</si>
  <si>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</si>
  <si>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</si>
  <si>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</si>
  <si>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</si>
  <si>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</si>
  <si>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</si>
  <si>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</si>
  <si>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</si>
  <si>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</si>
  <si>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</si>
  <si>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</si>
  <si>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</si>
  <si>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</si>
  <si>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</si>
  <si>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</si>
  <si>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</si>
  <si>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</si>
  <si>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</si>
  <si>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</si>
  <si>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</si>
  <si>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</si>
  <si>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</si>
  <si>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</si>
  <si>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</si>
  <si>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</si>
  <si>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</si>
  <si>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</si>
  <si>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</si>
  <si>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</si>
  <si>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</si>
  <si>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</si>
  <si>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</si>
  <si>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</si>
  <si>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</si>
  <si>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</si>
  <si>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</si>
  <si>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</si>
  <si>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</si>
  <si>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</si>
  <si>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</si>
  <si>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</si>
  <si>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</si>
  <si>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</si>
  <si>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</si>
  <si>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</si>
  <si>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</si>
  <si>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</si>
  <si>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</si>
  <si>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</si>
  <si>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</si>
  <si>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</si>
  <si>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</si>
  <si>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</si>
  <si>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</si>
  <si>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</si>
  <si>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</si>
  <si>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</si>
  <si>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</si>
  <si>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</si>
  <si>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</si>
  <si>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</si>
  <si>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</si>
  <si>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</si>
  <si>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</si>
  <si>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</si>
  <si>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</si>
  <si>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</si>
  <si>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</si>
  <si>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</si>
  <si>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</si>
  <si>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</si>
  <si>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</si>
  <si>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</si>
  <si>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</si>
  <si>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</si>
  <si>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</si>
  <si>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</si>
  <si>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</si>
  <si>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</si>
  <si>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</si>
  <si>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</si>
  <si>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</si>
  <si>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</si>
  <si>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</si>
  <si>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</si>
  <si>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</si>
  <si>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</si>
  <si>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</si>
  <si>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</si>
  <si>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</si>
  <si>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</si>
  <si>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</si>
  <si>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</si>
  <si>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</si>
  <si>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</si>
  <si>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</si>
  <si>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</si>
  <si>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</si>
  <si>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</si>
  <si>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</si>
  <si>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</si>
  <si>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</si>
  <si>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</si>
  <si>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</si>
  <si>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</si>
  <si>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</si>
  <si>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</si>
  <si>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</si>
  <si>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</si>
  <si>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</si>
  <si>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</si>
  <si>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</si>
  <si>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</si>
  <si>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</si>
  <si>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</si>
  <si>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</si>
  <si>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</si>
  <si>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</si>
  <si>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</si>
  <si>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</si>
  <si>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</si>
  <si>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</si>
  <si>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</si>
  <si>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</si>
  <si>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</si>
  <si>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</si>
  <si>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</si>
  <si>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</si>
  <si>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</si>
  <si>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</si>
  <si>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</si>
  <si>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</si>
  <si>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</si>
  <si>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</si>
  <si>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</si>
  <si>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</si>
  <si>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</si>
  <si>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</si>
  <si>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</si>
  <si>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</si>
  <si>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</si>
  <si>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</si>
  <si>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</si>
  <si>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</si>
  <si>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</si>
  <si>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</si>
  <si>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</si>
  <si>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</si>
  <si>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</si>
  <si>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</si>
  <si>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</si>
  <si>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</si>
  <si>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</si>
  <si>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</si>
  <si>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</si>
  <si>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</si>
  <si>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</si>
  <si>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</si>
  <si>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</si>
  <si>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</si>
  <si>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</si>
  <si>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</si>
  <si>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</si>
  <si>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</si>
  <si>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</si>
  <si>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</si>
  <si>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</si>
  <si>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</si>
  <si>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</si>
  <si>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</si>
  <si>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</si>
  <si>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</si>
  <si>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</si>
  <si>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</si>
  <si>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</si>
  <si>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</si>
  <si>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</si>
  <si>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</si>
  <si>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</si>
  <si>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</si>
  <si>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</si>
  <si>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</si>
  <si>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</si>
  <si>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</si>
  <si>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</si>
  <si>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</si>
  <si>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</si>
  <si>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</si>
  <si>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</si>
  <si>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</si>
  <si>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</si>
  <si>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</si>
  <si>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</si>
  <si>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</si>
  <si>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</si>
  <si>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</si>
  <si>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</si>
  <si>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</si>
  <si>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</si>
  <si>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</si>
  <si>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</si>
  <si>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</si>
  <si>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</si>
  <si>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</si>
  <si>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</si>
  <si>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</si>
  <si>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</si>
  <si>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</si>
  <si>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</si>
  <si>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</si>
  <si>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</si>
  <si>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</si>
  <si>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</si>
  <si>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</si>
  <si>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</si>
  <si>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</si>
  <si>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</si>
  <si>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</si>
  <si>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</si>
  <si>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</si>
  <si>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</si>
  <si>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</si>
  <si>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</si>
  <si>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</si>
  <si>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</si>
  <si>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</si>
  <si>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</si>
  <si>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</si>
  <si>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</si>
  <si>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</si>
  <si>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</si>
  <si>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</si>
  <si>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</si>
  <si>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</si>
  <si>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Cerraj. Vial</t>
  </si>
  <si>
    <t>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</si>
</sst>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G13" sqref="G13:G20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20250106</v>
      </c>
      <c r="G7" s="8">
        <f ca="1">TODAY()</f>
        <v>45789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1016</v>
      </c>
      <c r="C13" s="79" t="str">
        <f>IFERROR(VLOOKUP($B13,Tarifa_all_20240711!$A$2:$G$660,2,FALSE()),"-")</f>
        <v>CARC.SIMPLE GUIA DESM.LAC.6 ESP.2-2 MTS</v>
      </c>
      <c r="D13" s="79"/>
      <c r="E13" s="17">
        <v>1</v>
      </c>
      <c r="F13" s="18">
        <f>IFERROR(VLOOKUP($B13,Tarifa_all_20240711!$A$2:$G$660,5,FALSE()),"-")</f>
        <v>64.042500000000004</v>
      </c>
      <c r="G13" s="18">
        <f t="shared" ref="G13:G30" si="0">IFERROR(E13*F13,"-")</f>
        <v>64.042500000000004</v>
      </c>
      <c r="H13" s="1"/>
    </row>
    <row r="14" spans="1:12" x14ac:dyDescent="0.25">
      <c r="A14" t="s">
        <v>15</v>
      </c>
      <c r="B14" s="16" t="s">
        <v>976</v>
      </c>
      <c r="C14" s="79" t="str">
        <f>IFERROR(VLOOKUP($B14,Tarifa_all_20240711!$A$2:$G$660,2,FALSE()),"-")</f>
        <v>GUIA SKY PLUS DESMONT.LAC.6 ESP.2-2 MTS</v>
      </c>
      <c r="D14" s="79"/>
      <c r="E14" s="17">
        <v>1</v>
      </c>
      <c r="F14" s="18">
        <f>IFERROR(VLOOKUP($B14,Tarifa_all_20240711!$A$2:$G$660,5,FALSE()),"-")</f>
        <v>47.910000000000004</v>
      </c>
      <c r="G14" s="18">
        <f t="shared" si="0"/>
        <v>47.910000000000004</v>
      </c>
      <c r="H14" s="1"/>
    </row>
    <row r="15" spans="1:12" x14ac:dyDescent="0.25">
      <c r="A15" t="s">
        <v>16</v>
      </c>
      <c r="B15" s="16" t="s">
        <v>297</v>
      </c>
      <c r="C15" s="79" t="str">
        <f>IFERROR(VLOOKUP($B15,Tarifa_all_20240711!$A$2:$G$660,2,FALSE()),"-")</f>
        <v>KIT ANCLAJE TECHO PARA GUIA PLADUR PLUS DEMONTABLE</v>
      </c>
      <c r="D15" s="79"/>
      <c r="E15" s="17">
        <v>4</v>
      </c>
      <c r="F15" s="18">
        <f>IFERROR(VLOOKUP($B15,Tarifa_all_20240711!$A$2:$G$660,5,FALSE()),"-")</f>
        <v>11.737500000000001</v>
      </c>
      <c r="G15" s="18">
        <f t="shared" si="0"/>
        <v>46.95</v>
      </c>
      <c r="H15" s="1"/>
    </row>
    <row r="16" spans="1:12" x14ac:dyDescent="0.25">
      <c r="A16" t="s">
        <v>17</v>
      </c>
      <c r="B16" s="16" t="s">
        <v>566</v>
      </c>
      <c r="C16" s="79" t="str">
        <f>IFERROR(VLOOKUP($B16,Tarifa_all_20240711!$A$2:$G$660,2,FALSE()),"-")</f>
        <v>KIT AMORTIGUADOR SKY GUIA DESMONT. BIDIRECCIONAL 60KG</v>
      </c>
      <c r="D16" s="79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8" x14ac:dyDescent="0.25">
      <c r="A17" t="s">
        <v>18</v>
      </c>
      <c r="B17" s="16" t="s">
        <v>134</v>
      </c>
      <c r="C17" s="79" t="str">
        <f>IFERROR(VLOOKUP($B17,Tarifa_all_20240711!$A$2:$G$660,2,FALSE()),"-")</f>
        <v>KIT PUERTA PA CORREDERA LAC.NEGRO TEXTURADO</v>
      </c>
      <c r="D17" s="79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335</v>
      </c>
      <c r="C18" s="79" t="str">
        <f>IFERROR(VLOOKUP($B18,Tarifa_all_20240711!$A$2:$G$660,2,FALSE()),"-")</f>
        <v>CARRO SKY MADERA 60KG</v>
      </c>
      <c r="D18" s="79"/>
      <c r="E18" s="17">
        <v>1</v>
      </c>
      <c r="F18" s="18">
        <f>IFERROR(VLOOKUP($B18,Tarifa_all_20240711!$A$2:$G$660,5,FALSE()),"-")</f>
        <v>16.634999999999998</v>
      </c>
      <c r="G18" s="18">
        <f t="shared" si="0"/>
        <v>16.634999999999998</v>
      </c>
      <c r="H18" s="1"/>
    </row>
    <row r="19" spans="1:8" x14ac:dyDescent="0.25">
      <c r="A19" t="s">
        <v>20</v>
      </c>
      <c r="B19" s="16" t="s">
        <v>515</v>
      </c>
      <c r="C19" s="79" t="str">
        <f>IFERROR(VLOOKUP($B19,Tarifa_all_20240711!$A$2:$G$660,2,FALSE()),"-")</f>
        <v>TIRADOR RECT.ADH CAVE LAC.NEGRO TEXTURADO: 2 UDS</v>
      </c>
      <c r="D19" s="79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1136</v>
      </c>
      <c r="C20" s="79" t="str">
        <f>IFERROR(VLOOKUP($B20,Tarifa_all_20240711!$A$2:$G$660,2,FALSE()),"-")</f>
        <v>GUIADOR FIJO PA LAC.NEGRO TEXTURADO</v>
      </c>
      <c r="D20" s="79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16"/>
      <c r="C21" s="79" t="str">
        <f>IFERROR(VLOOKUP($B21,Tarifa_all_20240711!$A$2:$G$660,2,FALSE()),"-")</f>
        <v>-</v>
      </c>
      <c r="D21" s="79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/>
      <c r="C22" s="79" t="str">
        <f>IFERROR(VLOOKUP($B22,Tarifa_all_20240711!$A$2:$G$660,2,FALSE()),"-")</f>
        <v>-</v>
      </c>
      <c r="D22" s="79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79" t="str">
        <f>IFERROR(VLOOKUP($B23,Tarifa_all_20240711!$A$2:$G$660,2,FALSE()),"-")</f>
        <v>-</v>
      </c>
      <c r="D23" s="79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9" t="str">
        <f>IFERROR(VLOOKUP($B24,Tarifa_all_20240711!$A$2:$G$660,2,FALSE()),"-")</f>
        <v>-</v>
      </c>
      <c r="D24" s="79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9" t="str">
        <f>IFERROR(VLOOKUP($B25,Tarifa_all_20240711!$A$2:$G$660,2,FALSE()),"-")</f>
        <v>-</v>
      </c>
      <c r="D25" s="79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9" t="str">
        <f>IFERROR(VLOOKUP($B26,Tarifa_all_20240711!$A$2:$G$660,2,FALSE()),"-")</f>
        <v>-</v>
      </c>
      <c r="D26" s="79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9" t="str">
        <f>IFERROR(VLOOKUP($B27,Tarifa_all_20240711!$A$2:$G$660,2,FALSE()),"-")</f>
        <v>-</v>
      </c>
      <c r="D27" s="79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9" t="str">
        <f>IFERROR(VLOOKUP($B28,Tarifa_all_20240711!$A$2:$G$660,2,FALSE()),"-")</f>
        <v>-</v>
      </c>
      <c r="D28" s="79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9" t="str">
        <f>IFERROR(VLOOKUP($B29,Tarifa_all_20240711!$A$2:$G$660,2,FALSE()),"-")</f>
        <v>-</v>
      </c>
      <c r="D29" s="79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9" t="str">
        <f>IFERROR(VLOOKUP($B30,Tarifa_all_20240711!$A$2:$G$660,2,FALSE()),"-")</f>
        <v>-</v>
      </c>
      <c r="D30" s="79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489.52500000000003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Cerraj. Vial</v>
      </c>
      <c r="C9" s="86"/>
      <c r="D9" s="86"/>
      <c r="F9" s="3" t="s">
        <v>81</v>
      </c>
      <c r="G9" s="44">
        <f ca="1">TODAY()</f>
        <v>45789</v>
      </c>
    </row>
    <row r="10" spans="1:7" x14ac:dyDescent="0.25">
      <c r="A10" s="3" t="s">
        <v>82</v>
      </c>
      <c r="B10" s="11" t="str">
        <f>'DESPIECE (MATANALYSIS)'!C9</f>
        <v>C1</v>
      </c>
      <c r="C10" s="45"/>
      <c r="D10" s="45"/>
      <c r="E10" s="46"/>
      <c r="F10" s="47" t="s">
        <v>83</v>
      </c>
      <c r="G10" s="7">
        <f>'DESPIECE (MATANALYSIS)'!C7</f>
        <v>20250106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489.52500000000003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2025-05-12T07:00:02Z</cp:lastPrinted>
  <dcterms:created xsi:type="dcterms:W3CDTF">2024-04-15T12:43:19Z</dcterms:created>
  <dcterms:modified xsi:type="dcterms:W3CDTF">2025-05-12T07:00:40Z</dcterms:modified>
  <dc:language>es-ES</dc:language>
</cp:coreProperties>
</file>