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61\calculos\1\"/>
    </mc:Choice>
  </mc:AlternateContent>
  <xr:revisionPtr revIDLastSave="0" documentId="13_ncr:1_{E3CE8B69-283A-4E32-A65B-2B081E8DF35C}" xr6:coauthVersionLast="47" xr6:coauthVersionMax="47" xr10:uidLastSave="{00000000-0000-0000-0000-000000000000}"/>
  <bookViews>
    <workbookView xWindow="-28920" yWindow="-120" windowWidth="29040" windowHeight="1572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l="1"/>
  <c r="G45" i="2" s="1"/>
  <c r="F46" i="2" s="1"/>
  <c r="G3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<sst xmlns="http://schemas.openxmlformats.org/spreadsheetml/2006/main" count="5392" uniqueCount="1445">
  <si>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</si>
  <si>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</si>
  <si>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</si>
  <si>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</si>
  <si>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</si>
  <si>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</si>
  <si>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</si>
  <si>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</si>
  <si>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</si>
  <si>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</si>
  <si>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</si>
  <si>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</si>
  <si>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</si>
  <si>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</si>
  <si>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</si>
  <si>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</si>
  <si>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</si>
  <si>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</si>
  <si>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</si>
  <si>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</si>
  <si>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</si>
  <si>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</si>
  <si>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</si>
  <si>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</si>
  <si>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</si>
  <si>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</si>
  <si>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</si>
  <si>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</si>
  <si>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</si>
  <si>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</si>
  <si>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</si>
  <si>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</si>
  <si>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</si>
  <si>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</si>
  <si>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</si>
  <si>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</si>
  <si>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</si>
  <si>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</si>
  <si>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</si>
  <si>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</si>
  <si>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</si>
  <si>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</si>
  <si>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</si>
  <si>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</si>
  <si>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</si>
  <si>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</si>
  <si>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</si>
  <si>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</si>
  <si>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</si>
  <si>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</si>
  <si>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</si>
  <si>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</si>
  <si>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</si>
  <si>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</si>
  <si>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</si>
  <si>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</si>
  <si>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</si>
  <si>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</si>
  <si>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</si>
  <si>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</si>
  <si>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</si>
  <si>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</si>
  <si>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</si>
  <si>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</si>
  <si>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</si>
  <si>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</si>
  <si>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</si>
  <si>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</si>
  <si>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</si>
  <si>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</si>
  <si>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</si>
  <si>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</si>
  <si>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</si>
  <si>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</si>
  <si>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</si>
  <si>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</si>
  <si>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</si>
  <si>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</si>
  <si>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</si>
  <si>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</si>
  <si>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</si>
  <si>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</si>
  <si>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</si>
  <si>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</si>
  <si>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</si>
  <si>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</si>
  <si>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</si>
  <si>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</si>
  <si>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</si>
  <si>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</si>
  <si>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</si>
  <si>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</si>
  <si>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</si>
  <si>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</si>
  <si>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</si>
  <si>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</si>
  <si>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</si>
  <si>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</si>
  <si>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</si>
  <si>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</si>
  <si>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</si>
  <si>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</si>
  <si>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</si>
  <si>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</si>
  <si>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</si>
  <si>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</si>
  <si>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</si>
  <si>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</si>
  <si>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</si>
  <si>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</si>
  <si>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</si>
  <si>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</si>
  <si>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</si>
  <si>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</si>
  <si>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</si>
  <si>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</si>
  <si>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</si>
  <si>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</si>
  <si>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</si>
  <si>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</si>
  <si>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</si>
  <si>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</si>
  <si>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</si>
  <si>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</si>
  <si>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</si>
  <si>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</si>
  <si>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</si>
  <si>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</si>
  <si>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</si>
  <si>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</si>
  <si>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</si>
  <si>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</si>
  <si>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</si>
  <si>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</si>
  <si>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</si>
  <si>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</si>
  <si>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</si>
  <si>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</si>
  <si>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</si>
  <si>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</si>
  <si>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</si>
  <si>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</si>
  <si>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</si>
  <si>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</si>
  <si>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</si>
  <si>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</si>
  <si>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</si>
  <si>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</si>
  <si>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</si>
  <si>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</si>
  <si>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</si>
  <si>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</si>
  <si>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</si>
  <si>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</si>
  <si>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</si>
  <si>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</si>
  <si>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</si>
  <si>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</si>
  <si>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</si>
  <si>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</si>
  <si>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</si>
  <si>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</si>
  <si>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</si>
  <si>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</si>
  <si>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</si>
  <si>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</si>
  <si>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</si>
  <si>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</si>
  <si>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</si>
  <si>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</si>
  <si>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</si>
  <si>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</si>
  <si>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</si>
  <si>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</si>
  <si>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</si>
  <si>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</si>
  <si>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</si>
  <si>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</si>
  <si>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</si>
  <si>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</si>
  <si>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</si>
  <si>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</si>
  <si>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</si>
  <si>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</si>
  <si>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</si>
  <si>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</si>
  <si>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</si>
  <si>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</si>
  <si>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</si>
  <si>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</si>
  <si>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</si>
  <si>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</si>
  <si>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</si>
  <si>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</si>
  <si>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</si>
  <si>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</si>
  <si>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</si>
  <si>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</si>
  <si>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</si>
  <si>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</si>
  <si>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</si>
  <si>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</si>
  <si>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</si>
  <si>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</si>
  <si>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</si>
  <si>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</si>
  <si>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</si>
  <si>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</si>
  <si>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</si>
  <si>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</si>
  <si>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</si>
  <si>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</si>
  <si>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</si>
  <si>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</si>
  <si>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</si>
  <si>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</si>
  <si>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</si>
  <si>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</si>
  <si>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</si>
  <si>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</si>
  <si>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</si>
  <si>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</si>
  <si>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</si>
  <si>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</si>
  <si>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</si>
  <si>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</si>
  <si>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</si>
  <si>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</si>
  <si>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</si>
  <si>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</si>
  <si>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</si>
  <si>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</si>
  <si>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</si>
  <si>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</si>
  <si>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</si>
  <si>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</si>
  <si>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</si>
  <si>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</si>
  <si>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</si>
  <si>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</si>
  <si>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</si>
  <si>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</si>
  <si>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</si>
  <si>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</si>
  <si>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</si>
  <si>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</si>
  <si>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</si>
  <si>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</si>
  <si>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</si>
  <si>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</si>
  <si>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</si>
  <si>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</si>
  <si>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</si>
  <si>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</si>
  <si>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</si>
  <si>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</si>
  <si>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</si>
  <si>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</si>
  <si>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</si>
  <si>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</si>
  <si>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</si>
  <si>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</si>
  <si>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</si>
  <si>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</si>
  <si>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</si>
  <si>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</si>
  <si>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</si>
  <si>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</si>
  <si>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</si>
  <si>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</si>
  <si>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</si>
  <si>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</si>
  <si>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</si>
  <si>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</si>
  <si>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</si>
  <si>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</si>
  <si>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</si>
  <si>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</si>
  <si>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</si>
  <si>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</si>
  <si>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</si>
  <si>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</si>
  <si>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</si>
  <si>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</si>
  <si>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</si>
  <si>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</si>
  <si>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</si>
  <si>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</si>
  <si>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</si>
  <si>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</si>
  <si>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</si>
  <si>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</si>
  <si>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</si>
  <si>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</si>
  <si>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</si>
  <si>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</si>
  <si>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</si>
  <si>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</si>
  <si>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</si>
  <si>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</si>
  <si>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</si>
  <si>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</si>
  <si>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</si>
  <si>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</si>
  <si>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</si>
  <si>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</si>
  <si>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</si>
  <si>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</si>
  <si>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</si>
  <si>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</si>
  <si>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</si>
  <si>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</si>
  <si>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</si>
  <si>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</si>
  <si>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</si>
  <si>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</si>
  <si>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</si>
  <si>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</si>
  <si>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</si>
  <si>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</si>
  <si>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</si>
  <si>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</si>
  <si>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</si>
  <si>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</si>
  <si>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</si>
  <si>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</si>
  <si>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</si>
  <si>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</si>
  <si>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</si>
  <si>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</si>
  <si>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</si>
  <si>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</si>
  <si>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</si>
  <si>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</si>
  <si>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</si>
  <si>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</si>
  <si>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</si>
  <si>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</si>
  <si>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</si>
  <si>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</si>
  <si>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</si>
  <si>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</si>
  <si>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</si>
  <si>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</si>
  <si>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</si>
  <si>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</si>
  <si>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</si>
  <si>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</si>
  <si>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</si>
  <si>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</si>
  <si>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</si>
  <si>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</si>
  <si>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</si>
  <si>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</si>
  <si>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</si>
  <si>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</si>
  <si>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</si>
  <si>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</si>
  <si>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</si>
  <si>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</si>
  <si>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</si>
  <si>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</si>
  <si>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</si>
  <si>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</si>
  <si>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</si>
  <si>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</si>
  <si>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</si>
  <si>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</si>
  <si>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</si>
  <si>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</si>
  <si>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</si>
  <si>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</si>
  <si>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</si>
  <si>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</si>
  <si>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</si>
  <si>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</si>
  <si>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</si>
  <si>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</si>
  <si>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</si>
  <si>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</si>
  <si>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</si>
  <si>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</si>
  <si>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</si>
  <si>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</si>
  <si>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</si>
  <si>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</si>
  <si>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</si>
  <si>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</si>
  <si>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</si>
  <si>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</si>
  <si>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</si>
  <si>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</si>
  <si>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</si>
  <si>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</si>
  <si>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</si>
  <si>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</si>
  <si>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</si>
  <si>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</si>
  <si>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</si>
  <si>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</si>
  <si>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</si>
  <si>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</si>
  <si>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</si>
  <si>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</si>
  <si>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</si>
  <si>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</si>
  <si>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</si>
  <si>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</si>
  <si>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</si>
  <si>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</si>
  <si>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</si>
  <si>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</si>
  <si>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</si>
  <si>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</si>
  <si>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</si>
  <si>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</si>
  <si>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</si>
  <si>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</si>
  <si>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</si>
  <si>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</si>
  <si>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</si>
  <si>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</si>
  <si>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</si>
  <si>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</si>
  <si>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</si>
  <si>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</si>
  <si>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</si>
  <si>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</si>
  <si>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</si>
  <si>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</si>
  <si>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</si>
  <si>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</si>
  <si>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</si>
  <si>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</si>
  <si>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</si>
  <si>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</si>
  <si>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</si>
  <si>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</si>
  <si>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</si>
  <si>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</si>
  <si>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</si>
  <si>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</si>
  <si>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</si>
  <si>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</si>
  <si>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</si>
  <si>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</si>
  <si>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</si>
  <si>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</si>
  <si>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</si>
  <si>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</si>
  <si>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</si>
  <si>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</si>
  <si>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</si>
  <si>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</si>
  <si>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</si>
  <si>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</si>
  <si>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</si>
  <si>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</si>
  <si>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</si>
  <si>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</si>
  <si>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</si>
  <si>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</si>
  <si>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</si>
  <si>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</si>
  <si>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</si>
  <si>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</si>
  <si>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</si>
  <si>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</si>
  <si>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</si>
  <si>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</si>
  <si>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</si>
  <si>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</si>
  <si>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</si>
  <si>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</si>
  <si>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</si>
  <si>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</si>
  <si>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</si>
  <si>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</si>
  <si>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</si>
  <si>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</si>
  <si>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</si>
  <si>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</si>
  <si>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</si>
  <si>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</si>
  <si>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</si>
  <si>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</si>
  <si>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</si>
  <si>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</si>
  <si>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</si>
  <si>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</si>
  <si>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</si>
  <si>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</si>
  <si>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</si>
  <si>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</si>
  <si>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</si>
  <si>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</si>
  <si>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</si>
  <si>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</si>
  <si>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</si>
  <si>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</si>
  <si>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</si>
  <si>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</si>
  <si>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</si>
  <si>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</si>
  <si>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</si>
  <si>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</si>
  <si>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</si>
  <si>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</si>
  <si>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</si>
  <si>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</si>
  <si>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</si>
  <si>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</si>
  <si>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</si>
  <si>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</si>
  <si>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</si>
  <si>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</si>
  <si>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</si>
  <si>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</si>
  <si>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</si>
  <si>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</si>
  <si>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</si>
  <si>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</si>
  <si>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</si>
  <si>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</si>
  <si>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</si>
  <si>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</si>
  <si>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</si>
  <si>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</si>
  <si>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</si>
  <si>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</si>
  <si>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</si>
  <si>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</si>
  <si>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</si>
  <si>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</si>
  <si>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</si>
  <si>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</si>
  <si>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</si>
  <si>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</si>
  <si>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</si>
  <si>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</si>
  <si>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</si>
  <si>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</si>
  <si>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</si>
  <si>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</si>
  <si>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</si>
  <si>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</si>
  <si>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</si>
  <si>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</si>
  <si>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</si>
  <si>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</si>
  <si>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</si>
  <si>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</si>
  <si>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</si>
  <si>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</si>
  <si>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</si>
  <si>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</si>
  <si>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</si>
  <si>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</si>
  <si>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</si>
  <si>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</si>
  <si>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</si>
  <si>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</si>
  <si>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</si>
  <si>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</si>
  <si>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</si>
  <si>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</si>
  <si>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</si>
  <si>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</si>
  <si>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</si>
  <si>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</si>
  <si>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</si>
  <si>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</si>
  <si>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</si>
  <si>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</si>
  <si>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</si>
  <si>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</si>
  <si>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</si>
  <si>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</si>
  <si>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</si>
  <si>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</si>
  <si>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</si>
  <si>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</si>
  <si>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</si>
  <si>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</si>
  <si>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</si>
  <si>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</si>
  <si>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</si>
  <si>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</si>
  <si>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</si>
  <si>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</si>
  <si>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</si>
  <si>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</si>
  <si>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</si>
  <si>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</si>
  <si>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</si>
  <si>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</si>
  <si>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</si>
  <si>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</si>
  <si>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</si>
  <si>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</si>
  <si>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</si>
  <si>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</si>
  <si>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</si>
  <si>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</si>
  <si>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</si>
  <si>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</si>
  <si>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</si>
  <si>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</si>
  <si>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</si>
  <si>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</si>
  <si>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</si>
  <si>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</si>
  <si>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</si>
  <si>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</si>
  <si>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</si>
  <si>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</si>
  <si>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</si>
  <si>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</si>
  <si>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</si>
  <si>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</si>
  <si>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</si>
  <si>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</si>
  <si>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</si>
  <si>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</si>
  <si>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</si>
  <si>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</si>
  <si>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</si>
  <si>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</si>
  <si>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</si>
  <si>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</si>
  <si>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</si>
  <si>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</si>
  <si>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</si>
  <si>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</si>
  <si>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</si>
  <si>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</si>
  <si>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</si>
  <si>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</si>
  <si>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</si>
  <si>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</si>
  <si>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</si>
  <si>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</si>
  <si>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</si>
  <si>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</si>
  <si>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</si>
  <si>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</si>
  <si>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</si>
  <si>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</si>
  <si>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</si>
  <si>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</si>
  <si>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</si>
  <si>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</si>
  <si>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</si>
  <si>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</si>
  <si>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</si>
  <si>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</si>
  <si>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</si>
  <si>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</si>
  <si>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</si>
  <si>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</si>
  <si>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</si>
  <si>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</si>
  <si>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</si>
  <si>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</si>
  <si>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</si>
  <si>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</si>
  <si>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</si>
  <si>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</si>
  <si>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</si>
  <si>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</si>
  <si>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</si>
  <si>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</si>
  <si>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</si>
  <si>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</si>
  <si>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</si>
  <si>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</si>
  <si>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</si>
  <si>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</si>
  <si>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</si>
  <si>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</si>
  <si>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</si>
  <si>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</si>
  <si>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</si>
  <si>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</si>
  <si>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</si>
  <si>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</si>
  <si>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</si>
  <si>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</si>
  <si>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</si>
  <si>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</si>
  <si>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</si>
  <si>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</si>
  <si>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</si>
  <si>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</si>
  <si>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</si>
  <si>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</si>
  <si>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</si>
  <si>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</si>
  <si>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</si>
  <si>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</si>
  <si>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</si>
  <si>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</si>
  <si>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</si>
  <si>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</si>
  <si>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</si>
  <si>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</si>
  <si>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</si>
  <si>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</si>
  <si>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</si>
  <si>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</si>
  <si>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</si>
  <si>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</si>
  <si>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</si>
  <si>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</si>
  <si>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</si>
  <si>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</si>
  <si>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</si>
  <si>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</si>
  <si>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</si>
  <si>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</si>
  <si>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</si>
  <si>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</si>
  <si>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</si>
  <si>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</si>
  <si>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</si>
  <si>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</si>
  <si>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</si>
  <si>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</si>
  <si>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</si>
  <si>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</si>
  <si>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</si>
  <si>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</si>
  <si>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</si>
  <si>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</si>
  <si>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</si>
  <si>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</si>
  <si>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</si>
  <si>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</si>
  <si>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</si>
  <si>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</si>
  <si>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</si>
  <si>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</si>
  <si>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</si>
  <si>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</si>
  <si>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</si>
  <si>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</si>
  <si>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</si>
  <si>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</si>
  <si>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</si>
  <si>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</si>
  <si>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</si>
  <si>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</si>
  <si>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</si>
  <si>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</si>
  <si>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</si>
  <si>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</si>
  <si>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</si>
  <si>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</si>
  <si>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</si>
  <si>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</si>
  <si>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</si>
  <si>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</si>
  <si>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</si>
  <si>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</si>
  <si>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</si>
  <si>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</si>
  <si>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</si>
  <si>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</si>
  <si>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</si>
  <si>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</si>
  <si>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</si>
  <si>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</si>
  <si>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</si>
  <si>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</si>
  <si>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</si>
  <si>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</si>
  <si>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</si>
  <si>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</si>
  <si>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</si>
  <si>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</si>
  <si>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</si>
  <si>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</si>
  <si>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</si>
  <si>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</si>
  <si>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</si>
  <si>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</si>
  <si>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</si>
  <si>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</si>
  <si>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</si>
  <si>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</si>
  <si>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</si>
  <si>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</si>
  <si>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</si>
  <si>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</si>
  <si>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</si>
  <si>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</si>
  <si>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</si>
  <si>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</si>
  <si>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</si>
  <si>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</si>
  <si>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</si>
  <si>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</si>
  <si>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</si>
  <si>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</si>
  <si>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</si>
  <si>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</si>
  <si>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</si>
  <si>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</si>
  <si>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</si>
  <si>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</si>
  <si>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</si>
  <si>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</si>
  <si>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</si>
  <si>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</si>
  <si>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</si>
  <si>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</si>
  <si>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</si>
  <si>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</si>
  <si>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</si>
  <si>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</si>
  <si>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</si>
  <si>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</si>
  <si>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</si>
  <si>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</si>
  <si>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</si>
  <si>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</si>
  <si>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</si>
  <si>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</si>
  <si>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</si>
  <si>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</si>
  <si>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</si>
  <si>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</si>
  <si>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</si>
  <si>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</si>
  <si>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</si>
  <si>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</si>
  <si>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</si>
  <si>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</si>
  <si>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</si>
  <si>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</si>
  <si>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</si>
  <si>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</si>
  <si>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</si>
  <si>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</si>
  <si>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</si>
  <si>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</si>
  <si>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</si>
  <si>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</si>
  <si>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</si>
  <si>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</si>
  <si>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</si>
  <si>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</si>
  <si>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</si>
  <si>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</si>
  <si>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</si>
  <si>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</si>
  <si>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</si>
  <si>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</si>
  <si>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</si>
  <si>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</si>
  <si>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</si>
  <si>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</si>
  <si>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</si>
  <si>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</si>
  <si>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</si>
  <si>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</si>
  <si>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</si>
  <si>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</si>
  <si>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</si>
  <si>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</si>
  <si>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</si>
  <si>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</si>
  <si>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</si>
  <si>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</si>
  <si>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</si>
  <si>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</si>
  <si>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</si>
  <si>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</si>
  <si>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</si>
  <si>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</si>
  <si>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</si>
  <si>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</si>
  <si>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</si>
  <si>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</si>
  <si>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</si>
  <si>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</si>
  <si>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</si>
  <si>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</si>
  <si>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</si>
  <si>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</si>
  <si>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</si>
  <si>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</si>
  <si>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</si>
  <si>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</si>
  <si>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</si>
  <si>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</si>
  <si>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</si>
  <si>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</si>
  <si>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</si>
  <si>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</si>
  <si>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</si>
  <si>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</si>
  <si>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</si>
  <si>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</si>
  <si>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</si>
  <si>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</si>
  <si>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</si>
  <si>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</si>
  <si>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</si>
  <si>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</si>
  <si>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</si>
  <si>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</si>
  <si>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</si>
  <si>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</si>
  <si>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</si>
  <si>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</si>
  <si>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</si>
  <si>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</si>
  <si>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</si>
  <si>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</si>
  <si>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</si>
  <si>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</si>
  <si>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</si>
  <si>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</si>
  <si>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</si>
  <si>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</si>
  <si>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</si>
  <si>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</si>
  <si>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</si>
  <si>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</si>
  <si>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</si>
  <si>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</si>
  <si>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</si>
  <si>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</si>
  <si>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</si>
  <si>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</si>
  <si>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</si>
  <si>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</si>
  <si>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</si>
  <si>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</si>
  <si>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</si>
  <si>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</si>
  <si>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</si>
  <si>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</si>
  <si>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</si>
  <si>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</si>
  <si>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</si>
  <si>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</si>
  <si>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</si>
  <si>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</si>
  <si>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</si>
  <si>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</si>
  <si>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</si>
  <si>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</si>
  <si>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</si>
  <si>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</si>
  <si>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</si>
  <si>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</si>
  <si>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</si>
  <si>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</si>
  <si>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</si>
  <si>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</si>
  <si>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</si>
  <si>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</si>
  <si>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</si>
  <si>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</si>
  <si>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</si>
  <si>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</si>
  <si>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</si>
  <si>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</si>
  <si>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</si>
  <si>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</si>
  <si>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</si>
  <si>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</si>
  <si>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</si>
  <si>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</si>
  <si>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</si>
  <si>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</si>
  <si>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</si>
  <si>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</si>
  <si>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</si>
  <si>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</si>
  <si>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</si>
  <si>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</si>
  <si>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</si>
  <si>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</si>
  <si>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</si>
  <si>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</si>
  <si>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</si>
  <si>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</si>
  <si>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</si>
  <si>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</si>
  <si>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</si>
  <si>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</si>
  <si>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</si>
  <si>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</si>
  <si>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</si>
  <si>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</si>
  <si>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</si>
  <si>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</si>
  <si>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</si>
  <si>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</si>
  <si>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</si>
  <si>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</si>
  <si>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</si>
  <si>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</si>
  <si>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</si>
  <si>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</si>
  <si>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</si>
  <si>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</si>
  <si>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</si>
  <si>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</si>
  <si>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</si>
  <si>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</si>
  <si>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</si>
  <si>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</si>
  <si>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</si>
  <si>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</si>
  <si>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</si>
  <si>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</si>
  <si>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</si>
  <si>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</si>
  <si>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</si>
  <si>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</si>
  <si>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</si>
  <si>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</si>
  <si>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</si>
  <si>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</si>
  <si>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</si>
  <si>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</si>
  <si>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</si>
  <si>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</si>
  <si>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</si>
  <si>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</si>
  <si>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</si>
  <si>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</si>
  <si>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</si>
  <si>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</si>
  <si>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</si>
  <si>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</si>
  <si>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</si>
  <si>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</si>
  <si>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</si>
  <si>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</si>
  <si>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</si>
  <si>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</si>
  <si>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</si>
  <si>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</si>
  <si>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</si>
  <si>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</si>
  <si>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</si>
  <si>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</si>
  <si>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</si>
  <si>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</si>
  <si>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</si>
  <si>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</si>
  <si>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</si>
  <si>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</si>
  <si>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</si>
  <si>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</si>
  <si>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</si>
  <si>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</si>
  <si>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</si>
  <si>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</si>
  <si>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</si>
  <si>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</si>
  <si>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</si>
  <si>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</si>
  <si>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</si>
  <si>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</si>
  <si>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</si>
  <si>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</si>
  <si>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</si>
  <si>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</si>
  <si>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</si>
  <si>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</si>
  <si>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</si>
  <si>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</si>
  <si>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</si>
  <si>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</si>
  <si>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</si>
  <si>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</si>
  <si>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</si>
  <si>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</si>
  <si>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</si>
  <si>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</si>
  <si>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</si>
  <si>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</si>
  <si>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</si>
  <si>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</si>
  <si>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</si>
  <si>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</si>
  <si>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</si>
  <si>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</si>
  <si>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</si>
  <si>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</si>
  <si>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</si>
  <si>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</si>
  <si>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</si>
  <si>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</si>
  <si>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</si>
  <si>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</si>
  <si>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</si>
  <si>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</si>
  <si>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</si>
  <si>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</si>
  <si>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</si>
  <si>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</si>
  <si>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</si>
  <si>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</si>
  <si>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</si>
  <si>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</si>
  <si>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</si>
  <si>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</si>
  <si>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</si>
  <si>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</si>
  <si>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</si>
  <si>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</si>
  <si>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</si>
  <si>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</si>
  <si>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</si>
  <si>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</si>
  <si>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</si>
  <si>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</si>
  <si>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</si>
  <si>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</si>
  <si>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</si>
  <si>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</si>
  <si>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</si>
  <si>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</si>
  <si>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</si>
  <si>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</si>
  <si>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</si>
  <si>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</si>
  <si>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</si>
  <si>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</si>
  <si>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</si>
  <si>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</si>
  <si>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</si>
  <si>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</si>
  <si>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</si>
  <si>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</si>
  <si>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</si>
  <si>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</si>
  <si>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</si>
  <si>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</si>
  <si>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</si>
  <si>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</si>
  <si>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</si>
  <si>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</si>
  <si>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</si>
  <si>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</si>
  <si>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</si>
  <si>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</si>
  <si>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</si>
  <si>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</si>
  <si>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</si>
  <si>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</si>
  <si>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</si>
  <si>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</si>
  <si>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</si>
  <si>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</si>
  <si>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</si>
  <si>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</si>
  <si>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</si>
  <si>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</si>
  <si>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</si>
  <si>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</si>
  <si>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</si>
  <si>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</si>
  <si>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</si>
  <si>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</si>
  <si>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</si>
  <si>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</si>
  <si>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</si>
  <si>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</si>
  <si>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</si>
  <si>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</si>
  <si>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</si>
  <si>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</si>
  <si>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</si>
  <si>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</si>
  <si>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</si>
  <si>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</si>
  <si>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</si>
  <si>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</si>
  <si>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</si>
  <si>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</si>
  <si>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</si>
  <si>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</si>
  <si>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</si>
  <si>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</si>
  <si>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</si>
  <si>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</si>
  <si>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</si>
  <si>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</si>
  <si>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</si>
  <si>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</si>
  <si>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</si>
  <si>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</si>
  <si>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</si>
  <si>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</si>
  <si>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</si>
  <si>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</si>
  <si>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</si>
  <si>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</si>
  <si>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</si>
  <si>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</si>
  <si>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</si>
  <si>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</si>
  <si>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</si>
  <si>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</si>
  <si>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</si>
  <si>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</si>
  <si>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</si>
  <si>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</si>
  <si>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</si>
  <si>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</si>
  <si>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</si>
  <si>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</si>
  <si>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</si>
  <si>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</si>
  <si>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</si>
  <si>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</si>
  <si>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</si>
  <si>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</si>
  <si>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</si>
  <si>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</si>
  <si>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</si>
  <si>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</si>
  <si>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</si>
  <si>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</si>
  <si>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</si>
  <si>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</si>
  <si>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</si>
  <si>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</si>
  <si>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</si>
  <si>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</si>
  <si>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</si>
  <si>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</si>
  <si>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</si>
  <si>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</si>
  <si>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</si>
  <si>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</si>
  <si>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</si>
  <si>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</si>
  <si>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</si>
  <si>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</si>
  <si>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</si>
  <si>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</si>
  <si>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</si>
  <si>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</si>
  <si>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</si>
  <si>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</si>
  <si>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</si>
  <si>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</si>
  <si>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</si>
  <si>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</si>
  <si>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</si>
  <si>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</si>
  <si>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</si>
  <si>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</si>
  <si>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</si>
  <si>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</si>
  <si>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</si>
  <si>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</si>
  <si>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</si>
  <si>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</si>
  <si>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</si>
  <si>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</si>
  <si>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</si>
  <si>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</si>
  <si>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</si>
  <si>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</si>
  <si>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</si>
  <si>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</si>
  <si>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</si>
  <si>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</si>
  <si>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</si>
  <si>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</si>
  <si>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</si>
  <si>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</si>
  <si>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</si>
  <si>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</si>
  <si>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</si>
  <si>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</si>
  <si>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</si>
  <si>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</si>
  <si>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</si>
  <si>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</si>
  <si>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</si>
  <si>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</si>
  <si>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</si>
  <si>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</si>
  <si>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</si>
  <si>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</si>
  <si>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</si>
  <si>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</si>
  <si>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</si>
  <si>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</si>
  <si>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</si>
  <si>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</si>
  <si>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</si>
  <si>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</si>
  <si>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</si>
  <si>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</si>
  <si>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</si>
  <si>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</si>
  <si>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</si>
  <si>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</si>
  <si>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</si>
  <si>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</si>
  <si>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</si>
  <si>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</si>
  <si>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</si>
  <si>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</si>
  <si>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</si>
  <si>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</si>
  <si>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</si>
  <si>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</si>
  <si>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</si>
  <si>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</si>
  <si>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</si>
  <si>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</si>
  <si>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</si>
  <si>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</si>
  <si>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</si>
  <si>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</si>
  <si>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</si>
  <si>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</si>
  <si>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</si>
  <si>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</si>
  <si>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</si>
  <si>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</si>
  <si>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</si>
  <si>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</si>
  <si>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</si>
  <si>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</si>
  <si>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</si>
  <si>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</si>
  <si>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</si>
  <si>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</si>
  <si>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</si>
  <si>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</si>
  <si>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</si>
  <si>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</si>
  <si>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</si>
  <si>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</si>
  <si>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</si>
  <si>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</si>
  <si>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</si>
  <si>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</si>
  <si>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</si>
  <si>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</si>
  <si>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</si>
  <si>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</si>
  <si>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</si>
  <si>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</si>
  <si>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</si>
  <si>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</si>
  <si>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</si>
  <si>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</si>
  <si>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</si>
  <si>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</si>
  <si>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</si>
  <si>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</si>
  <si>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</si>
  <si>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</si>
  <si>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</si>
  <si>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</si>
  <si>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</si>
  <si>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</si>
  <si>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</si>
  <si>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</si>
  <si>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</si>
  <si>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</si>
  <si>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</si>
  <si>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</si>
  <si>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</si>
  <si>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</si>
  <si>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</si>
  <si>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</si>
  <si>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</si>
  <si>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</si>
  <si>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</si>
  <si>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</si>
  <si>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</si>
  <si>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</si>
  <si>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</si>
  <si>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</si>
  <si>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</si>
  <si>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</si>
  <si>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</si>
  <si>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</si>
  <si>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</si>
  <si>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</si>
  <si>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</si>
  <si>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</si>
  <si>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</si>
  <si>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</si>
  <si>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</si>
  <si>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</si>
  <si>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</si>
  <si>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</si>
  <si>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</si>
  <si>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</si>
  <si>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</si>
  <si>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</si>
  <si>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</si>
  <si>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</si>
  <si>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</si>
  <si>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</si>
  <si>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</si>
  <si>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</si>
  <si>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</si>
  <si>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</si>
  <si>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</si>
  <si>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</si>
  <si>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</si>
  <si>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</si>
  <si>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</si>
  <si>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</si>
  <si>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</si>
  <si>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</si>
  <si>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</si>
  <si>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</si>
  <si>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</si>
  <si>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</si>
  <si>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</si>
  <si>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</si>
  <si>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</si>
  <si>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</si>
  <si>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</si>
  <si>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</si>
  <si>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</si>
  <si>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</si>
  <si>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</si>
  <si>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</si>
  <si>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</si>
  <si>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</si>
  <si>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</si>
  <si>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</si>
  <si>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</si>
  <si>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RAL 7016 Text.</t>
  </si>
  <si>
    <t>Tavernes - DF3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</si>
</sst>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9" fontId="0" fillId="0" borderId="0" xfId="0" applyNumberFormat="1"/>
    <xf numFmtId="166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166" fontId="8" fillId="2" borderId="0" xfId="0" applyNumberFormat="1" applyFont="1" applyFill="1" applyAlignment="1">
      <alignment horizontal="right" vertical="center"/>
    </xf>
    <xf numFmtId="44" fontId="8" fillId="2" borderId="5" xfId="1" applyFont="1" applyFill="1" applyBorder="1" applyAlignment="1">
      <alignment horizontal="right" vertical="center"/>
    </xf>
    <xf numFmtId="44" fontId="8" fillId="2" borderId="0" xfId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8:C81" totalsRowShown="0">
  <autoFilter ref="C78:C81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L81"/>
  <sheetViews>
    <sheetView tabSelected="1" view="pageBreakPreview" topLeftCell="A4" zoomScale="60" zoomScaleNormal="95" workbookViewId="0">
      <selection activeCell="F18" sqref="F1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2:12" x14ac:dyDescent="0.25">
      <c r="H1" s="1"/>
      <c r="I1" s="1"/>
      <c r="J1" s="1"/>
      <c r="K1" s="1"/>
      <c r="L1" s="1"/>
    </row>
    <row r="2" spans="2:12" ht="40.5" customHeight="1" x14ac:dyDescent="0.25">
      <c r="G2" s="2" t="s">
        <v>0</v>
      </c>
      <c r="H2" s="1"/>
      <c r="I2" s="1"/>
      <c r="J2" s="1"/>
      <c r="K2" s="1"/>
      <c r="L2" s="1"/>
    </row>
    <row r="3" spans="2:12" ht="21" x14ac:dyDescent="0.35">
      <c r="E3" s="85" t="s">
        <v>1</v>
      </c>
      <c r="F3" s="85"/>
      <c r="G3" s="85"/>
      <c r="H3" s="86"/>
      <c r="I3" s="86"/>
      <c r="J3" s="86"/>
      <c r="K3" s="86"/>
      <c r="L3" s="86"/>
    </row>
    <row r="5" spans="2:12" ht="18.75" x14ac:dyDescent="0.25">
      <c r="B5" s="87" t="s">
        <v>2</v>
      </c>
      <c r="C5" s="87" t="s">
        <v>3</v>
      </c>
      <c r="D5" s="66"/>
      <c r="E5" s="4"/>
      <c r="F5" s="4"/>
      <c r="G5" s="5" t="s">
        <v>4</v>
      </c>
    </row>
    <row r="7" spans="2:12" x14ac:dyDescent="0.25">
      <c r="B7" s="6" t="s">
        <v>5</v>
      </c>
      <c r="C7" s="7">
        <v>20250161</v>
      </c>
      <c r="G7" s="8">
        <f ca="1">TODAY()</f>
        <v>45883</v>
      </c>
    </row>
    <row r="8" spans="2:12" x14ac:dyDescent="0.25">
      <c r="B8" s="9" t="s">
        <v>6</v>
      </c>
      <c r="C8" s="10" t="s">
        <v>1442</v>
      </c>
    </row>
    <row r="9" spans="2:12" x14ac:dyDescent="0.25">
      <c r="B9" s="3" t="s">
        <v>7</v>
      </c>
      <c r="C9" s="10" t="s">
        <v>1444</v>
      </c>
      <c r="H9" s="1"/>
      <c r="I9" s="1"/>
      <c r="J9" s="1"/>
      <c r="K9" s="1"/>
      <c r="L9" s="1"/>
    </row>
    <row r="10" spans="2:12" x14ac:dyDescent="0.25">
      <c r="B10" s="3"/>
      <c r="C10" s="11"/>
      <c r="H10" s="1"/>
      <c r="I10" s="1"/>
      <c r="J10" s="1"/>
      <c r="K10" s="1"/>
      <c r="L10" s="1"/>
    </row>
    <row r="11" spans="2:12" x14ac:dyDescent="0.25">
      <c r="B11" s="3"/>
      <c r="C11" s="11"/>
      <c r="H11" s="1"/>
      <c r="I11" s="1"/>
      <c r="J11" s="1"/>
      <c r="K11" s="1"/>
      <c r="L11" s="1"/>
    </row>
    <row r="12" spans="2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2:12" x14ac:dyDescent="0.25">
      <c r="B13" s="16" t="s">
        <v>444</v>
      </c>
      <c r="C13" s="84" t="str">
        <f>IFERROR(VLOOKUP($B13,Tarifa_all_20240711!$A$2:$G$660,2,FALSE()),"-")</f>
        <v>MARCO FIJOS 35MM D-DECOR FIJO NEGRO TEXT 3 MTS</v>
      </c>
      <c r="D13" s="84"/>
      <c r="E13" s="17">
        <v>3</v>
      </c>
      <c r="F13" s="18">
        <f>IFERROR(VLOOKUP($B13,Tarifa_all_20240711!$A$2:$G$660,5,FALSE()),"-")</f>
        <v>27.712500000000002</v>
      </c>
      <c r="G13" s="18">
        <f t="shared" ref="G13:G30" si="0">IFERROR(E13*F13,"-")</f>
        <v>83.137500000000003</v>
      </c>
      <c r="H13" s="1"/>
    </row>
    <row r="14" spans="2:12" x14ac:dyDescent="0.25">
      <c r="B14" s="16" t="s">
        <v>424</v>
      </c>
      <c r="C14" s="84" t="str">
        <f>IFERROR(VLOOKUP($B14,Tarifa_all_20240711!$A$2:$G$660,2,FALSE()),"-")</f>
        <v>ANCLAJE TAPA 35MM D-DECOR FIJO NEGRO TEXT 3 MTS</v>
      </c>
      <c r="D14" s="84"/>
      <c r="E14" s="17">
        <v>3</v>
      </c>
      <c r="F14" s="18">
        <f>IFERROR(VLOOKUP($B14,Tarifa_all_20240711!$A$2:$G$660,5,FALSE()),"-")</f>
        <v>13.4175</v>
      </c>
      <c r="G14" s="18">
        <f t="shared" si="0"/>
        <v>40.252499999999998</v>
      </c>
      <c r="H14" s="1"/>
    </row>
    <row r="15" spans="2:12" x14ac:dyDescent="0.25">
      <c r="B15" s="16" t="s">
        <v>464</v>
      </c>
      <c r="C15" s="84" t="str">
        <f>IFERROR(VLOOKUP($B15,Tarifa_all_20240711!$A$2:$G$660,2,FALSE()),"-")</f>
        <v>TAPA MARCO 35MM D-DECOR FIJO NEGRO TEXT 3 MTS</v>
      </c>
      <c r="D15" s="84"/>
      <c r="E15" s="17">
        <v>3</v>
      </c>
      <c r="F15" s="18">
        <f>IFERROR(VLOOKUP($B15,Tarifa_all_20240711!$A$2:$G$660,5,FALSE()),"-")</f>
        <v>11.3025</v>
      </c>
      <c r="G15" s="18">
        <f t="shared" si="0"/>
        <v>33.907499999999999</v>
      </c>
      <c r="H15" s="1"/>
    </row>
    <row r="16" spans="2:12" x14ac:dyDescent="0.25">
      <c r="B16" s="16" t="s">
        <v>282</v>
      </c>
      <c r="C16" s="84" t="str">
        <f>IFERROR(VLOOKUP($B16,Tarifa_all_20240711!$A$2:$G$660,2,FALSE()),"-")</f>
        <v>Tope Domo Decor</v>
      </c>
      <c r="D16" s="84"/>
      <c r="E16" s="17">
        <v>4</v>
      </c>
      <c r="F16" s="18">
        <f>IFERROR(VLOOKUP($B16,Tarifa_all_20240711!$A$2:$G$660,5,FALSE()),"-")</f>
        <v>1.4175</v>
      </c>
      <c r="G16" s="18">
        <f t="shared" si="0"/>
        <v>5.67</v>
      </c>
      <c r="H16" s="1"/>
    </row>
    <row r="17" spans="2:8" x14ac:dyDescent="0.25">
      <c r="B17" s="16" t="s">
        <v>284</v>
      </c>
      <c r="C17" s="84" t="str">
        <f>IFERROR(VLOOKUP($B17,Tarifa_all_20240711!$A$2:$G$660,2,FALSE()),"-")</f>
        <v>PERFIL 3 MTS REDUCTOR PARA VIDRIO 6mm</v>
      </c>
      <c r="D17" s="84"/>
      <c r="E17" s="17">
        <v>3</v>
      </c>
      <c r="F17" s="18">
        <f>IFERROR(VLOOKUP($B17,Tarifa_all_20240711!$A$2:$G$660,5,FALSE()),"-")</f>
        <v>3.4275000000000002</v>
      </c>
      <c r="G17" s="18">
        <f t="shared" si="0"/>
        <v>10.282500000000001</v>
      </c>
      <c r="H17" s="1"/>
    </row>
    <row r="18" spans="2:8" x14ac:dyDescent="0.25">
      <c r="B18" s="16" t="s">
        <v>127</v>
      </c>
      <c r="C18" s="84" t="str">
        <f>IFERROR(VLOOKUP($B18,Tarifa_all_20240711!$A$2:$G$660,2,FALSE()),"-")</f>
        <v>PERFIL EMBELL.HORIZ. ADH LAC.NEGRO TEXTURADO</v>
      </c>
      <c r="D18" s="84"/>
      <c r="E18" s="17">
        <v>4</v>
      </c>
      <c r="F18" s="18">
        <f>IFERROR(VLOOKUP($B18,Tarifa_all_20240711!$A$2:$G$660,5,FALSE()),"-")</f>
        <v>21.794999999999998</v>
      </c>
      <c r="G18" s="18">
        <f t="shared" si="0"/>
        <v>87.179999999999993</v>
      </c>
      <c r="H18" s="1"/>
    </row>
    <row r="19" spans="2:8" x14ac:dyDescent="0.25">
      <c r="B19" s="16"/>
      <c r="C19" s="84" t="str">
        <f>IFERROR(VLOOKUP($B19,Tarifa_all_20240711!$A$2:$G$660,2,FALSE()),"-")</f>
        <v>-</v>
      </c>
      <c r="D19" s="84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2:8" x14ac:dyDescent="0.25">
      <c r="B20" s="16"/>
      <c r="C20" s="84" t="str">
        <f>IFERROR(VLOOKUP($B20,Tarifa_all_20240711!$A$2:$G$660,2,FALSE()),"-")</f>
        <v>-</v>
      </c>
      <c r="D20" s="84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2:8" x14ac:dyDescent="0.25">
      <c r="B21" s="16"/>
      <c r="C21" s="84" t="str">
        <f>IFERROR(VLOOKUP($B21,Tarifa_all_20240711!$A$2:$G$660,2,FALSE()),"-")</f>
        <v>-</v>
      </c>
      <c r="D21" s="84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2:8" x14ac:dyDescent="0.25">
      <c r="B22" s="16"/>
      <c r="C22" s="84" t="str">
        <f>IFERROR(VLOOKUP($B22,Tarifa_all_20240711!$A$2:$G$660,2,FALSE()),"-")</f>
        <v>-</v>
      </c>
      <c r="D22" s="84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2:8" x14ac:dyDescent="0.25">
      <c r="B23" s="16"/>
      <c r="C23" s="84" t="str">
        <f>IFERROR(VLOOKUP($B23,Tarifa_all_20240711!$A$2:$G$660,2,FALSE()),"-")</f>
        <v>-</v>
      </c>
      <c r="D23" s="84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2:8" x14ac:dyDescent="0.25">
      <c r="B24" s="16"/>
      <c r="C24" s="84" t="str">
        <f>IFERROR(VLOOKUP($B24,Tarifa_all_20240711!$A$2:$G$660,2,FALSE()),"-")</f>
        <v>-</v>
      </c>
      <c r="D24" s="84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2:8" x14ac:dyDescent="0.25">
      <c r="B25" s="16"/>
      <c r="C25" s="84" t="str">
        <f>IFERROR(VLOOKUP($B25,Tarifa_all_20240711!$A$2:$G$660,2,FALSE()),"-")</f>
        <v>-</v>
      </c>
      <c r="D25" s="84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2:8" x14ac:dyDescent="0.25">
      <c r="B26" s="16"/>
      <c r="C26" s="84" t="str">
        <f>IFERROR(VLOOKUP($B26,Tarifa_all_20240711!$A$2:$G$660,2,FALSE()),"-")</f>
        <v>-</v>
      </c>
      <c r="D26" s="84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2:8" x14ac:dyDescent="0.25">
      <c r="B27" s="16"/>
      <c r="C27" s="84" t="str">
        <f>IFERROR(VLOOKUP($B27,Tarifa_all_20240711!$A$2:$G$660,2,FALSE()),"-")</f>
        <v>-</v>
      </c>
      <c r="D27" s="84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2:8" x14ac:dyDescent="0.25">
      <c r="B28" s="16"/>
      <c r="C28" s="84" t="str">
        <f>IFERROR(VLOOKUP($B28,Tarifa_all_20240711!$A$2:$G$660,2,FALSE()),"-")</f>
        <v>-</v>
      </c>
      <c r="D28" s="84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2:8" x14ac:dyDescent="0.25">
      <c r="B29" s="16"/>
      <c r="C29" s="84" t="str">
        <f>IFERROR(VLOOKUP($B29,Tarifa_all_20240711!$A$2:$G$660,2,FALSE()),"-")</f>
        <v>-</v>
      </c>
      <c r="D29" s="84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2:8" x14ac:dyDescent="0.25">
      <c r="B30" s="16"/>
      <c r="C30" s="84" t="str">
        <f>IFERROR(VLOOKUP($B30,Tarifa_all_20240711!$A$2:$G$660,2,FALSE()),"-")</f>
        <v>-</v>
      </c>
      <c r="D30" s="84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2:8" x14ac:dyDescent="0.25">
      <c r="B31" s="19"/>
      <c r="C31" s="19"/>
      <c r="D31" s="19"/>
      <c r="E31" s="19"/>
      <c r="F31" s="20"/>
      <c r="G31" s="21">
        <f>SUM(G13:G30)</f>
        <v>260.43</v>
      </c>
    </row>
    <row r="32" spans="2:8" x14ac:dyDescent="0.25">
      <c r="B32" s="19" t="s">
        <v>1443</v>
      </c>
      <c r="C32" s="19"/>
      <c r="D32" s="19"/>
      <c r="E32" s="19"/>
      <c r="F32" s="78"/>
      <c r="G32" s="81">
        <f>G31*(1+H32)</f>
        <v>286.47300000000001</v>
      </c>
      <c r="H32" s="77">
        <v>0.1</v>
      </c>
    </row>
    <row r="33" spans="2:8" x14ac:dyDescent="0.25">
      <c r="B33" s="79"/>
      <c r="C33" s="79"/>
      <c r="D33" s="79"/>
      <c r="E33" s="79"/>
      <c r="F33" s="80"/>
      <c r="G33" s="82"/>
      <c r="H33" s="77"/>
    </row>
    <row r="34" spans="2:8" x14ac:dyDescent="0.25">
      <c r="B34" s="79"/>
      <c r="C34" s="79"/>
      <c r="D34" s="79"/>
      <c r="E34" s="79"/>
      <c r="F34" s="80"/>
      <c r="G34" s="80"/>
      <c r="H34" s="77"/>
    </row>
    <row r="35" spans="2:8" x14ac:dyDescent="0.25">
      <c r="B35" s="22" t="s">
        <v>14</v>
      </c>
      <c r="C35" s="23"/>
      <c r="D35" s="23"/>
      <c r="E35" s="23"/>
      <c r="F35" s="23"/>
      <c r="G35" s="24"/>
    </row>
    <row r="36" spans="2:8" ht="15" customHeight="1" x14ac:dyDescent="0.25">
      <c r="B36" s="25" t="s">
        <v>15</v>
      </c>
      <c r="C36" s="26" t="s">
        <v>65</v>
      </c>
      <c r="D36" s="26"/>
      <c r="E36" s="26"/>
      <c r="F36" s="26"/>
      <c r="G36" s="24"/>
    </row>
    <row r="37" spans="2:8" x14ac:dyDescent="0.25">
      <c r="B37" s="27" t="s">
        <v>16</v>
      </c>
      <c r="C37" s="26"/>
      <c r="D37" s="26"/>
      <c r="E37" s="26"/>
      <c r="F37" s="26"/>
      <c r="G37" s="24"/>
    </row>
    <row r="38" spans="2:8" x14ac:dyDescent="0.25">
      <c r="B38" s="28" t="s">
        <v>1441</v>
      </c>
      <c r="C38" s="29"/>
      <c r="D38" s="29"/>
      <c r="E38" s="29"/>
      <c r="F38" s="29"/>
      <c r="G38" s="24"/>
    </row>
    <row r="39" spans="2:8" x14ac:dyDescent="0.25">
      <c r="B39" s="27"/>
      <c r="C39" s="26"/>
      <c r="D39" s="26"/>
      <c r="E39" s="26"/>
      <c r="F39" s="26"/>
      <c r="G39" s="20"/>
    </row>
    <row r="40" spans="2:8" x14ac:dyDescent="0.25">
      <c r="B40" s="27"/>
      <c r="C40" s="26"/>
      <c r="D40" s="26"/>
      <c r="E40" s="26"/>
      <c r="F40" s="26"/>
      <c r="G40" s="24"/>
    </row>
    <row r="41" spans="2:8" x14ac:dyDescent="0.25">
      <c r="B41" s="30"/>
      <c r="C41" s="31"/>
      <c r="D41" s="31"/>
      <c r="E41" s="31"/>
      <c r="F41" s="31"/>
      <c r="G41" s="24"/>
    </row>
    <row r="42" spans="2:8" x14ac:dyDescent="0.25">
      <c r="B42" s="27"/>
      <c r="C42" s="31"/>
      <c r="D42" s="31"/>
      <c r="E42" s="31"/>
      <c r="F42" s="31"/>
      <c r="G42" s="24"/>
    </row>
    <row r="43" spans="2:8" x14ac:dyDescent="0.25">
      <c r="B43" s="26"/>
      <c r="C43" s="26"/>
      <c r="D43" s="26"/>
      <c r="E43" s="26"/>
      <c r="F43" s="26"/>
      <c r="G43" s="24"/>
    </row>
    <row r="44" spans="2:8" x14ac:dyDescent="0.25">
      <c r="B44" s="32"/>
      <c r="D44" s="32"/>
      <c r="E44" s="32"/>
      <c r="F44" s="32"/>
    </row>
    <row r="45" spans="2:8" x14ac:dyDescent="0.25">
      <c r="C45" s="33" t="s">
        <v>17</v>
      </c>
      <c r="D45" s="34" t="s">
        <v>18</v>
      </c>
      <c r="E45" s="34"/>
      <c r="F45" s="34"/>
    </row>
    <row r="46" spans="2:8" x14ac:dyDescent="0.25">
      <c r="C46" s="35" t="s">
        <v>19</v>
      </c>
      <c r="D46" s="23" t="s">
        <v>19</v>
      </c>
      <c r="E46" s="23"/>
      <c r="F46" s="23"/>
    </row>
    <row r="47" spans="2:8" x14ac:dyDescent="0.25">
      <c r="C47" s="35" t="s">
        <v>20</v>
      </c>
      <c r="D47" s="23" t="s">
        <v>20</v>
      </c>
      <c r="E47" s="23"/>
      <c r="F47" s="23"/>
    </row>
    <row r="48" spans="2:8" x14ac:dyDescent="0.25">
      <c r="C48" s="35" t="s">
        <v>21</v>
      </c>
      <c r="D48" s="23" t="s">
        <v>22</v>
      </c>
      <c r="E48" s="23"/>
      <c r="F48" s="23"/>
    </row>
    <row r="49" spans="3:6" x14ac:dyDescent="0.25">
      <c r="C49" s="35" t="s">
        <v>23</v>
      </c>
      <c r="D49" s="23" t="s">
        <v>21</v>
      </c>
      <c r="E49" s="23"/>
      <c r="F49" s="23"/>
    </row>
    <row r="50" spans="3:6" x14ac:dyDescent="0.25">
      <c r="C50" s="35" t="s">
        <v>24</v>
      </c>
      <c r="D50" s="23" t="s">
        <v>25</v>
      </c>
      <c r="E50" s="23"/>
      <c r="F50" s="23"/>
    </row>
    <row r="51" spans="3:6" x14ac:dyDescent="0.25">
      <c r="C51" s="35" t="s">
        <v>26</v>
      </c>
      <c r="D51" s="23" t="s">
        <v>27</v>
      </c>
      <c r="E51" s="23"/>
      <c r="F51" s="23"/>
    </row>
    <row r="52" spans="3:6" x14ac:dyDescent="0.25">
      <c r="C52" s="35" t="s">
        <v>28</v>
      </c>
      <c r="D52" s="23" t="s">
        <v>28</v>
      </c>
      <c r="E52" s="23"/>
      <c r="F52" s="23"/>
    </row>
    <row r="53" spans="3:6" x14ac:dyDescent="0.25">
      <c r="C53" s="35" t="s">
        <v>29</v>
      </c>
      <c r="D53" s="23" t="s">
        <v>30</v>
      </c>
      <c r="E53" s="23"/>
      <c r="F53" s="23"/>
    </row>
    <row r="54" spans="3:6" x14ac:dyDescent="0.25">
      <c r="C54" s="35" t="s">
        <v>31</v>
      </c>
      <c r="D54" s="83"/>
      <c r="E54" s="83"/>
      <c r="F54" s="83"/>
    </row>
    <row r="57" spans="3:6" ht="30" x14ac:dyDescent="0.25">
      <c r="C57" s="36" t="s">
        <v>8</v>
      </c>
      <c r="D57" s="37" t="s">
        <v>32</v>
      </c>
    </row>
    <row r="58" spans="3:6" x14ac:dyDescent="0.25">
      <c r="C58" s="38" t="s">
        <v>33</v>
      </c>
      <c r="D58" s="39"/>
    </row>
    <row r="59" spans="3:6" x14ac:dyDescent="0.25">
      <c r="C59" s="40" t="s">
        <v>34</v>
      </c>
      <c r="D59" s="41" t="s">
        <v>35</v>
      </c>
    </row>
    <row r="60" spans="3:6" x14ac:dyDescent="0.25">
      <c r="C60" s="40" t="s">
        <v>36</v>
      </c>
      <c r="D60" s="41" t="s">
        <v>37</v>
      </c>
    </row>
    <row r="61" spans="3:6" x14ac:dyDescent="0.25">
      <c r="C61" s="40" t="s">
        <v>38</v>
      </c>
      <c r="D61" s="41" t="s">
        <v>39</v>
      </c>
    </row>
    <row r="62" spans="3:6" x14ac:dyDescent="0.25">
      <c r="C62" s="40" t="s">
        <v>40</v>
      </c>
      <c r="D62" s="41" t="s">
        <v>41</v>
      </c>
    </row>
    <row r="63" spans="3:6" x14ac:dyDescent="0.25">
      <c r="C63" s="40" t="s">
        <v>42</v>
      </c>
      <c r="D63" s="41" t="s">
        <v>43</v>
      </c>
    </row>
    <row r="64" spans="3:6" x14ac:dyDescent="0.25">
      <c r="C64" s="40" t="s">
        <v>44</v>
      </c>
      <c r="D64" s="41" t="s">
        <v>45</v>
      </c>
    </row>
    <row r="65" spans="3:4" x14ac:dyDescent="0.25">
      <c r="C65" s="40" t="s">
        <v>46</v>
      </c>
      <c r="D65" s="41" t="s">
        <v>47</v>
      </c>
    </row>
    <row r="66" spans="3:4" x14ac:dyDescent="0.25">
      <c r="C66" s="38" t="s">
        <v>48</v>
      </c>
      <c r="D66" s="39"/>
    </row>
    <row r="67" spans="3:4" x14ac:dyDescent="0.25">
      <c r="C67" s="40" t="s">
        <v>49</v>
      </c>
      <c r="D67" s="41" t="s">
        <v>50</v>
      </c>
    </row>
    <row r="68" spans="3:4" x14ac:dyDescent="0.25">
      <c r="C68" s="42" t="s">
        <v>51</v>
      </c>
      <c r="D68" s="41" t="s">
        <v>52</v>
      </c>
    </row>
    <row r="69" spans="3:4" x14ac:dyDescent="0.25">
      <c r="C69" s="42" t="s">
        <v>53</v>
      </c>
      <c r="D69" s="41" t="s">
        <v>54</v>
      </c>
    </row>
    <row r="70" spans="3:4" x14ac:dyDescent="0.25">
      <c r="C70" s="42" t="s">
        <v>55</v>
      </c>
      <c r="D70" s="41" t="s">
        <v>56</v>
      </c>
    </row>
    <row r="71" spans="3:4" x14ac:dyDescent="0.25">
      <c r="C71" s="42" t="s">
        <v>57</v>
      </c>
      <c r="D71" s="41" t="s">
        <v>58</v>
      </c>
    </row>
    <row r="72" spans="3:4" x14ac:dyDescent="0.25">
      <c r="C72" s="42" t="s">
        <v>59</v>
      </c>
      <c r="D72" s="41" t="s">
        <v>60</v>
      </c>
    </row>
    <row r="73" spans="3:4" x14ac:dyDescent="0.25">
      <c r="C73" s="42" t="s">
        <v>61</v>
      </c>
      <c r="D73" s="41" t="s">
        <v>62</v>
      </c>
    </row>
    <row r="74" spans="3:4" x14ac:dyDescent="0.25">
      <c r="C74" s="42" t="s">
        <v>63</v>
      </c>
      <c r="D74" s="41" t="s">
        <v>64</v>
      </c>
    </row>
    <row r="78" spans="3:4" x14ac:dyDescent="0.25">
      <c r="C78" t="s">
        <v>65</v>
      </c>
    </row>
    <row r="79" spans="3:4" x14ac:dyDescent="0.25">
      <c r="C79" t="s">
        <v>66</v>
      </c>
    </row>
    <row r="80" spans="3:4" x14ac:dyDescent="0.25">
      <c r="C80" t="s">
        <v>67</v>
      </c>
    </row>
    <row r="81" spans="3:3" x14ac:dyDescent="0.25">
      <c r="C81" t="s">
        <v>68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4:F54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6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5" t="s">
        <v>69</v>
      </c>
      <c r="F2" s="85"/>
      <c r="G2" s="85"/>
    </row>
    <row r="3" spans="1:7" ht="18" customHeight="1" x14ac:dyDescent="0.35">
      <c r="E3" s="85" t="s">
        <v>1</v>
      </c>
      <c r="F3" s="85"/>
      <c r="G3" s="85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2" t="s">
        <v>70</v>
      </c>
      <c r="B6" s="92"/>
      <c r="C6" s="92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71</v>
      </c>
      <c r="B9" s="93" t="str">
        <f>'DESPIECE (MATANALYSIS)'!C8</f>
        <v>Cristalum Gandia</v>
      </c>
      <c r="C9" s="93"/>
      <c r="D9" s="93"/>
      <c r="F9" s="3" t="s">
        <v>72</v>
      </c>
      <c r="G9" s="44">
        <f ca="1">TODAY()</f>
        <v>45883</v>
      </c>
    </row>
    <row r="10" spans="1:7" x14ac:dyDescent="0.25">
      <c r="A10" s="3" t="s">
        <v>73</v>
      </c>
      <c r="B10" s="11" t="str">
        <f>'DESPIECE (MATANALYSIS)'!C9</f>
        <v>Tavernes - DF3</v>
      </c>
      <c r="C10" s="45"/>
      <c r="D10" s="45"/>
      <c r="E10" s="46"/>
      <c r="F10" s="47" t="s">
        <v>74</v>
      </c>
      <c r="G10" s="7">
        <f>'DESPIECE (MATANALYSIS)'!C7</f>
        <v>20250161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75</v>
      </c>
      <c r="B31" s="53"/>
      <c r="C31" s="53"/>
      <c r="D31" s="54"/>
      <c r="E31" s="54"/>
      <c r="F31" s="54"/>
      <c r="G31" s="54"/>
    </row>
    <row r="32" spans="1:7" x14ac:dyDescent="0.25">
      <c r="A32" s="52" t="s">
        <v>76</v>
      </c>
      <c r="B32" s="55" t="s">
        <v>77</v>
      </c>
      <c r="C32" s="53"/>
      <c r="D32" s="54"/>
      <c r="E32" s="54"/>
      <c r="F32" s="54"/>
      <c r="G32" s="54"/>
    </row>
    <row r="33" spans="1:7" x14ac:dyDescent="0.25">
      <c r="A33" s="56" t="s">
        <v>15</v>
      </c>
      <c r="B33" s="55" t="str">
        <f>'DESPIECE (MATANALYSIS)'!C36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1432</v>
      </c>
      <c r="B35" s="55" t="s">
        <v>1436</v>
      </c>
      <c r="C35" s="55"/>
      <c r="D35" s="55"/>
      <c r="E35" s="55"/>
      <c r="F35" s="55"/>
      <c r="G35" s="55"/>
    </row>
    <row r="36" spans="1:7" x14ac:dyDescent="0.25">
      <c r="A36" s="56" t="s">
        <v>1433</v>
      </c>
      <c r="B36" s="55" t="s">
        <v>1436</v>
      </c>
      <c r="C36" s="55"/>
      <c r="D36" s="55"/>
      <c r="E36" s="55"/>
      <c r="F36" s="55"/>
      <c r="G36" s="55"/>
    </row>
    <row r="37" spans="1:7" x14ac:dyDescent="0.25">
      <c r="A37" s="56" t="s">
        <v>1434</v>
      </c>
      <c r="B37" s="55" t="s">
        <v>1439</v>
      </c>
      <c r="C37" s="55"/>
      <c r="D37" s="55"/>
      <c r="E37" s="55"/>
      <c r="F37" s="55"/>
      <c r="G37" s="55"/>
    </row>
    <row r="38" spans="1:7" x14ac:dyDescent="0.25">
      <c r="A38" s="56" t="s">
        <v>1435</v>
      </c>
      <c r="B38" s="55" t="s">
        <v>1437</v>
      </c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1438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260.43</v>
      </c>
    </row>
    <row r="45" spans="1:7" ht="22.7" customHeight="1" x14ac:dyDescent="0.25">
      <c r="A45" s="88" t="s">
        <v>1440</v>
      </c>
      <c r="B45" s="88"/>
      <c r="C45" s="72"/>
      <c r="D45" s="72"/>
      <c r="E45" s="72"/>
      <c r="F45" s="73">
        <v>-0.1</v>
      </c>
      <c r="G45" s="74">
        <f>G44*(1+F45)</f>
        <v>234.387</v>
      </c>
    </row>
    <row r="46" spans="1:7" ht="22.7" customHeight="1" x14ac:dyDescent="0.25">
      <c r="A46" s="89" t="s">
        <v>83</v>
      </c>
      <c r="B46" s="89"/>
      <c r="C46" s="59"/>
      <c r="D46" s="59"/>
      <c r="E46" s="59"/>
      <c r="F46" s="90">
        <f>G45</f>
        <v>234.387</v>
      </c>
      <c r="G46" s="90"/>
    </row>
    <row r="47" spans="1:7" s="1" customFormat="1" ht="22.7" customHeight="1" x14ac:dyDescent="0.25">
      <c r="A47" s="91" t="s">
        <v>84</v>
      </c>
      <c r="B47" s="91"/>
      <c r="C47" s="91"/>
      <c r="D47" s="91"/>
      <c r="E47" s="91"/>
      <c r="F47" s="91"/>
      <c r="G47" s="91"/>
    </row>
    <row r="49" spans="4:6" x14ac:dyDescent="0.25">
      <c r="D49" s="60" t="s">
        <v>17</v>
      </c>
      <c r="E49" s="60"/>
      <c r="F49" s="60"/>
    </row>
    <row r="50" spans="4:6" x14ac:dyDescent="0.25">
      <c r="D50" s="61" t="s">
        <v>19</v>
      </c>
      <c r="E50" s="61"/>
      <c r="F50" s="61"/>
    </row>
    <row r="51" spans="4:6" x14ac:dyDescent="0.25">
      <c r="D51" s="61" t="s">
        <v>20</v>
      </c>
      <c r="E51" s="61"/>
      <c r="F51" s="61"/>
    </row>
    <row r="52" spans="4:6" x14ac:dyDescent="0.25">
      <c r="D52" s="61" t="s">
        <v>23</v>
      </c>
      <c r="E52" s="61"/>
      <c r="F52" s="61"/>
    </row>
    <row r="53" spans="4:6" x14ac:dyDescent="0.25">
      <c r="D53" s="61" t="s">
        <v>24</v>
      </c>
      <c r="E53" s="61"/>
      <c r="F53" s="61"/>
    </row>
    <row r="54" spans="4:6" x14ac:dyDescent="0.25">
      <c r="D54" s="61" t="s">
        <v>26</v>
      </c>
      <c r="E54" s="61"/>
      <c r="F54" s="61"/>
    </row>
    <row r="55" spans="4:6" x14ac:dyDescent="0.25">
      <c r="D55" s="61" t="s">
        <v>21</v>
      </c>
      <c r="E55" s="61"/>
      <c r="F55" s="61"/>
    </row>
    <row r="56" spans="4:6" x14ac:dyDescent="0.25">
      <c r="D56" s="61" t="s">
        <v>28</v>
      </c>
      <c r="E56" s="61"/>
      <c r="F56" s="61"/>
    </row>
    <row r="57" spans="4:6" x14ac:dyDescent="0.25">
      <c r="D57" s="61" t="s">
        <v>29</v>
      </c>
      <c r="E57" s="61"/>
      <c r="F57" s="61"/>
    </row>
    <row r="58" spans="4:6" x14ac:dyDescent="0.25">
      <c r="D58" s="61" t="s">
        <v>30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68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6">
        <v>15.09</v>
      </c>
      <c r="D2" s="75">
        <v>0.25</v>
      </c>
      <c r="E2" s="76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6">
        <v>322.99</v>
      </c>
      <c r="D4" s="75">
        <v>0.25</v>
      </c>
      <c r="E4" s="76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6">
        <v>645.99</v>
      </c>
      <c r="D5" s="75">
        <v>0.25</v>
      </c>
      <c r="E5" s="76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6">
        <v>335.92</v>
      </c>
      <c r="D6" s="75">
        <v>0.25</v>
      </c>
      <c r="E6" s="76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6">
        <v>345.6</v>
      </c>
      <c r="D7" s="75">
        <v>0.25</v>
      </c>
      <c r="E7" s="76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6">
        <v>387.6</v>
      </c>
      <c r="D8" s="75">
        <v>0.25</v>
      </c>
      <c r="E8" s="76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6">
        <v>355.29</v>
      </c>
      <c r="D9" s="75">
        <v>0.25</v>
      </c>
      <c r="E9" s="76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6">
        <v>371.44</v>
      </c>
      <c r="D10" s="75">
        <v>0.25</v>
      </c>
      <c r="E10" s="76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6">
        <v>322.99</v>
      </c>
      <c r="D12" s="75">
        <v>0.25</v>
      </c>
      <c r="E12" s="76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6">
        <v>322.99</v>
      </c>
      <c r="D13" s="75">
        <v>0.25</v>
      </c>
      <c r="E13" s="76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6">
        <v>645.99</v>
      </c>
      <c r="D14" s="75">
        <v>0.25</v>
      </c>
      <c r="E14" s="76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6">
        <v>277.32</v>
      </c>
      <c r="D15" s="75">
        <v>0.25</v>
      </c>
      <c r="E15" s="76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6">
        <v>287.39</v>
      </c>
      <c r="D16" s="75">
        <v>0.25</v>
      </c>
      <c r="E16" s="76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6">
        <v>574.76</v>
      </c>
      <c r="D17" s="75">
        <v>0.25</v>
      </c>
      <c r="E17" s="76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6">
        <v>298.88</v>
      </c>
      <c r="D18" s="75">
        <v>0.25</v>
      </c>
      <c r="E18" s="76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6">
        <v>307.51</v>
      </c>
      <c r="D19" s="75">
        <v>0.25</v>
      </c>
      <c r="E19" s="76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6">
        <v>344.86</v>
      </c>
      <c r="D20" s="75">
        <v>0.25</v>
      </c>
      <c r="E20" s="76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6">
        <v>316.13</v>
      </c>
      <c r="D21" s="75">
        <v>0.25</v>
      </c>
      <c r="E21" s="76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6">
        <v>330.5</v>
      </c>
      <c r="D22" s="75">
        <v>0.25</v>
      </c>
      <c r="E22" s="76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6">
        <v>287.39</v>
      </c>
      <c r="D23" s="75">
        <v>0.25</v>
      </c>
      <c r="E23" s="76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6">
        <v>287.39</v>
      </c>
      <c r="D24" s="75">
        <v>0.25</v>
      </c>
      <c r="E24" s="76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6">
        <v>574.76</v>
      </c>
      <c r="D25" s="75">
        <v>0.25</v>
      </c>
      <c r="E25" s="76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6">
        <v>0</v>
      </c>
      <c r="D26" s="75">
        <v>0.25</v>
      </c>
      <c r="E26" s="76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6">
        <v>257.63</v>
      </c>
      <c r="D27" s="75">
        <v>0.25</v>
      </c>
      <c r="E27" s="76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6">
        <v>575.09</v>
      </c>
      <c r="D29" s="75">
        <v>0.25</v>
      </c>
      <c r="E29" s="76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6">
        <v>299.05</v>
      </c>
      <c r="D30" s="75">
        <v>0.25</v>
      </c>
      <c r="E30" s="76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6">
        <v>307.67</v>
      </c>
      <c r="D31" s="75">
        <v>0.25</v>
      </c>
      <c r="E31" s="76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6">
        <v>345.05</v>
      </c>
      <c r="D32" s="75">
        <v>0.25</v>
      </c>
      <c r="E32" s="76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6">
        <v>330.67</v>
      </c>
      <c r="D34" s="75">
        <v>0.25</v>
      </c>
      <c r="E34" s="76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6">
        <v>575.09</v>
      </c>
      <c r="D38" s="75">
        <v>0.25</v>
      </c>
      <c r="E38" s="76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6">
        <v>257.63</v>
      </c>
      <c r="D39" s="75">
        <v>0.25</v>
      </c>
      <c r="E39" s="76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6">
        <v>575.09</v>
      </c>
      <c r="D41" s="75">
        <v>0.25</v>
      </c>
      <c r="E41" s="76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6">
        <v>299.05</v>
      </c>
      <c r="D42" s="75">
        <v>0.25</v>
      </c>
      <c r="E42" s="76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6">
        <v>307.67</v>
      </c>
      <c r="D43" s="75">
        <v>0.25</v>
      </c>
      <c r="E43" s="76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6">
        <v>345.05</v>
      </c>
      <c r="D44" s="75">
        <v>0.25</v>
      </c>
      <c r="E44" s="76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6">
        <v>330.67</v>
      </c>
      <c r="D46" s="75">
        <v>0.25</v>
      </c>
      <c r="E46" s="76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6">
        <v>575.09</v>
      </c>
      <c r="D49" s="75">
        <v>0.25</v>
      </c>
      <c r="E49" s="76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6">
        <v>0</v>
      </c>
      <c r="D50" s="75">
        <v>0.25</v>
      </c>
      <c r="E50" s="76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6">
        <v>0</v>
      </c>
      <c r="D51" s="75">
        <v>0.25</v>
      </c>
      <c r="E51" s="76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6">
        <v>257.63</v>
      </c>
      <c r="D52" s="75">
        <v>0.25</v>
      </c>
      <c r="E52" s="76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6">
        <v>575.09</v>
      </c>
      <c r="D54" s="75">
        <v>0.25</v>
      </c>
      <c r="E54" s="76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6">
        <v>575.09</v>
      </c>
      <c r="D57" s="75">
        <v>0.25</v>
      </c>
      <c r="E57" s="76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6">
        <v>89.28</v>
      </c>
      <c r="D59" s="75">
        <v>0.25</v>
      </c>
      <c r="E59" s="76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6">
        <v>89.95</v>
      </c>
      <c r="D60" s="75">
        <v>0.25</v>
      </c>
      <c r="E60" s="76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6">
        <v>92.85</v>
      </c>
      <c r="D61" s="75">
        <v>0.25</v>
      </c>
      <c r="E61" s="76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6">
        <v>95.52</v>
      </c>
      <c r="D62" s="75">
        <v>0.25</v>
      </c>
      <c r="E62" s="76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6">
        <v>107.13</v>
      </c>
      <c r="D63" s="75">
        <v>0.25</v>
      </c>
      <c r="E63" s="76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6">
        <v>98.21</v>
      </c>
      <c r="D64" s="75">
        <v>0.25</v>
      </c>
      <c r="E64" s="76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6">
        <v>102.66</v>
      </c>
      <c r="D65" s="75">
        <v>0.25</v>
      </c>
      <c r="E65" s="76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6">
        <v>89.28</v>
      </c>
      <c r="D66" s="75">
        <v>0.25</v>
      </c>
      <c r="E66" s="76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6">
        <v>27.18</v>
      </c>
      <c r="D68" s="75">
        <v>0.25</v>
      </c>
      <c r="E68" s="76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6">
        <v>29.06</v>
      </c>
      <c r="D69" s="75">
        <v>0.25</v>
      </c>
      <c r="E69" s="76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6">
        <v>27.96</v>
      </c>
      <c r="D70" s="75">
        <v>0.25</v>
      </c>
      <c r="E70" s="76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6">
        <v>0</v>
      </c>
      <c r="D71" s="75">
        <v>0.25</v>
      </c>
      <c r="E71" s="76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6">
        <v>30.23</v>
      </c>
      <c r="D72" s="75">
        <v>0.25</v>
      </c>
      <c r="E72" s="76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6">
        <v>31.1</v>
      </c>
      <c r="D73" s="75">
        <v>0.25</v>
      </c>
      <c r="E73" s="76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6">
        <v>31.97</v>
      </c>
      <c r="D75" s="75">
        <v>0.25</v>
      </c>
      <c r="E75" s="76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6">
        <v>33.42</v>
      </c>
      <c r="D76" s="75">
        <v>0.25</v>
      </c>
      <c r="E76" s="76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6">
        <v>29.06</v>
      </c>
      <c r="D77" s="75">
        <v>0.25</v>
      </c>
      <c r="E77" s="76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6">
        <v>29.06</v>
      </c>
      <c r="D78" s="75">
        <v>0.25</v>
      </c>
      <c r="E78" s="76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6">
        <v>57.95</v>
      </c>
      <c r="D79" s="75">
        <v>0.25</v>
      </c>
      <c r="E79" s="76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6">
        <v>86.92</v>
      </c>
      <c r="D80" s="75">
        <v>0.25</v>
      </c>
      <c r="E80" s="76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6">
        <v>115.9</v>
      </c>
      <c r="D81" s="75">
        <v>0.25</v>
      </c>
      <c r="E81" s="76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6">
        <v>173.84</v>
      </c>
      <c r="D82" s="75">
        <v>0.25</v>
      </c>
      <c r="E82" s="76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6">
        <v>60.27</v>
      </c>
      <c r="D83" s="75">
        <v>0.25</v>
      </c>
      <c r="E83" s="76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6">
        <v>90.4</v>
      </c>
      <c r="D84" s="75">
        <v>0.25</v>
      </c>
      <c r="E84" s="76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6">
        <v>120.53</v>
      </c>
      <c r="D85" s="75">
        <v>0.25</v>
      </c>
      <c r="E85" s="76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6">
        <v>180.8</v>
      </c>
      <c r="D86" s="75">
        <v>0.25</v>
      </c>
      <c r="E86" s="76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6">
        <v>62.01</v>
      </c>
      <c r="D87" s="75">
        <v>0.25</v>
      </c>
      <c r="E87" s="76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6">
        <v>93.01</v>
      </c>
      <c r="D88" s="75">
        <v>0.25</v>
      </c>
      <c r="E88" s="76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6">
        <v>124.01</v>
      </c>
      <c r="D89" s="75">
        <v>0.25</v>
      </c>
      <c r="E89" s="76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6">
        <v>186.01</v>
      </c>
      <c r="D90" s="75">
        <v>0.25</v>
      </c>
      <c r="E90" s="76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6">
        <v>104.3</v>
      </c>
      <c r="D92" s="75">
        <v>0.25</v>
      </c>
      <c r="E92" s="76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6">
        <v>139.07</v>
      </c>
      <c r="D93" s="75">
        <v>0.25</v>
      </c>
      <c r="E93" s="76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6">
        <v>208.62</v>
      </c>
      <c r="D94" s="75">
        <v>0.25</v>
      </c>
      <c r="E94" s="76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6">
        <v>63.75</v>
      </c>
      <c r="D95" s="75">
        <v>0.25</v>
      </c>
      <c r="E95" s="76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6">
        <v>95.61</v>
      </c>
      <c r="D96" s="75">
        <v>0.25</v>
      </c>
      <c r="E96" s="76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6">
        <v>127.49</v>
      </c>
      <c r="D97" s="75">
        <v>0.25</v>
      </c>
      <c r="E97" s="76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6">
        <v>191.22</v>
      </c>
      <c r="D98" s="75">
        <v>0.25</v>
      </c>
      <c r="E98" s="76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6">
        <v>66.64</v>
      </c>
      <c r="D99" s="75">
        <v>0.25</v>
      </c>
      <c r="E99" s="76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6">
        <v>99.96</v>
      </c>
      <c r="D100" s="75">
        <v>0.25</v>
      </c>
      <c r="E100" s="76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6">
        <v>133.28</v>
      </c>
      <c r="D101" s="75">
        <v>0.25</v>
      </c>
      <c r="E101" s="76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6">
        <v>199.93</v>
      </c>
      <c r="D102" s="75">
        <v>0.25</v>
      </c>
      <c r="E102" s="76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6">
        <v>49.67</v>
      </c>
      <c r="D103" s="75">
        <v>0.25</v>
      </c>
      <c r="E103" s="76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6">
        <v>99.34</v>
      </c>
      <c r="D105" s="75">
        <v>0.25</v>
      </c>
      <c r="E105" s="76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6">
        <v>57.95</v>
      </c>
      <c r="D107" s="75">
        <v>0.25</v>
      </c>
      <c r="E107" s="76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6">
        <v>86.92</v>
      </c>
      <c r="D108" s="75">
        <v>0.25</v>
      </c>
      <c r="E108" s="76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6">
        <v>115.9</v>
      </c>
      <c r="D109" s="75">
        <v>0.25</v>
      </c>
      <c r="E109" s="76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6">
        <v>173.84</v>
      </c>
      <c r="D110" s="75">
        <v>0.25</v>
      </c>
      <c r="E110" s="76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6">
        <v>57.95</v>
      </c>
      <c r="D111" s="75">
        <v>0.25</v>
      </c>
      <c r="E111" s="76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6">
        <v>86.92</v>
      </c>
      <c r="D112" s="75">
        <v>0.25</v>
      </c>
      <c r="E112" s="76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6">
        <v>115.9</v>
      </c>
      <c r="D113" s="75">
        <v>0.25</v>
      </c>
      <c r="E113" s="76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6">
        <v>173.84</v>
      </c>
      <c r="D114" s="75">
        <v>0.25</v>
      </c>
      <c r="E114" s="76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6">
        <v>57.95</v>
      </c>
      <c r="D115" s="75">
        <v>0.25</v>
      </c>
      <c r="E115" s="76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6">
        <v>86.92</v>
      </c>
      <c r="D116" s="75">
        <v>0.25</v>
      </c>
      <c r="E116" s="76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6">
        <v>115.9</v>
      </c>
      <c r="D117" s="75">
        <v>0.25</v>
      </c>
      <c r="E117" s="76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6">
        <v>173.84</v>
      </c>
      <c r="D118" s="75">
        <v>0.25</v>
      </c>
      <c r="E118" s="76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6">
        <v>57.95</v>
      </c>
      <c r="D119" s="75">
        <v>0.25</v>
      </c>
      <c r="E119" s="76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6">
        <v>115.9</v>
      </c>
      <c r="D120" s="75">
        <v>0.25</v>
      </c>
      <c r="E120" s="76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6">
        <v>173.84</v>
      </c>
      <c r="D121" s="75">
        <v>0.25</v>
      </c>
      <c r="E121" s="76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6">
        <v>81.96</v>
      </c>
      <c r="D122" s="75">
        <v>0.25</v>
      </c>
      <c r="E122" s="76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6">
        <v>122.95</v>
      </c>
      <c r="D123" s="75">
        <v>0.25</v>
      </c>
      <c r="E123" s="76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6">
        <v>163.92</v>
      </c>
      <c r="D124" s="75">
        <v>0.25</v>
      </c>
      <c r="E124" s="76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6">
        <v>245.89</v>
      </c>
      <c r="D125" s="75">
        <v>0.25</v>
      </c>
      <c r="E125" s="76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6">
        <v>255.73</v>
      </c>
      <c r="D126" s="75">
        <v>0.25</v>
      </c>
      <c r="E126" s="76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6">
        <v>263.11</v>
      </c>
      <c r="D127" s="75">
        <v>0.25</v>
      </c>
      <c r="E127" s="76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6">
        <v>295.08</v>
      </c>
      <c r="D128" s="75">
        <v>0.25</v>
      </c>
      <c r="E128" s="76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6">
        <v>270.48</v>
      </c>
      <c r="D129" s="75">
        <v>0.25</v>
      </c>
      <c r="E129" s="76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6">
        <v>105.38</v>
      </c>
      <c r="D132" s="75">
        <v>0.25</v>
      </c>
      <c r="E132" s="76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6">
        <v>140.5</v>
      </c>
      <c r="D133" s="75">
        <v>0.25</v>
      </c>
      <c r="E133" s="76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6">
        <v>210.75</v>
      </c>
      <c r="D134" s="75">
        <v>0.25</v>
      </c>
      <c r="E134" s="76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6">
        <v>81.96</v>
      </c>
      <c r="D135" s="75">
        <v>0.25</v>
      </c>
      <c r="E135" s="76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6">
        <v>122.95</v>
      </c>
      <c r="D136" s="75">
        <v>0.25</v>
      </c>
      <c r="E136" s="76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6">
        <v>163.92</v>
      </c>
      <c r="D137" s="75">
        <v>0.25</v>
      </c>
      <c r="E137" s="76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6">
        <v>245.89</v>
      </c>
      <c r="D138" s="75">
        <v>0.25</v>
      </c>
      <c r="E138" s="76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6">
        <v>81.96</v>
      </c>
      <c r="D139" s="75">
        <v>0.25</v>
      </c>
      <c r="E139" s="76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6">
        <v>122.95</v>
      </c>
      <c r="D140" s="75">
        <v>0.25</v>
      </c>
      <c r="E140" s="76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6">
        <v>163.92</v>
      </c>
      <c r="D141" s="75">
        <v>0.25</v>
      </c>
      <c r="E141" s="76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6">
        <v>245.89</v>
      </c>
      <c r="D142" s="75">
        <v>0.25</v>
      </c>
      <c r="E142" s="76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6">
        <v>81.96</v>
      </c>
      <c r="D143" s="75">
        <v>0.25</v>
      </c>
      <c r="E143" s="76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6">
        <v>122.95</v>
      </c>
      <c r="D144" s="75">
        <v>0.25</v>
      </c>
      <c r="E144" s="76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6">
        <v>163.92</v>
      </c>
      <c r="D145" s="75">
        <v>0.25</v>
      </c>
      <c r="E145" s="76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6">
        <v>245.89</v>
      </c>
      <c r="D146" s="75">
        <v>0.25</v>
      </c>
      <c r="E146" s="76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6">
        <v>81.96</v>
      </c>
      <c r="D147" s="75">
        <v>0.25</v>
      </c>
      <c r="E147" s="76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6">
        <v>122.95</v>
      </c>
      <c r="D148" s="75">
        <v>0.25</v>
      </c>
      <c r="E148" s="76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6">
        <v>94.79</v>
      </c>
      <c r="D149" s="75">
        <v>0.25</v>
      </c>
      <c r="E149" s="76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6">
        <v>142.18</v>
      </c>
      <c r="D150" s="75">
        <v>0.25</v>
      </c>
      <c r="E150" s="76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6">
        <v>189.56</v>
      </c>
      <c r="D151" s="75">
        <v>0.25</v>
      </c>
      <c r="E151" s="76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6">
        <v>304.26</v>
      </c>
      <c r="D154" s="75">
        <v>0.25</v>
      </c>
      <c r="E154" s="76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6">
        <v>341.22</v>
      </c>
      <c r="D155" s="75">
        <v>0.25</v>
      </c>
      <c r="E155" s="76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6">
        <v>0</v>
      </c>
      <c r="D156" s="75">
        <v>0.25</v>
      </c>
      <c r="E156" s="76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6">
        <v>327.01</v>
      </c>
      <c r="D158" s="75">
        <v>0.25</v>
      </c>
      <c r="E158" s="76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6">
        <v>81.36</v>
      </c>
      <c r="D159" s="75">
        <v>0.25</v>
      </c>
      <c r="E159" s="76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6">
        <v>122.03</v>
      </c>
      <c r="D160" s="75">
        <v>0.25</v>
      </c>
      <c r="E160" s="76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6">
        <v>162.71</v>
      </c>
      <c r="D161" s="75">
        <v>0.25</v>
      </c>
      <c r="E161" s="76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6">
        <v>244.08</v>
      </c>
      <c r="D162" s="75">
        <v>0.25</v>
      </c>
      <c r="E162" s="76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6">
        <v>94.79</v>
      </c>
      <c r="D163" s="75">
        <v>0.25</v>
      </c>
      <c r="E163" s="76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6">
        <v>142.18</v>
      </c>
      <c r="D164" s="75">
        <v>0.25</v>
      </c>
      <c r="E164" s="76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6">
        <v>189.56</v>
      </c>
      <c r="D165" s="75">
        <v>0.25</v>
      </c>
      <c r="E165" s="76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6">
        <v>94.79</v>
      </c>
      <c r="D167" s="75">
        <v>0.25</v>
      </c>
      <c r="E167" s="76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6">
        <v>142.18</v>
      </c>
      <c r="D168" s="75">
        <v>0.25</v>
      </c>
      <c r="E168" s="76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6">
        <v>189.56</v>
      </c>
      <c r="D169" s="75">
        <v>0.25</v>
      </c>
      <c r="E169" s="76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6">
        <v>94.79</v>
      </c>
      <c r="D171" s="75">
        <v>0.25</v>
      </c>
      <c r="E171" s="76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6">
        <v>142.18</v>
      </c>
      <c r="D172" s="75">
        <v>0.25</v>
      </c>
      <c r="E172" s="76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6">
        <v>189.56</v>
      </c>
      <c r="D173" s="75">
        <v>0.25</v>
      </c>
      <c r="E173" s="76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6">
        <v>94.79</v>
      </c>
      <c r="D175" s="75">
        <v>0.25</v>
      </c>
      <c r="E175" s="76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6">
        <v>142.18</v>
      </c>
      <c r="D176" s="75">
        <v>0.25</v>
      </c>
      <c r="E176" s="76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6">
        <v>189.56</v>
      </c>
      <c r="D177" s="75">
        <v>0.25</v>
      </c>
      <c r="E177" s="76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6">
        <v>197.73</v>
      </c>
      <c r="D179" s="75">
        <v>0.25</v>
      </c>
      <c r="E179" s="76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6">
        <v>296.58999999999997</v>
      </c>
      <c r="D180" s="75">
        <v>0.25</v>
      </c>
      <c r="E180" s="76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6">
        <v>395.45</v>
      </c>
      <c r="D181" s="75">
        <v>0.25</v>
      </c>
      <c r="E181" s="76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6">
        <v>616.9</v>
      </c>
      <c r="D183" s="75">
        <v>0.25</v>
      </c>
      <c r="E183" s="76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6">
        <v>711.81</v>
      </c>
      <c r="D185" s="75">
        <v>0.25</v>
      </c>
      <c r="E185" s="76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6">
        <v>0</v>
      </c>
      <c r="D186" s="75">
        <v>0.25</v>
      </c>
      <c r="E186" s="76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6">
        <v>652.5</v>
      </c>
      <c r="D187" s="75">
        <v>0.25</v>
      </c>
      <c r="E187" s="76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6">
        <v>682.15</v>
      </c>
      <c r="D188" s="75">
        <v>0.25</v>
      </c>
      <c r="E188" s="76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6">
        <v>167.7</v>
      </c>
      <c r="D189" s="75">
        <v>0.25</v>
      </c>
      <c r="E189" s="76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6">
        <v>251.54</v>
      </c>
      <c r="D190" s="75">
        <v>0.25</v>
      </c>
      <c r="E190" s="76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6">
        <v>335.39</v>
      </c>
      <c r="D191" s="75">
        <v>0.25</v>
      </c>
      <c r="E191" s="76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6">
        <v>503.09</v>
      </c>
      <c r="D192" s="75">
        <v>0.25</v>
      </c>
      <c r="E192" s="76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6">
        <v>197.73</v>
      </c>
      <c r="D193" s="75">
        <v>0.25</v>
      </c>
      <c r="E193" s="76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6">
        <v>296.58999999999997</v>
      </c>
      <c r="D194" s="75">
        <v>0.25</v>
      </c>
      <c r="E194" s="76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6">
        <v>197.73</v>
      </c>
      <c r="D197" s="75">
        <v>0.25</v>
      </c>
      <c r="E197" s="76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6">
        <v>296.58999999999997</v>
      </c>
      <c r="D198" s="75">
        <v>0.25</v>
      </c>
      <c r="E198" s="76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6">
        <v>395.45</v>
      </c>
      <c r="D199" s="75">
        <v>0.25</v>
      </c>
      <c r="E199" s="76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6">
        <v>197.73</v>
      </c>
      <c r="D201" s="75">
        <v>0.25</v>
      </c>
      <c r="E201" s="76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6">
        <v>296.58999999999997</v>
      </c>
      <c r="D202" s="75">
        <v>0.25</v>
      </c>
      <c r="E202" s="76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6">
        <v>395.45</v>
      </c>
      <c r="D203" s="75">
        <v>0.25</v>
      </c>
      <c r="E203" s="76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6">
        <v>197.73</v>
      </c>
      <c r="D205" s="75">
        <v>0.25</v>
      </c>
      <c r="E205" s="76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6">
        <v>296.58999999999997</v>
      </c>
      <c r="D206" s="75">
        <v>0.25</v>
      </c>
      <c r="E206" s="76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6">
        <v>392.15</v>
      </c>
      <c r="D207" s="75">
        <v>0.25</v>
      </c>
      <c r="E207" s="76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6">
        <v>58.07</v>
      </c>
      <c r="D209" s="75">
        <v>0.25</v>
      </c>
      <c r="E209" s="76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6">
        <v>87.1</v>
      </c>
      <c r="D210" s="75">
        <v>0.25</v>
      </c>
      <c r="E210" s="76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6">
        <v>116.14</v>
      </c>
      <c r="D211" s="75">
        <v>0.25</v>
      </c>
      <c r="E211" s="76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6">
        <v>174.2</v>
      </c>
      <c r="D212" s="75">
        <v>0.25</v>
      </c>
      <c r="E212" s="76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6">
        <v>60.39</v>
      </c>
      <c r="D213" s="75">
        <v>0.25</v>
      </c>
      <c r="E213" s="76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6">
        <v>87.1</v>
      </c>
      <c r="D214" s="75">
        <v>0.25</v>
      </c>
      <c r="E214" s="76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6">
        <v>116.14</v>
      </c>
      <c r="D215" s="75">
        <v>0.25</v>
      </c>
      <c r="E215" s="76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6">
        <v>174.2</v>
      </c>
      <c r="D216" s="75">
        <v>0.25</v>
      </c>
      <c r="E216" s="76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6">
        <v>62.14</v>
      </c>
      <c r="D217" s="75">
        <v>0.25</v>
      </c>
      <c r="E217" s="76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6">
        <v>93.19</v>
      </c>
      <c r="D218" s="75">
        <v>0.25</v>
      </c>
      <c r="E218" s="76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6">
        <v>124.27</v>
      </c>
      <c r="D219" s="75">
        <v>0.25</v>
      </c>
      <c r="E219" s="76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6">
        <v>186.4</v>
      </c>
      <c r="D220" s="75">
        <v>0.25</v>
      </c>
      <c r="E220" s="76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6">
        <v>69.69</v>
      </c>
      <c r="D221" s="75">
        <v>0.25</v>
      </c>
      <c r="E221" s="76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6">
        <v>104.52</v>
      </c>
      <c r="D222" s="75">
        <v>0.25</v>
      </c>
      <c r="E222" s="76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6">
        <v>139.37</v>
      </c>
      <c r="D223" s="75">
        <v>0.25</v>
      </c>
      <c r="E223" s="76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6">
        <v>209.03</v>
      </c>
      <c r="D224" s="75">
        <v>0.25</v>
      </c>
      <c r="E224" s="76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6">
        <v>63.88</v>
      </c>
      <c r="D225" s="75">
        <v>0.25</v>
      </c>
      <c r="E225" s="76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6">
        <v>95.81</v>
      </c>
      <c r="D226" s="75">
        <v>0.25</v>
      </c>
      <c r="E226" s="76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6">
        <v>127.75</v>
      </c>
      <c r="D227" s="75">
        <v>0.25</v>
      </c>
      <c r="E227" s="76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6">
        <v>191.62</v>
      </c>
      <c r="D228" s="75">
        <v>0.25</v>
      </c>
      <c r="E228" s="76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6">
        <v>66.78</v>
      </c>
      <c r="D229" s="75">
        <v>0.25</v>
      </c>
      <c r="E229" s="76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6">
        <v>100.17</v>
      </c>
      <c r="D230" s="75">
        <v>0.25</v>
      </c>
      <c r="E230" s="76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6">
        <v>133.56</v>
      </c>
      <c r="D231" s="75">
        <v>0.25</v>
      </c>
      <c r="E231" s="76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6">
        <v>200.32</v>
      </c>
      <c r="D232" s="75">
        <v>0.25</v>
      </c>
      <c r="E232" s="76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6">
        <v>77.63</v>
      </c>
      <c r="D233" s="75">
        <v>0.25</v>
      </c>
      <c r="E233" s="76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6">
        <v>116.42</v>
      </c>
      <c r="D234" s="75">
        <v>0.25</v>
      </c>
      <c r="E234" s="76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6">
        <v>155.24</v>
      </c>
      <c r="D235" s="75">
        <v>0.25</v>
      </c>
      <c r="E235" s="76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6">
        <v>232.86</v>
      </c>
      <c r="D236" s="75">
        <v>0.25</v>
      </c>
      <c r="E236" s="76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6">
        <v>80.73</v>
      </c>
      <c r="D237" s="75">
        <v>0.25</v>
      </c>
      <c r="E237" s="76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6">
        <v>121.08</v>
      </c>
      <c r="D238" s="75">
        <v>0.25</v>
      </c>
      <c r="E238" s="76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6">
        <v>161.46</v>
      </c>
      <c r="D239" s="75">
        <v>0.25</v>
      </c>
      <c r="E239" s="76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6">
        <v>242.18</v>
      </c>
      <c r="D240" s="75">
        <v>0.25</v>
      </c>
      <c r="E240" s="76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6">
        <v>83.06</v>
      </c>
      <c r="D241" s="75">
        <v>0.25</v>
      </c>
      <c r="E241" s="76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6">
        <v>124.58</v>
      </c>
      <c r="D242" s="75">
        <v>0.25</v>
      </c>
      <c r="E242" s="76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6">
        <v>166.11</v>
      </c>
      <c r="D243" s="75">
        <v>0.25</v>
      </c>
      <c r="E243" s="76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6">
        <v>249.16</v>
      </c>
      <c r="D244" s="75">
        <v>0.25</v>
      </c>
      <c r="E244" s="76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6">
        <v>93.15</v>
      </c>
      <c r="D245" s="75">
        <v>0.25</v>
      </c>
      <c r="E245" s="76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6">
        <v>139.71</v>
      </c>
      <c r="D246" s="75">
        <v>0.25</v>
      </c>
      <c r="E246" s="76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6">
        <v>186.3</v>
      </c>
      <c r="D247" s="75">
        <v>0.25</v>
      </c>
      <c r="E247" s="76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6">
        <v>279.43</v>
      </c>
      <c r="D248" s="75">
        <v>0.25</v>
      </c>
      <c r="E248" s="76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6">
        <v>85.39</v>
      </c>
      <c r="D249" s="75">
        <v>0.25</v>
      </c>
      <c r="E249" s="76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6">
        <v>128.06</v>
      </c>
      <c r="D250" s="75">
        <v>0.25</v>
      </c>
      <c r="E250" s="76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6">
        <v>170.76</v>
      </c>
      <c r="D251" s="75">
        <v>0.25</v>
      </c>
      <c r="E251" s="76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6">
        <v>89.28</v>
      </c>
      <c r="D253" s="75">
        <v>0.25</v>
      </c>
      <c r="E253" s="76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6">
        <v>178.53</v>
      </c>
      <c r="D255" s="75">
        <v>0.25</v>
      </c>
      <c r="E255" s="76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6">
        <v>153.91</v>
      </c>
      <c r="D257" s="75">
        <v>0.25</v>
      </c>
      <c r="E257" s="76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6">
        <v>230.87</v>
      </c>
      <c r="D258" s="75">
        <v>0.25</v>
      </c>
      <c r="E258" s="76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6">
        <v>461.74</v>
      </c>
      <c r="D260" s="75">
        <v>0.25</v>
      </c>
      <c r="E260" s="76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6">
        <v>160.07</v>
      </c>
      <c r="D261" s="75">
        <v>0.25</v>
      </c>
      <c r="E261" s="76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6">
        <v>240.11</v>
      </c>
      <c r="D262" s="75">
        <v>0.25</v>
      </c>
      <c r="E262" s="76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6">
        <v>320.13</v>
      </c>
      <c r="D263" s="75">
        <v>0.25</v>
      </c>
      <c r="E263" s="76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6">
        <v>480.21</v>
      </c>
      <c r="D264" s="75">
        <v>0.25</v>
      </c>
      <c r="E264" s="76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6">
        <v>164.68</v>
      </c>
      <c r="D265" s="75">
        <v>0.25</v>
      </c>
      <c r="E265" s="76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6">
        <v>247.03</v>
      </c>
      <c r="D266" s="75">
        <v>0.25</v>
      </c>
      <c r="E266" s="76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6">
        <v>329.37</v>
      </c>
      <c r="D267" s="75">
        <v>0.25</v>
      </c>
      <c r="E267" s="76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6">
        <v>494.05</v>
      </c>
      <c r="D268" s="75">
        <v>0.25</v>
      </c>
      <c r="E268" s="76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6">
        <v>184.69</v>
      </c>
      <c r="D269" s="75">
        <v>0.25</v>
      </c>
      <c r="E269" s="76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6">
        <v>277.05</v>
      </c>
      <c r="D270" s="75">
        <v>0.25</v>
      </c>
      <c r="E270" s="76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6">
        <v>369.39</v>
      </c>
      <c r="D271" s="75">
        <v>0.25</v>
      </c>
      <c r="E271" s="76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6">
        <v>169.3</v>
      </c>
      <c r="D273" s="75">
        <v>0.25</v>
      </c>
      <c r="E273" s="76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6">
        <v>253.96</v>
      </c>
      <c r="D274" s="75">
        <v>0.25</v>
      </c>
      <c r="E274" s="76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6">
        <v>338.6</v>
      </c>
      <c r="D275" s="75">
        <v>0.25</v>
      </c>
      <c r="E275" s="76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6">
        <v>507.91</v>
      </c>
      <c r="D276" s="75">
        <v>0.25</v>
      </c>
      <c r="E276" s="76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6">
        <v>177</v>
      </c>
      <c r="D277" s="75">
        <v>0.25</v>
      </c>
      <c r="E277" s="76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6">
        <v>265.5</v>
      </c>
      <c r="D278" s="75">
        <v>0.25</v>
      </c>
      <c r="E278" s="76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6">
        <v>354</v>
      </c>
      <c r="D279" s="75">
        <v>0.25</v>
      </c>
      <c r="E279" s="76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6">
        <v>530.99</v>
      </c>
      <c r="D280" s="75">
        <v>0.25</v>
      </c>
      <c r="E280" s="76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6">
        <v>15.65</v>
      </c>
      <c r="D281" s="75">
        <v>0.25</v>
      </c>
      <c r="E281" s="76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6">
        <v>1.89</v>
      </c>
      <c r="D282" s="75">
        <v>0.25</v>
      </c>
      <c r="E282" s="76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6">
        <v>15.55</v>
      </c>
      <c r="D283" s="75">
        <v>0.25</v>
      </c>
      <c r="E283" s="76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6">
        <v>4.57</v>
      </c>
      <c r="D284" s="75">
        <v>0.25</v>
      </c>
      <c r="E284" s="76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6">
        <v>173.75</v>
      </c>
      <c r="D285" s="75">
        <v>0.25</v>
      </c>
      <c r="E285" s="76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6">
        <v>173.75</v>
      </c>
      <c r="D286" s="75">
        <v>0.25</v>
      </c>
      <c r="E286" s="76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6">
        <v>173.75</v>
      </c>
      <c r="D287" s="75">
        <v>0.25</v>
      </c>
      <c r="E287" s="76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6">
        <v>292.39</v>
      </c>
      <c r="D289" s="75">
        <v>0.25</v>
      </c>
      <c r="E289" s="76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6">
        <v>292.39</v>
      </c>
      <c r="D290" s="75">
        <v>0.25</v>
      </c>
      <c r="E290" s="76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6">
        <v>0</v>
      </c>
      <c r="D291" s="75">
        <v>0.25</v>
      </c>
      <c r="E291" s="76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6">
        <v>0</v>
      </c>
      <c r="D292" s="75">
        <v>0.25</v>
      </c>
      <c r="E292" s="76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6">
        <v>304.08</v>
      </c>
      <c r="D293" s="75">
        <v>0.25</v>
      </c>
      <c r="E293" s="76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6">
        <v>312.86</v>
      </c>
      <c r="D294" s="75">
        <v>0.25</v>
      </c>
      <c r="E294" s="76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6">
        <v>350.87</v>
      </c>
      <c r="D295" s="75">
        <v>0.25</v>
      </c>
      <c r="E295" s="76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6">
        <v>321.63</v>
      </c>
      <c r="D296" s="75">
        <v>0.25</v>
      </c>
      <c r="E296" s="76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6">
        <v>336.25</v>
      </c>
      <c r="D297" s="75">
        <v>0.25</v>
      </c>
      <c r="E297" s="76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6">
        <v>292.39</v>
      </c>
      <c r="D298" s="75">
        <v>0.25</v>
      </c>
      <c r="E298" s="76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6">
        <v>292.39</v>
      </c>
      <c r="D299" s="75">
        <v>0.25</v>
      </c>
      <c r="E299" s="76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6">
        <v>292.39</v>
      </c>
      <c r="D300" s="75">
        <v>0.25</v>
      </c>
      <c r="E300" s="76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6">
        <v>292.39</v>
      </c>
      <c r="D301" s="75">
        <v>0.25</v>
      </c>
      <c r="E301" s="76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6">
        <v>292.39</v>
      </c>
      <c r="D302" s="75">
        <v>0.25</v>
      </c>
      <c r="E302" s="76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6">
        <v>292.39</v>
      </c>
      <c r="D303" s="75">
        <v>0.25</v>
      </c>
      <c r="E303" s="76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6">
        <v>292.39</v>
      </c>
      <c r="D304" s="75">
        <v>0.25</v>
      </c>
      <c r="E304" s="76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6">
        <v>292.39</v>
      </c>
      <c r="D305" s="75">
        <v>0.25</v>
      </c>
      <c r="E305" s="76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6">
        <v>292.39</v>
      </c>
      <c r="D306" s="75">
        <v>0.25</v>
      </c>
      <c r="E306" s="76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6">
        <v>0</v>
      </c>
      <c r="D307" s="75">
        <v>0.25</v>
      </c>
      <c r="E307" s="76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6">
        <v>0</v>
      </c>
      <c r="D308" s="75">
        <v>0.25</v>
      </c>
      <c r="E308" s="76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6">
        <v>304.08</v>
      </c>
      <c r="D309" s="75">
        <v>0.25</v>
      </c>
      <c r="E309" s="76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6">
        <v>312.86</v>
      </c>
      <c r="D310" s="75">
        <v>0.25</v>
      </c>
      <c r="E310" s="76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6">
        <v>350.87</v>
      </c>
      <c r="D311" s="75">
        <v>0.25</v>
      </c>
      <c r="E311" s="76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6">
        <v>321.63</v>
      </c>
      <c r="D312" s="75">
        <v>0.25</v>
      </c>
      <c r="E312" s="76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6">
        <v>336.25</v>
      </c>
      <c r="D313" s="75">
        <v>0.25</v>
      </c>
      <c r="E313" s="76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6">
        <v>292.39</v>
      </c>
      <c r="D314" s="75">
        <v>0.25</v>
      </c>
      <c r="E314" s="76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6">
        <v>292.39</v>
      </c>
      <c r="D315" s="75">
        <v>0.25</v>
      </c>
      <c r="E315" s="76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6">
        <v>292.39</v>
      </c>
      <c r="D316" s="75">
        <v>0.25</v>
      </c>
      <c r="E316" s="76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6">
        <v>292.39</v>
      </c>
      <c r="D317" s="75">
        <v>0.25</v>
      </c>
      <c r="E317" s="76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6">
        <v>292.39</v>
      </c>
      <c r="D318" s="75">
        <v>0.25</v>
      </c>
      <c r="E318" s="76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6">
        <v>292.39</v>
      </c>
      <c r="D319" s="75">
        <v>0.25</v>
      </c>
      <c r="E319" s="76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6">
        <v>58.2</v>
      </c>
      <c r="D320" s="75">
        <v>0.25</v>
      </c>
      <c r="E320" s="76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6">
        <v>58.2</v>
      </c>
      <c r="D321" s="75">
        <v>0.25</v>
      </c>
      <c r="E321" s="76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6">
        <v>58.18</v>
      </c>
      <c r="D322" s="75">
        <v>0.25</v>
      </c>
      <c r="E322" s="76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6">
        <v>1.57</v>
      </c>
      <c r="D324" s="75">
        <v>0.25</v>
      </c>
      <c r="E324" s="76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6">
        <v>11.48</v>
      </c>
      <c r="D325" s="75">
        <v>0.25</v>
      </c>
      <c r="E325" s="76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6">
        <v>11.48</v>
      </c>
      <c r="D326" s="75">
        <v>0.25</v>
      </c>
      <c r="E326" s="76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6">
        <v>0</v>
      </c>
      <c r="D327" s="75">
        <v>0.25</v>
      </c>
      <c r="E327" s="76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6">
        <v>11.95</v>
      </c>
      <c r="D328" s="75">
        <v>0.25</v>
      </c>
      <c r="E328" s="76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6">
        <v>12.29</v>
      </c>
      <c r="D329" s="75">
        <v>0.25</v>
      </c>
      <c r="E329" s="76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6">
        <v>13.78</v>
      </c>
      <c r="D330" s="75">
        <v>0.25</v>
      </c>
      <c r="E330" s="76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6">
        <v>12.63</v>
      </c>
      <c r="D331" s="75">
        <v>0.25</v>
      </c>
      <c r="E331" s="76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6">
        <v>13.21</v>
      </c>
      <c r="D332" s="75">
        <v>0.25</v>
      </c>
      <c r="E332" s="76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6">
        <v>11.48</v>
      </c>
      <c r="D333" s="75">
        <v>0.25</v>
      </c>
      <c r="E333" s="76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6">
        <v>11.48</v>
      </c>
      <c r="D334" s="75">
        <v>0.25</v>
      </c>
      <c r="E334" s="76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6">
        <v>18.48</v>
      </c>
      <c r="D335" s="75">
        <v>0.25</v>
      </c>
      <c r="E335" s="76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6">
        <v>18.48</v>
      </c>
      <c r="D336" s="75">
        <v>0.25</v>
      </c>
      <c r="E336" s="76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6">
        <v>0</v>
      </c>
      <c r="D337" s="75">
        <v>0.25</v>
      </c>
      <c r="E337" s="76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6">
        <v>18.48</v>
      </c>
      <c r="D338" s="75">
        <v>0.25</v>
      </c>
      <c r="E338" s="76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6">
        <v>18.48</v>
      </c>
      <c r="D339" s="75">
        <v>0.25</v>
      </c>
      <c r="E339" s="76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6">
        <v>18.48</v>
      </c>
      <c r="D340" s="75">
        <v>0.25</v>
      </c>
      <c r="E340" s="76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6">
        <v>18.48</v>
      </c>
      <c r="D341" s="75">
        <v>0.25</v>
      </c>
      <c r="E341" s="76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6">
        <v>0</v>
      </c>
      <c r="D342" s="75">
        <v>0.25</v>
      </c>
      <c r="E342" s="76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6">
        <v>0</v>
      </c>
      <c r="D343" s="75">
        <v>0.25</v>
      </c>
      <c r="E343" s="76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6">
        <v>18.48</v>
      </c>
      <c r="D344" s="75">
        <v>0.25</v>
      </c>
      <c r="E344" s="76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6">
        <v>18.48</v>
      </c>
      <c r="D345" s="75">
        <v>0.25</v>
      </c>
      <c r="E345" s="76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6">
        <v>22.18</v>
      </c>
      <c r="D346" s="75">
        <v>0.25</v>
      </c>
      <c r="E346" s="76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6">
        <v>39.94</v>
      </c>
      <c r="D347" s="75">
        <v>0.25</v>
      </c>
      <c r="E347" s="76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6">
        <v>23.43</v>
      </c>
      <c r="D348" s="75">
        <v>0.25</v>
      </c>
      <c r="E348" s="76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6">
        <v>29.27</v>
      </c>
      <c r="D349" s="75">
        <v>0.25</v>
      </c>
      <c r="E349" s="76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6">
        <v>42.49</v>
      </c>
      <c r="D352" s="75">
        <v>0.25</v>
      </c>
      <c r="E352" s="76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6">
        <v>42.49</v>
      </c>
      <c r="D353" s="75">
        <v>0.25</v>
      </c>
      <c r="E353" s="76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6">
        <v>47.71</v>
      </c>
      <c r="D354" s="75">
        <v>0.25</v>
      </c>
      <c r="E354" s="76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6">
        <v>15.54</v>
      </c>
      <c r="D355" s="75">
        <v>0.25</v>
      </c>
      <c r="E355" s="76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6">
        <v>39.29</v>
      </c>
      <c r="D356" s="75">
        <v>0.25</v>
      </c>
      <c r="E356" s="76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6">
        <v>43.16</v>
      </c>
      <c r="D357" s="75">
        <v>0.25</v>
      </c>
      <c r="E357" s="76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6">
        <v>3.07</v>
      </c>
      <c r="D358" s="75">
        <v>0.25</v>
      </c>
      <c r="E358" s="76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6">
        <v>1.36</v>
      </c>
      <c r="D359" s="75">
        <v>0.25</v>
      </c>
      <c r="E359" s="76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6">
        <v>1.07</v>
      </c>
      <c r="D361" s="75">
        <v>0.25</v>
      </c>
      <c r="E361" s="76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6">
        <v>16.78</v>
      </c>
      <c r="D362" s="75">
        <v>0.25</v>
      </c>
      <c r="E362" s="76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6">
        <v>16.78</v>
      </c>
      <c r="D363" s="75">
        <v>0.25</v>
      </c>
      <c r="E363" s="76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6">
        <v>16.78</v>
      </c>
      <c r="D364" s="75">
        <v>0.25</v>
      </c>
      <c r="E364" s="76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6">
        <v>16.78</v>
      </c>
      <c r="D365" s="75">
        <v>0.25</v>
      </c>
      <c r="E365" s="76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6">
        <v>1.07</v>
      </c>
      <c r="D366" s="75">
        <v>0.25</v>
      </c>
      <c r="E366" s="76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6">
        <v>99.37</v>
      </c>
      <c r="D367" s="75">
        <v>0.25</v>
      </c>
      <c r="E367" s="76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6">
        <v>99.37</v>
      </c>
      <c r="D368" s="75">
        <v>0.25</v>
      </c>
      <c r="E368" s="76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6">
        <v>68.92</v>
      </c>
      <c r="D369" s="75">
        <v>0.25</v>
      </c>
      <c r="E369" s="76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6">
        <v>68.92</v>
      </c>
      <c r="D370" s="75">
        <v>0.25</v>
      </c>
      <c r="E370" s="76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6">
        <v>78.83</v>
      </c>
      <c r="D371" s="75">
        <v>0.25</v>
      </c>
      <c r="E371" s="76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6">
        <v>81.98</v>
      </c>
      <c r="D372" s="75">
        <v>0.25</v>
      </c>
      <c r="E372" s="76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6">
        <v>84.35</v>
      </c>
      <c r="D373" s="75">
        <v>0.25</v>
      </c>
      <c r="E373" s="76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6">
        <v>94.59</v>
      </c>
      <c r="D374" s="75">
        <v>0.25</v>
      </c>
      <c r="E374" s="76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6">
        <v>86.71</v>
      </c>
      <c r="D375" s="75">
        <v>0.25</v>
      </c>
      <c r="E375" s="76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6">
        <v>90.65</v>
      </c>
      <c r="D376" s="75">
        <v>0.25</v>
      </c>
      <c r="E376" s="76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6">
        <v>78.83</v>
      </c>
      <c r="D377" s="75">
        <v>0.25</v>
      </c>
      <c r="E377" s="76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6">
        <v>78.83</v>
      </c>
      <c r="D378" s="75">
        <v>0.25</v>
      </c>
      <c r="E378" s="76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6">
        <v>71.39</v>
      </c>
      <c r="D379" s="75">
        <v>0.25</v>
      </c>
      <c r="E379" s="76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6">
        <v>71.39</v>
      </c>
      <c r="D380" s="75">
        <v>0.25</v>
      </c>
      <c r="E380" s="76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6">
        <v>71.39</v>
      </c>
      <c r="D381" s="75">
        <v>0.25</v>
      </c>
      <c r="E381" s="76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6">
        <v>71.39</v>
      </c>
      <c r="D382" s="75">
        <v>0.25</v>
      </c>
      <c r="E382" s="76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6">
        <v>78.83</v>
      </c>
      <c r="D383" s="75">
        <v>0.25</v>
      </c>
      <c r="E383" s="76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6">
        <v>78.83</v>
      </c>
      <c r="D384" s="75">
        <v>0.25</v>
      </c>
      <c r="E384" s="76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6">
        <v>0</v>
      </c>
      <c r="D385" s="75">
        <v>0.25</v>
      </c>
      <c r="E385" s="76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6">
        <v>81.98</v>
      </c>
      <c r="D386" s="75">
        <v>0.25</v>
      </c>
      <c r="E386" s="76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6">
        <v>94.59</v>
      </c>
      <c r="D388" s="75">
        <v>0.25</v>
      </c>
      <c r="E388" s="76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6">
        <v>86.71</v>
      </c>
      <c r="D389" s="75">
        <v>0.25</v>
      </c>
      <c r="E389" s="76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6">
        <v>90.65</v>
      </c>
      <c r="D390" s="75">
        <v>0.25</v>
      </c>
      <c r="E390" s="76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6">
        <v>78.83</v>
      </c>
      <c r="D391" s="75">
        <v>0.25</v>
      </c>
      <c r="E391" s="76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6">
        <v>78.83</v>
      </c>
      <c r="D392" s="75">
        <v>0.25</v>
      </c>
      <c r="E392" s="76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6">
        <v>69.34</v>
      </c>
      <c r="D393" s="75">
        <v>0.25</v>
      </c>
      <c r="E393" s="76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6">
        <v>69.34</v>
      </c>
      <c r="D394" s="75">
        <v>0.25</v>
      </c>
      <c r="E394" s="76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6">
        <v>69.34</v>
      </c>
      <c r="D395" s="75">
        <v>0.25</v>
      </c>
      <c r="E395" s="76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6">
        <v>69.34</v>
      </c>
      <c r="D396" s="75">
        <v>0.25</v>
      </c>
      <c r="E396" s="76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6">
        <v>69.34</v>
      </c>
      <c r="D397" s="75">
        <v>0.25</v>
      </c>
      <c r="E397" s="76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6">
        <v>69.34</v>
      </c>
      <c r="D398" s="75">
        <v>0.25</v>
      </c>
      <c r="E398" s="76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6">
        <v>0</v>
      </c>
      <c r="D399" s="75">
        <v>0.25</v>
      </c>
      <c r="E399" s="76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6">
        <v>72.12</v>
      </c>
      <c r="D400" s="75">
        <v>0.25</v>
      </c>
      <c r="E400" s="76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6">
        <v>74.2</v>
      </c>
      <c r="D401" s="75">
        <v>0.25</v>
      </c>
      <c r="E401" s="76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6">
        <v>83.22</v>
      </c>
      <c r="D402" s="75">
        <v>0.25</v>
      </c>
      <c r="E402" s="76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6">
        <v>76.27</v>
      </c>
      <c r="D403" s="75">
        <v>0.25</v>
      </c>
      <c r="E403" s="76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6">
        <v>79.75</v>
      </c>
      <c r="D404" s="75">
        <v>0.25</v>
      </c>
      <c r="E404" s="76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6">
        <v>69.34</v>
      </c>
      <c r="D405" s="75">
        <v>0.25</v>
      </c>
      <c r="E405" s="76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6">
        <v>69.34</v>
      </c>
      <c r="D406" s="75">
        <v>0.25</v>
      </c>
      <c r="E406" s="76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6">
        <v>16.5</v>
      </c>
      <c r="D407" s="75">
        <v>0.25</v>
      </c>
      <c r="E407" s="76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6">
        <v>16.5</v>
      </c>
      <c r="D408" s="75">
        <v>0.25</v>
      </c>
      <c r="E408" s="76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6">
        <v>16.5</v>
      </c>
      <c r="D409" s="75">
        <v>0.25</v>
      </c>
      <c r="E409" s="76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6">
        <v>16.5</v>
      </c>
      <c r="D410" s="75">
        <v>0.25</v>
      </c>
      <c r="E410" s="76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6">
        <v>13.98</v>
      </c>
      <c r="D411" s="75">
        <v>0.25</v>
      </c>
      <c r="E411" s="76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6">
        <v>13.98</v>
      </c>
      <c r="D412" s="75">
        <v>0.25</v>
      </c>
      <c r="E412" s="76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6">
        <v>1.3</v>
      </c>
      <c r="D413" s="75">
        <v>0.25</v>
      </c>
      <c r="E413" s="76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6">
        <v>1.3</v>
      </c>
      <c r="D414" s="75">
        <v>0.25</v>
      </c>
      <c r="E414" s="76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6">
        <v>1.3</v>
      </c>
      <c r="D415" s="75">
        <v>0.25</v>
      </c>
      <c r="E415" s="76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6">
        <v>12.49</v>
      </c>
      <c r="D416" s="75">
        <v>0.25</v>
      </c>
      <c r="E416" s="76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6">
        <v>18.72</v>
      </c>
      <c r="D417" s="75">
        <v>0.25</v>
      </c>
      <c r="E417" s="76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6">
        <v>25.22</v>
      </c>
      <c r="D418" s="75">
        <v>0.25</v>
      </c>
      <c r="E418" s="76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6">
        <v>21.2</v>
      </c>
      <c r="D419" s="75">
        <v>0.25</v>
      </c>
      <c r="E419" s="76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6">
        <v>46.24</v>
      </c>
      <c r="D420" s="75">
        <v>0.25</v>
      </c>
      <c r="E420" s="76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6">
        <v>0</v>
      </c>
      <c r="D421" s="75">
        <v>0.25</v>
      </c>
      <c r="E421" s="76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6">
        <v>0</v>
      </c>
      <c r="D422" s="75">
        <v>0.25</v>
      </c>
      <c r="E422" s="76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6">
        <v>36.17</v>
      </c>
      <c r="D423" s="75">
        <v>0.25</v>
      </c>
      <c r="E423" s="76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6">
        <v>63.69</v>
      </c>
      <c r="D424" s="75">
        <v>0.25</v>
      </c>
      <c r="E424" s="76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6">
        <v>57.63</v>
      </c>
      <c r="D425" s="75">
        <v>0.25</v>
      </c>
      <c r="E425" s="76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6">
        <v>60.67</v>
      </c>
      <c r="D427" s="75">
        <v>0.25</v>
      </c>
      <c r="E427" s="76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6">
        <v>60.67</v>
      </c>
      <c r="D428" s="75">
        <v>0.25</v>
      </c>
      <c r="E428" s="76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6">
        <v>63.69</v>
      </c>
      <c r="D429" s="75">
        <v>0.25</v>
      </c>
      <c r="E429" s="76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6">
        <v>63.69</v>
      </c>
      <c r="D430" s="75">
        <v>0.25</v>
      </c>
      <c r="E430" s="76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6">
        <v>26.3</v>
      </c>
      <c r="D432" s="75">
        <v>0.25</v>
      </c>
      <c r="E432" s="76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6">
        <v>60.07</v>
      </c>
      <c r="D433" s="75">
        <v>0.25</v>
      </c>
      <c r="E433" s="76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6">
        <v>30.82</v>
      </c>
      <c r="D435" s="75">
        <v>0.25</v>
      </c>
      <c r="E435" s="76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6">
        <v>46.24</v>
      </c>
      <c r="D436" s="75">
        <v>0.25</v>
      </c>
      <c r="E436" s="76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6">
        <v>39.78</v>
      </c>
      <c r="D437" s="75">
        <v>0.25</v>
      </c>
      <c r="E437" s="76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6">
        <v>41.38</v>
      </c>
      <c r="D438" s="75">
        <v>0.25</v>
      </c>
      <c r="E438" s="76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6">
        <v>43.58</v>
      </c>
      <c r="D439" s="75">
        <v>0.25</v>
      </c>
      <c r="E439" s="76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6">
        <v>51.2</v>
      </c>
      <c r="D440" s="75">
        <v>0.25</v>
      </c>
      <c r="E440" s="76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6">
        <v>82.17</v>
      </c>
      <c r="D441" s="75">
        <v>0.25</v>
      </c>
      <c r="E441" s="76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6">
        <v>75.58</v>
      </c>
      <c r="D442" s="75">
        <v>0.25</v>
      </c>
      <c r="E442" s="76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6">
        <v>89.89</v>
      </c>
      <c r="D443" s="75">
        <v>0.25</v>
      </c>
      <c r="E443" s="76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6">
        <v>78.87</v>
      </c>
      <c r="D444" s="75">
        <v>0.25</v>
      </c>
      <c r="E444" s="76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6">
        <v>78.87</v>
      </c>
      <c r="D445" s="75">
        <v>0.25</v>
      </c>
      <c r="E445" s="76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6">
        <v>82.17</v>
      </c>
      <c r="D446" s="75">
        <v>0.25</v>
      </c>
      <c r="E446" s="76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6">
        <v>82.17</v>
      </c>
      <c r="D447" s="75">
        <v>0.25</v>
      </c>
      <c r="E447" s="76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6">
        <v>54.91</v>
      </c>
      <c r="D448" s="75">
        <v>0.25</v>
      </c>
      <c r="E448" s="76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6">
        <v>27.24</v>
      </c>
      <c r="D449" s="75">
        <v>0.25</v>
      </c>
      <c r="E449" s="76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6">
        <v>67.05</v>
      </c>
      <c r="D452" s="75">
        <v>0.25</v>
      </c>
      <c r="E452" s="76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6">
        <v>81.87</v>
      </c>
      <c r="D456" s="75">
        <v>0.25</v>
      </c>
      <c r="E456" s="76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6">
        <v>96.01</v>
      </c>
      <c r="D457" s="75">
        <v>0.25</v>
      </c>
      <c r="E457" s="76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6">
        <v>134.71</v>
      </c>
      <c r="D458" s="75">
        <v>0.25</v>
      </c>
      <c r="E458" s="76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6">
        <v>127.04</v>
      </c>
      <c r="D459" s="75">
        <v>0.25</v>
      </c>
      <c r="E459" s="76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6">
        <v>143.69</v>
      </c>
      <c r="D460" s="75">
        <v>0.25</v>
      </c>
      <c r="E460" s="76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6">
        <v>130.87</v>
      </c>
      <c r="D461" s="75">
        <v>0.25</v>
      </c>
      <c r="E461" s="76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6">
        <v>130.87</v>
      </c>
      <c r="D462" s="75">
        <v>0.25</v>
      </c>
      <c r="E462" s="76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6">
        <v>134.71</v>
      </c>
      <c r="D463" s="75">
        <v>0.25</v>
      </c>
      <c r="E463" s="76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6">
        <v>134.71</v>
      </c>
      <c r="D464" s="75">
        <v>0.25</v>
      </c>
      <c r="E464" s="76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6">
        <v>102.89</v>
      </c>
      <c r="D465" s="75">
        <v>0.25</v>
      </c>
      <c r="E465" s="76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6">
        <v>126.9</v>
      </c>
      <c r="D467" s="75">
        <v>0.25</v>
      </c>
      <c r="E467" s="76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6">
        <v>44.61</v>
      </c>
      <c r="D468" s="75">
        <v>0.25</v>
      </c>
      <c r="E468" s="76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6">
        <v>49.37</v>
      </c>
      <c r="D470" s="75">
        <v>0.25</v>
      </c>
      <c r="E470" s="76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6">
        <v>51.18</v>
      </c>
      <c r="D471" s="75">
        <v>0.25</v>
      </c>
      <c r="E471" s="76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6">
        <v>53.68</v>
      </c>
      <c r="D472" s="75">
        <v>0.25</v>
      </c>
      <c r="E472" s="76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6">
        <v>62.33</v>
      </c>
      <c r="D473" s="75">
        <v>0.25</v>
      </c>
      <c r="E473" s="76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6">
        <v>103.49</v>
      </c>
      <c r="D474" s="75">
        <v>0.25</v>
      </c>
      <c r="E474" s="76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6">
        <v>94.7</v>
      </c>
      <c r="D475" s="75">
        <v>0.25</v>
      </c>
      <c r="E475" s="76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6">
        <v>113.8</v>
      </c>
      <c r="D476" s="75">
        <v>0.25</v>
      </c>
      <c r="E476" s="76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6">
        <v>99.09</v>
      </c>
      <c r="D477" s="75">
        <v>0.25</v>
      </c>
      <c r="E477" s="76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6">
        <v>99.09</v>
      </c>
      <c r="D478" s="75">
        <v>0.25</v>
      </c>
      <c r="E478" s="76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6">
        <v>103.49</v>
      </c>
      <c r="D479" s="75">
        <v>0.25</v>
      </c>
      <c r="E479" s="76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6">
        <v>103.49</v>
      </c>
      <c r="D480" s="75">
        <v>0.25</v>
      </c>
      <c r="E480" s="76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6">
        <v>46.36</v>
      </c>
      <c r="D482" s="75">
        <v>0.25</v>
      </c>
      <c r="E482" s="76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6">
        <v>97.21</v>
      </c>
      <c r="D483" s="75">
        <v>0.25</v>
      </c>
      <c r="E483" s="76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6">
        <v>160.47</v>
      </c>
      <c r="D484" s="75">
        <v>0.25</v>
      </c>
      <c r="E484" s="76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6">
        <v>195.05</v>
      </c>
      <c r="D486" s="75">
        <v>0.25</v>
      </c>
      <c r="E486" s="76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6">
        <v>183.74</v>
      </c>
      <c r="D487" s="75">
        <v>0.25</v>
      </c>
      <c r="E487" s="76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6">
        <v>192.59</v>
      </c>
      <c r="D488" s="75">
        <v>0.25</v>
      </c>
      <c r="E488" s="76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6">
        <v>223.25</v>
      </c>
      <c r="D489" s="75">
        <v>0.25</v>
      </c>
      <c r="E489" s="76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6">
        <v>313.81</v>
      </c>
      <c r="D490" s="75">
        <v>0.25</v>
      </c>
      <c r="E490" s="76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6">
        <v>302.58999999999997</v>
      </c>
      <c r="D491" s="75">
        <v>0.25</v>
      </c>
      <c r="E491" s="76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6">
        <v>326.93</v>
      </c>
      <c r="D492" s="75">
        <v>0.25</v>
      </c>
      <c r="E492" s="76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6">
        <v>308.17</v>
      </c>
      <c r="D493" s="75">
        <v>0.25</v>
      </c>
      <c r="E493" s="76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6">
        <v>308.17</v>
      </c>
      <c r="D494" s="75">
        <v>0.25</v>
      </c>
      <c r="E494" s="76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6">
        <v>313.81</v>
      </c>
      <c r="D495" s="75">
        <v>0.25</v>
      </c>
      <c r="E495" s="76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6">
        <v>313.81</v>
      </c>
      <c r="D496" s="75">
        <v>0.25</v>
      </c>
      <c r="E496" s="76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6">
        <v>238.16</v>
      </c>
      <c r="D497" s="75">
        <v>0.25</v>
      </c>
      <c r="E497" s="76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6">
        <v>166.65</v>
      </c>
      <c r="D498" s="75">
        <v>0.25</v>
      </c>
      <c r="E498" s="76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6">
        <v>175.96</v>
      </c>
      <c r="D501" s="75">
        <v>0.25</v>
      </c>
      <c r="E501" s="76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6">
        <v>263.93</v>
      </c>
      <c r="D502" s="75">
        <v>0.25</v>
      </c>
      <c r="E502" s="76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6">
        <v>351.9</v>
      </c>
      <c r="D503" s="75">
        <v>0.25</v>
      </c>
      <c r="E503" s="76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6">
        <v>527.86</v>
      </c>
      <c r="D504" s="75">
        <v>0.25</v>
      </c>
      <c r="E504" s="76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6">
        <v>183</v>
      </c>
      <c r="D505" s="75">
        <v>0.25</v>
      </c>
      <c r="E505" s="76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6">
        <v>274.49</v>
      </c>
      <c r="D506" s="75">
        <v>0.25</v>
      </c>
      <c r="E506" s="76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6">
        <v>365.98</v>
      </c>
      <c r="D507" s="75">
        <v>0.25</v>
      </c>
      <c r="E507" s="76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6">
        <v>548.97</v>
      </c>
      <c r="D508" s="75">
        <v>0.25</v>
      </c>
      <c r="E508" s="76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6">
        <v>188.28</v>
      </c>
      <c r="D509" s="75">
        <v>0.25</v>
      </c>
      <c r="E509" s="76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6">
        <v>282.41000000000003</v>
      </c>
      <c r="D510" s="75">
        <v>0.25</v>
      </c>
      <c r="E510" s="76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6">
        <v>376.53</v>
      </c>
      <c r="D511" s="75">
        <v>0.25</v>
      </c>
      <c r="E511" s="76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6">
        <v>211.15</v>
      </c>
      <c r="D513" s="75">
        <v>0.25</v>
      </c>
      <c r="E513" s="76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6">
        <v>193.56</v>
      </c>
      <c r="D517" s="75">
        <v>0.25</v>
      </c>
      <c r="E517" s="76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6">
        <v>290.32</v>
      </c>
      <c r="D518" s="75">
        <v>0.25</v>
      </c>
      <c r="E518" s="76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6">
        <v>387.09</v>
      </c>
      <c r="D519" s="75">
        <v>0.25</v>
      </c>
      <c r="E519" s="76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6">
        <v>580.65</v>
      </c>
      <c r="D520" s="75">
        <v>0.25</v>
      </c>
      <c r="E520" s="76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6">
        <v>202.35</v>
      </c>
      <c r="D521" s="75">
        <v>0.25</v>
      </c>
      <c r="E521" s="76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6">
        <v>303.52</v>
      </c>
      <c r="D522" s="75">
        <v>0.25</v>
      </c>
      <c r="E522" s="76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6">
        <v>404.69</v>
      </c>
      <c r="D523" s="75">
        <v>0.25</v>
      </c>
      <c r="E523" s="76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6">
        <v>607.04</v>
      </c>
      <c r="D524" s="75">
        <v>0.25</v>
      </c>
      <c r="E524" s="76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6">
        <v>373.56</v>
      </c>
      <c r="D525" s="75">
        <v>0.25</v>
      </c>
      <c r="E525" s="76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6">
        <v>388.5</v>
      </c>
      <c r="D526" s="75">
        <v>0.25</v>
      </c>
      <c r="E526" s="76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6">
        <v>399.71</v>
      </c>
      <c r="D527" s="75">
        <v>0.25</v>
      </c>
      <c r="E527" s="76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6">
        <v>448.27</v>
      </c>
      <c r="D528" s="75">
        <v>0.25</v>
      </c>
      <c r="E528" s="76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6">
        <v>410.92</v>
      </c>
      <c r="D529" s="75">
        <v>0.25</v>
      </c>
      <c r="E529" s="76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6">
        <v>429.59</v>
      </c>
      <c r="D530" s="75">
        <v>0.25</v>
      </c>
      <c r="E530" s="76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6">
        <v>388.5</v>
      </c>
      <c r="D531" s="75">
        <v>0.25</v>
      </c>
      <c r="E531" s="76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6">
        <v>373.56</v>
      </c>
      <c r="D532" s="75">
        <v>0.25</v>
      </c>
      <c r="E532" s="76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6">
        <v>60.16</v>
      </c>
      <c r="D533" s="75">
        <v>0.25</v>
      </c>
      <c r="E533" s="76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6">
        <v>130.35</v>
      </c>
      <c r="D534" s="75">
        <v>0.25</v>
      </c>
      <c r="E534" s="76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6">
        <v>50.15</v>
      </c>
      <c r="D535" s="75">
        <v>0.25</v>
      </c>
      <c r="E535" s="76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6">
        <v>108.65</v>
      </c>
      <c r="D536" s="75">
        <v>0.25</v>
      </c>
      <c r="E536" s="76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6">
        <v>59.22</v>
      </c>
      <c r="D537" s="75">
        <v>0.25</v>
      </c>
      <c r="E537" s="76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6">
        <v>62.49</v>
      </c>
      <c r="D539" s="75">
        <v>0.25</v>
      </c>
      <c r="E539" s="76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6">
        <v>135.4</v>
      </c>
      <c r="D540" s="75">
        <v>0.25</v>
      </c>
      <c r="E540" s="76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6">
        <v>62.49</v>
      </c>
      <c r="D541" s="75">
        <v>0.25</v>
      </c>
      <c r="E541" s="76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6">
        <v>135.4</v>
      </c>
      <c r="D542" s="75">
        <v>0.25</v>
      </c>
      <c r="E542" s="76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6">
        <v>60.16</v>
      </c>
      <c r="D543" s="75">
        <v>0.25</v>
      </c>
      <c r="E543" s="76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6">
        <v>130.35</v>
      </c>
      <c r="D544" s="75">
        <v>0.25</v>
      </c>
      <c r="E544" s="76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6">
        <v>38.01</v>
      </c>
      <c r="D545" s="75">
        <v>0.25</v>
      </c>
      <c r="E545" s="76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6">
        <v>17.89</v>
      </c>
      <c r="D546" s="75">
        <v>0.25</v>
      </c>
      <c r="E546" s="76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6">
        <v>38.75</v>
      </c>
      <c r="D547" s="75">
        <v>0.25</v>
      </c>
      <c r="E547" s="76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6">
        <v>14.16</v>
      </c>
      <c r="D548" s="75">
        <v>0.25</v>
      </c>
      <c r="E548" s="76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6">
        <v>30.68</v>
      </c>
      <c r="D549" s="75">
        <v>0.25</v>
      </c>
      <c r="E549" s="76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6">
        <v>42.13</v>
      </c>
      <c r="D551" s="75">
        <v>0.25</v>
      </c>
      <c r="E551" s="76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6">
        <v>27.5</v>
      </c>
      <c r="D552" s="75">
        <v>0.25</v>
      </c>
      <c r="E552" s="76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6">
        <v>59.58</v>
      </c>
      <c r="D553" s="75">
        <v>0.25</v>
      </c>
      <c r="E553" s="76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6">
        <v>17.55</v>
      </c>
      <c r="D554" s="75">
        <v>0.25</v>
      </c>
      <c r="E554" s="76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6">
        <v>38.01</v>
      </c>
      <c r="D555" s="75">
        <v>0.25</v>
      </c>
      <c r="E555" s="76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6">
        <v>18.760000000000002</v>
      </c>
      <c r="D556" s="75">
        <v>0.25</v>
      </c>
      <c r="E556" s="76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6">
        <v>18.760000000000002</v>
      </c>
      <c r="D558" s="75">
        <v>0.25</v>
      </c>
      <c r="E558" s="76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6">
        <v>38.75</v>
      </c>
      <c r="D560" s="75">
        <v>0.25</v>
      </c>
      <c r="E560" s="76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6">
        <v>17.89</v>
      </c>
      <c r="D561" s="75">
        <v>0.25</v>
      </c>
      <c r="E561" s="76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6">
        <v>38.75</v>
      </c>
      <c r="D562" s="75">
        <v>0.25</v>
      </c>
      <c r="E562" s="76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6">
        <v>48.96</v>
      </c>
      <c r="D563" s="75">
        <v>0.25</v>
      </c>
      <c r="E563" s="76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6">
        <v>106.07</v>
      </c>
      <c r="D564" s="75">
        <v>0.25</v>
      </c>
      <c r="E564" s="76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6">
        <v>43.71</v>
      </c>
      <c r="D565" s="75">
        <v>0.25</v>
      </c>
      <c r="E565" s="76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6">
        <v>94.7</v>
      </c>
      <c r="D566" s="75">
        <v>0.25</v>
      </c>
      <c r="E566" s="76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6">
        <v>62.49</v>
      </c>
      <c r="D567" s="75">
        <v>0.25</v>
      </c>
      <c r="E567" s="76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6">
        <v>48.47</v>
      </c>
      <c r="D569" s="75">
        <v>0.25</v>
      </c>
      <c r="E569" s="76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6">
        <v>105.02</v>
      </c>
      <c r="D570" s="75">
        <v>0.25</v>
      </c>
      <c r="E570" s="76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6">
        <v>50.18</v>
      </c>
      <c r="D571" s="75">
        <v>0.25</v>
      </c>
      <c r="E571" s="76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6">
        <v>108.72</v>
      </c>
      <c r="D572" s="75">
        <v>0.25</v>
      </c>
      <c r="E572" s="76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6">
        <v>50.18</v>
      </c>
      <c r="D573" s="75">
        <v>0.25</v>
      </c>
      <c r="E573" s="76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6">
        <v>108.72</v>
      </c>
      <c r="D574" s="75">
        <v>0.25</v>
      </c>
      <c r="E574" s="76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6">
        <v>106.07</v>
      </c>
      <c r="D575" s="75">
        <v>0.25</v>
      </c>
      <c r="E575" s="76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6">
        <v>48.96</v>
      </c>
      <c r="D576" s="75">
        <v>0.25</v>
      </c>
      <c r="E576" s="76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6">
        <v>106.07</v>
      </c>
      <c r="D577" s="75">
        <v>0.25</v>
      </c>
      <c r="E577" s="76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6">
        <v>108.72</v>
      </c>
      <c r="D578" s="75">
        <v>0.25</v>
      </c>
      <c r="E578" s="76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6">
        <v>80.06</v>
      </c>
      <c r="D580" s="75">
        <v>0.25</v>
      </c>
      <c r="E580" s="76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6">
        <v>29.66</v>
      </c>
      <c r="D581" s="75">
        <v>0.25</v>
      </c>
      <c r="E581" s="76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6">
        <v>0</v>
      </c>
      <c r="D583" s="75">
        <v>0.25</v>
      </c>
      <c r="E583" s="76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6">
        <v>39.99</v>
      </c>
      <c r="D584" s="75">
        <v>0.25</v>
      </c>
      <c r="E584" s="76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6">
        <v>86.65</v>
      </c>
      <c r="D585" s="75">
        <v>0.25</v>
      </c>
      <c r="E585" s="76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6">
        <v>55.75</v>
      </c>
      <c r="D586" s="75">
        <v>0.25</v>
      </c>
      <c r="E586" s="76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6">
        <v>120.79</v>
      </c>
      <c r="D587" s="75">
        <v>0.25</v>
      </c>
      <c r="E587" s="76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6">
        <v>78.58</v>
      </c>
      <c r="D589" s="75">
        <v>0.25</v>
      </c>
      <c r="E589" s="76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6">
        <v>38.64</v>
      </c>
      <c r="D590" s="75">
        <v>0.25</v>
      </c>
      <c r="E590" s="76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6">
        <v>83.73</v>
      </c>
      <c r="D591" s="75">
        <v>0.25</v>
      </c>
      <c r="E591" s="76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6">
        <v>38.64</v>
      </c>
      <c r="D592" s="75">
        <v>0.25</v>
      </c>
      <c r="E592" s="76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6">
        <v>83.73</v>
      </c>
      <c r="D593" s="75">
        <v>0.25</v>
      </c>
      <c r="E593" s="76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6">
        <v>80.06</v>
      </c>
      <c r="D594" s="75">
        <v>0.25</v>
      </c>
      <c r="E594" s="76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6">
        <v>79.61</v>
      </c>
      <c r="D596" s="75">
        <v>0.25</v>
      </c>
      <c r="E596" s="76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6">
        <v>80.06</v>
      </c>
      <c r="D597" s="75">
        <v>0.25</v>
      </c>
      <c r="E597" s="76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6">
        <v>12.87</v>
      </c>
      <c r="D598" s="75">
        <v>0.25</v>
      </c>
      <c r="E598" s="76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6">
        <v>27.87</v>
      </c>
      <c r="D599" s="75">
        <v>0.25</v>
      </c>
      <c r="E599" s="76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6">
        <v>21.24</v>
      </c>
      <c r="D601" s="75">
        <v>0.25</v>
      </c>
      <c r="E601" s="76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6">
        <v>12.58</v>
      </c>
      <c r="D602" s="75">
        <v>0.25</v>
      </c>
      <c r="E602" s="76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6">
        <v>27.26</v>
      </c>
      <c r="D603" s="75">
        <v>0.25</v>
      </c>
      <c r="E603" s="76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6">
        <v>13.59</v>
      </c>
      <c r="D604" s="75">
        <v>0.25</v>
      </c>
      <c r="E604" s="76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6">
        <v>29.43</v>
      </c>
      <c r="D605" s="75">
        <v>0.25</v>
      </c>
      <c r="E605" s="76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6">
        <v>13.59</v>
      </c>
      <c r="D606" s="75">
        <v>0.25</v>
      </c>
      <c r="E606" s="76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6">
        <v>29.43</v>
      </c>
      <c r="D607" s="75">
        <v>0.25</v>
      </c>
      <c r="E607" s="76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6">
        <v>12.87</v>
      </c>
      <c r="D608" s="75">
        <v>0.25</v>
      </c>
      <c r="E608" s="76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6">
        <v>27.87</v>
      </c>
      <c r="D609" s="75">
        <v>0.25</v>
      </c>
      <c r="E609" s="76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6">
        <v>32</v>
      </c>
      <c r="D610" s="75">
        <v>0.25</v>
      </c>
      <c r="E610" s="76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6">
        <v>15.07</v>
      </c>
      <c r="D611" s="75">
        <v>0.25</v>
      </c>
      <c r="E611" s="76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6">
        <v>32.65</v>
      </c>
      <c r="D612" s="75">
        <v>0.25</v>
      </c>
      <c r="E612" s="76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6">
        <v>11.84</v>
      </c>
      <c r="D613" s="75">
        <v>0.25</v>
      </c>
      <c r="E613" s="76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6">
        <v>25.63</v>
      </c>
      <c r="D614" s="75">
        <v>0.25</v>
      </c>
      <c r="E614" s="76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6">
        <v>16.41</v>
      </c>
      <c r="D615" s="75">
        <v>0.25</v>
      </c>
      <c r="E615" s="76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6">
        <v>35.57</v>
      </c>
      <c r="D616" s="75">
        <v>0.25</v>
      </c>
      <c r="E616" s="76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6">
        <v>23.41</v>
      </c>
      <c r="D617" s="75">
        <v>0.25</v>
      </c>
      <c r="E617" s="76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6">
        <v>50.72</v>
      </c>
      <c r="D618" s="75">
        <v>0.25</v>
      </c>
      <c r="E618" s="76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6">
        <v>14.76</v>
      </c>
      <c r="D621" s="75">
        <v>0.25</v>
      </c>
      <c r="E621" s="76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6">
        <v>32</v>
      </c>
      <c r="D622" s="75">
        <v>0.25</v>
      </c>
      <c r="E622" s="76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6">
        <v>15.82</v>
      </c>
      <c r="D623" s="75">
        <v>0.25</v>
      </c>
      <c r="E623" s="76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6">
        <v>34.28</v>
      </c>
      <c r="D624" s="75">
        <v>0.25</v>
      </c>
      <c r="E624" s="76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6">
        <v>15.82</v>
      </c>
      <c r="D625" s="75">
        <v>0.25</v>
      </c>
      <c r="E625" s="76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6">
        <v>34.28</v>
      </c>
      <c r="D626" s="75">
        <v>0.25</v>
      </c>
      <c r="E626" s="76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6">
        <v>15.07</v>
      </c>
      <c r="D627" s="75">
        <v>0.25</v>
      </c>
      <c r="E627" s="76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6">
        <v>32.65</v>
      </c>
      <c r="D628" s="75">
        <v>0.25</v>
      </c>
      <c r="E628" s="76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6">
        <v>15.07</v>
      </c>
      <c r="D629" s="75">
        <v>0.25</v>
      </c>
      <c r="E629" s="76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6">
        <v>32.65</v>
      </c>
      <c r="D630" s="75">
        <v>0.25</v>
      </c>
      <c r="E630" s="76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6">
        <v>15.07</v>
      </c>
      <c r="D631" s="75">
        <v>0.25</v>
      </c>
      <c r="E631" s="76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6">
        <v>32.65</v>
      </c>
      <c r="D632" s="75">
        <v>0.25</v>
      </c>
      <c r="E632" s="76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6">
        <v>28.55</v>
      </c>
      <c r="D633" s="75">
        <v>0.25</v>
      </c>
      <c r="E633" s="76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6">
        <v>61.85</v>
      </c>
      <c r="D634" s="75">
        <v>0.25</v>
      </c>
      <c r="E634" s="76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6">
        <v>22.92</v>
      </c>
      <c r="D635" s="75">
        <v>0.25</v>
      </c>
      <c r="E635" s="76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6">
        <v>49.65</v>
      </c>
      <c r="D636" s="75">
        <v>0.25</v>
      </c>
      <c r="E636" s="76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6">
        <v>28.03</v>
      </c>
      <c r="D637" s="75">
        <v>0.25</v>
      </c>
      <c r="E637" s="76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6">
        <v>60.72</v>
      </c>
      <c r="D638" s="75">
        <v>0.25</v>
      </c>
      <c r="E638" s="76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6">
        <v>29.87</v>
      </c>
      <c r="D639" s="75">
        <v>0.25</v>
      </c>
      <c r="E639" s="76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6">
        <v>64.7</v>
      </c>
      <c r="D640" s="75">
        <v>0.25</v>
      </c>
      <c r="E640" s="76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6">
        <v>29.87</v>
      </c>
      <c r="D641" s="75">
        <v>0.25</v>
      </c>
      <c r="E641" s="76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6">
        <v>64.7</v>
      </c>
      <c r="D642" s="75">
        <v>0.25</v>
      </c>
      <c r="E642" s="76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6">
        <v>28.55</v>
      </c>
      <c r="D644" s="75">
        <v>0.25</v>
      </c>
      <c r="E644" s="76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6">
        <v>61.85</v>
      </c>
      <c r="D645" s="75">
        <v>0.25</v>
      </c>
      <c r="E645" s="76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6">
        <v>14.01</v>
      </c>
      <c r="D646" s="75">
        <v>0.25</v>
      </c>
      <c r="E646" s="76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6">
        <v>30.35</v>
      </c>
      <c r="D647" s="75">
        <v>0.25</v>
      </c>
      <c r="E647" s="76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6">
        <v>10.85</v>
      </c>
      <c r="D648" s="75">
        <v>0.25</v>
      </c>
      <c r="E648" s="76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6">
        <v>23.49</v>
      </c>
      <c r="D649" s="75">
        <v>0.25</v>
      </c>
      <c r="E649" s="76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6">
        <v>22.18</v>
      </c>
      <c r="D650" s="75">
        <v>0.25</v>
      </c>
      <c r="E650" s="76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6">
        <v>48.04</v>
      </c>
      <c r="D651" s="75">
        <v>0.25</v>
      </c>
      <c r="E651" s="76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6">
        <v>13.72</v>
      </c>
      <c r="D652" s="75">
        <v>0.25</v>
      </c>
      <c r="E652" s="76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6">
        <v>29.71</v>
      </c>
      <c r="D653" s="75">
        <v>0.25</v>
      </c>
      <c r="E653" s="76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6">
        <v>14.75</v>
      </c>
      <c r="D654" s="75">
        <v>0.25</v>
      </c>
      <c r="E654" s="76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6">
        <v>31.96</v>
      </c>
      <c r="D655" s="75">
        <v>0.25</v>
      </c>
      <c r="E655" s="76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6">
        <v>14.75</v>
      </c>
      <c r="D656" s="75">
        <v>0.25</v>
      </c>
      <c r="E656" s="76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6">
        <v>31.96</v>
      </c>
      <c r="D657" s="75">
        <v>0.25</v>
      </c>
      <c r="E657" s="76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6">
        <v>30.35</v>
      </c>
      <c r="D658" s="75">
        <v>0.25</v>
      </c>
      <c r="E658" s="76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6">
        <v>14.01</v>
      </c>
      <c r="D659" s="75">
        <v>0.25</v>
      </c>
      <c r="E659" s="76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6">
        <v>30.35</v>
      </c>
      <c r="D660" s="75">
        <v>0.25</v>
      </c>
      <c r="E660" s="76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2025-08-14T10:40:34Z</cp:lastPrinted>
  <dcterms:created xsi:type="dcterms:W3CDTF">2024-04-15T12:43:19Z</dcterms:created>
  <dcterms:modified xsi:type="dcterms:W3CDTF">2025-08-14T10:40:40Z</dcterms:modified>
  <dc:language>es-ES</dc:language>
</cp:coreProperties>
</file>