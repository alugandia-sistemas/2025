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61\calculos\1\"/>
    </mc:Choice>
  </mc:AlternateContent>
  <xr:revisionPtr revIDLastSave="0" documentId="13_ncr:1_{1811B8C2-53B5-4FC8-A686-8023484A4FF9}" xr6:coauthVersionLast="47" xr6:coauthVersionMax="47" xr10:uidLastSave="{00000000-0000-0000-0000-000000000000}"/>
  <bookViews>
    <workbookView xWindow="-28920" yWindow="-120" windowWidth="29040" windowHeight="15720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0" l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l="1"/>
  <c r="G45" i="2" s="1"/>
  <c r="F46" i="2" s="1"/>
  <c r="G3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<sst xmlns="http://schemas.openxmlformats.org/spreadsheetml/2006/main" count="5398" uniqueCount="1451">
  <si>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</si>
  <si>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</si>
  <si>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</si>
  <si>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</si>
  <si>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</si>
  <si>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</si>
  <si>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</si>
  <si>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</si>
  <si>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</si>
  <si>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</si>
  <si>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</si>
  <si>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</si>
  <si>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</si>
  <si>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</si>
  <si>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</si>
  <si>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</si>
  <si>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</si>
  <si>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</si>
  <si>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</si>
  <si>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</si>
  <si>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</si>
  <si>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</si>
  <si>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</si>
  <si>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</si>
  <si>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</si>
  <si>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</si>
  <si>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</si>
  <si>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</si>
  <si>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</si>
  <si>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</si>
  <si>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</si>
  <si>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</si>
  <si>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</si>
  <si>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</si>
  <si>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</si>
  <si>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</si>
  <si>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</si>
  <si>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</si>
  <si>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</si>
  <si>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</si>
  <si>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</si>
  <si>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</si>
  <si>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</si>
  <si>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</si>
  <si>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</si>
  <si>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</si>
  <si>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</si>
  <si>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</si>
  <si>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</si>
  <si>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</si>
  <si>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</si>
  <si>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</si>
  <si>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</si>
  <si>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</si>
  <si>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</si>
  <si>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</si>
  <si>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</si>
  <si>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</si>
  <si>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</si>
  <si>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</si>
  <si>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</si>
  <si>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</si>
  <si>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</si>
  <si>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</si>
  <si>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</si>
  <si>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</si>
  <si>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</si>
  <si>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</si>
  <si>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</si>
  <si>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</si>
  <si>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</si>
  <si>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</si>
  <si>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</si>
  <si>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</si>
  <si>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</si>
  <si>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</si>
  <si>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</si>
  <si>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</si>
  <si>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</si>
  <si>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</si>
  <si>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</si>
  <si>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</si>
  <si>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</si>
  <si>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</si>
  <si>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</si>
  <si>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</si>
  <si>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</si>
  <si>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</si>
  <si>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</si>
  <si>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</si>
  <si>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</si>
  <si>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</si>
  <si>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</si>
  <si>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</si>
  <si>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</si>
  <si>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</si>
  <si>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</si>
  <si>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</si>
  <si>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</si>
  <si>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</si>
  <si>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</si>
  <si>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</si>
  <si>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</si>
  <si>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</si>
  <si>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</si>
  <si>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</si>
  <si>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</si>
  <si>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</si>
  <si>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</si>
  <si>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</si>
  <si>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</si>
  <si>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</si>
  <si>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</si>
  <si>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</si>
  <si>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</si>
  <si>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</si>
  <si>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</si>
  <si>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</si>
  <si>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</si>
  <si>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</si>
  <si>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</si>
  <si>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</si>
  <si>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</si>
  <si>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</si>
  <si>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</si>
  <si>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</si>
  <si>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</si>
  <si>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</si>
  <si>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</si>
  <si>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</si>
  <si>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</si>
  <si>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</si>
  <si>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</si>
  <si>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</si>
  <si>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</si>
  <si>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</si>
  <si>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</si>
  <si>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</si>
  <si>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</si>
  <si>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</si>
  <si>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</si>
  <si>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</si>
  <si>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</si>
  <si>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</si>
  <si>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</si>
  <si>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</si>
  <si>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</si>
  <si>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</si>
  <si>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</si>
  <si>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</si>
  <si>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</si>
  <si>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</si>
  <si>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</si>
  <si>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</si>
  <si>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</si>
  <si>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</si>
  <si>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</si>
  <si>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</si>
  <si>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</si>
  <si>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</si>
  <si>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</si>
  <si>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</si>
  <si>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</si>
  <si>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</si>
  <si>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</si>
  <si>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</si>
  <si>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</si>
  <si>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</si>
  <si>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</si>
  <si>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</si>
  <si>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</si>
  <si>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</si>
  <si>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</si>
  <si>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</si>
  <si>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</si>
  <si>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</si>
  <si>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</si>
  <si>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</si>
  <si>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</si>
  <si>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</si>
  <si>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</si>
  <si>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</si>
  <si>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</si>
  <si>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</si>
  <si>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</si>
  <si>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</si>
  <si>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</si>
  <si>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</si>
  <si>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</si>
  <si>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</si>
  <si>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</si>
  <si>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</si>
  <si>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</si>
  <si>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</si>
  <si>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</si>
  <si>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</si>
  <si>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</si>
  <si>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</si>
  <si>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</si>
  <si>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</si>
  <si>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</si>
  <si>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</si>
  <si>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</si>
  <si>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</si>
  <si>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</si>
  <si>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</si>
  <si>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</si>
  <si>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</si>
  <si>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</si>
  <si>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</si>
  <si>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</si>
  <si>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</si>
  <si>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</si>
  <si>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</si>
  <si>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</si>
  <si>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</si>
  <si>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</si>
  <si>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</si>
  <si>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</si>
  <si>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</si>
  <si>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</si>
  <si>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</si>
  <si>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</si>
  <si>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</si>
  <si>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</si>
  <si>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</si>
  <si>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</si>
  <si>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</si>
  <si>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</si>
  <si>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</si>
  <si>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</si>
  <si>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</si>
  <si>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</si>
  <si>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</si>
  <si>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</si>
  <si>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</si>
  <si>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</si>
  <si>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</si>
  <si>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</si>
  <si>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</si>
  <si>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</si>
  <si>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</si>
  <si>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</si>
  <si>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</si>
  <si>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</si>
  <si>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</si>
  <si>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</si>
  <si>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</si>
  <si>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</si>
  <si>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</si>
  <si>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</si>
  <si>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</si>
  <si>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</si>
  <si>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</si>
  <si>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</si>
  <si>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</si>
  <si>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</si>
  <si>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</si>
  <si>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</si>
  <si>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</si>
  <si>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</si>
  <si>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</si>
  <si>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</si>
  <si>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</si>
  <si>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</si>
  <si>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</si>
  <si>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</si>
  <si>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</si>
  <si>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</si>
  <si>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</si>
  <si>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</si>
  <si>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</si>
  <si>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</si>
  <si>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</si>
  <si>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</si>
  <si>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</si>
  <si>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</si>
  <si>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</si>
  <si>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</si>
  <si>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</si>
  <si>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</si>
  <si>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</si>
  <si>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</si>
  <si>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</si>
  <si>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</si>
  <si>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</si>
  <si>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</si>
  <si>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</si>
  <si>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</si>
  <si>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</si>
  <si>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</si>
  <si>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</si>
  <si>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</si>
  <si>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</si>
  <si>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</si>
  <si>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</si>
  <si>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</si>
  <si>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</si>
  <si>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</si>
  <si>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</si>
  <si>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</si>
  <si>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</si>
  <si>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</si>
  <si>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</si>
  <si>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</si>
  <si>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</si>
  <si>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</si>
  <si>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</si>
  <si>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</si>
  <si>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</si>
  <si>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</si>
  <si>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</si>
  <si>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</si>
  <si>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</si>
  <si>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</si>
  <si>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</si>
  <si>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</si>
  <si>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</si>
  <si>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</si>
  <si>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</si>
  <si>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</si>
  <si>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</si>
  <si>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</si>
  <si>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</si>
  <si>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</si>
  <si>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</si>
  <si>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</si>
  <si>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</si>
  <si>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</si>
  <si>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</si>
  <si>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</si>
  <si>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</si>
  <si>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</si>
  <si>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</si>
  <si>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</si>
  <si>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</si>
  <si>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</si>
  <si>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</si>
  <si>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</si>
  <si>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</si>
  <si>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</si>
  <si>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</si>
  <si>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</si>
  <si>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</si>
  <si>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</si>
  <si>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</si>
  <si>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</si>
  <si>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</si>
  <si>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</si>
  <si>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</si>
  <si>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</si>
  <si>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</si>
  <si>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</si>
  <si>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</si>
  <si>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</si>
  <si>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</si>
  <si>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</si>
  <si>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</si>
  <si>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</si>
  <si>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</si>
  <si>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</si>
  <si>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</si>
  <si>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</si>
  <si>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</si>
  <si>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</si>
  <si>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</si>
  <si>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</si>
  <si>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</si>
  <si>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</si>
  <si>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</si>
  <si>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</si>
  <si>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</si>
  <si>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</si>
  <si>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</si>
  <si>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</si>
  <si>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</si>
  <si>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</si>
  <si>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</si>
  <si>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</si>
  <si>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</si>
  <si>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</si>
  <si>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</si>
  <si>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</si>
  <si>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</si>
  <si>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</si>
  <si>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</si>
  <si>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</si>
  <si>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</si>
  <si>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</si>
  <si>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</si>
  <si>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</si>
  <si>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</si>
  <si>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</si>
  <si>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</si>
  <si>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</si>
  <si>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</si>
  <si>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</si>
  <si>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</si>
  <si>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</si>
  <si>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</si>
  <si>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</si>
  <si>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</si>
  <si>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</si>
  <si>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</si>
  <si>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</si>
  <si>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</si>
  <si>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</si>
  <si>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</si>
  <si>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</si>
  <si>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</si>
  <si>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</si>
  <si>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</si>
  <si>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</si>
  <si>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</si>
  <si>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</si>
  <si>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</si>
  <si>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</si>
  <si>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</si>
  <si>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</si>
  <si>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</si>
  <si>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</si>
  <si>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</si>
  <si>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</si>
  <si>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</si>
  <si>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</si>
  <si>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</si>
  <si>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</si>
  <si>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</si>
  <si>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</si>
  <si>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</si>
  <si>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</si>
  <si>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</si>
  <si>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</si>
  <si>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</si>
  <si>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</si>
  <si>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</si>
  <si>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</si>
  <si>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</si>
  <si>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</si>
  <si>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</si>
  <si>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</si>
  <si>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</si>
  <si>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</si>
  <si>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</si>
  <si>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</si>
  <si>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</si>
  <si>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</si>
  <si>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</si>
  <si>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</si>
  <si>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</si>
  <si>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</si>
  <si>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</si>
  <si>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</si>
  <si>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</si>
  <si>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</si>
  <si>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</si>
  <si>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</si>
  <si>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</si>
  <si>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</si>
  <si>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</si>
  <si>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</si>
  <si>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</si>
  <si>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</si>
  <si>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</si>
  <si>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</si>
  <si>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</si>
  <si>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</si>
  <si>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</si>
  <si>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</si>
  <si>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</si>
  <si>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</si>
  <si>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</si>
  <si>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</si>
  <si>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</si>
  <si>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</si>
  <si>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</si>
  <si>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</si>
  <si>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</si>
  <si>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</si>
  <si>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</si>
  <si>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</si>
  <si>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</si>
  <si>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</si>
  <si>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</si>
  <si>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</si>
  <si>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</si>
  <si>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</si>
  <si>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</si>
  <si>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</si>
  <si>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</si>
  <si>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</si>
  <si>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</si>
  <si>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</si>
  <si>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</si>
  <si>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</si>
  <si>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</si>
  <si>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</si>
  <si>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</si>
  <si>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</si>
  <si>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</si>
  <si>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</si>
  <si>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</si>
  <si>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</si>
  <si>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</si>
  <si>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</si>
  <si>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</si>
  <si>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</si>
  <si>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</si>
  <si>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</si>
  <si>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</si>
  <si>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</si>
  <si>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</si>
  <si>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</si>
  <si>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</si>
  <si>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</si>
  <si>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</si>
  <si>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</si>
  <si>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</si>
  <si>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</si>
  <si>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</si>
  <si>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</si>
  <si>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</si>
  <si>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</si>
  <si>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</si>
  <si>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</si>
  <si>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</si>
  <si>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</si>
  <si>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</si>
  <si>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</si>
  <si>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</si>
  <si>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</si>
  <si>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</si>
  <si>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</si>
  <si>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</si>
  <si>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</si>
  <si>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</si>
  <si>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</si>
  <si>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</si>
  <si>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</si>
  <si>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</si>
  <si>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</si>
  <si>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</si>
  <si>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</si>
  <si>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</si>
  <si>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</si>
  <si>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</si>
  <si>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</si>
  <si>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</si>
  <si>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</si>
  <si>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</si>
  <si>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</si>
  <si>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</si>
  <si>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</si>
  <si>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</si>
  <si>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</si>
  <si>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</si>
  <si>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</si>
  <si>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</si>
  <si>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</si>
  <si>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</si>
  <si>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</si>
  <si>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</si>
  <si>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</si>
  <si>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</si>
  <si>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</si>
  <si>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</si>
  <si>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</si>
  <si>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</si>
  <si>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</si>
  <si>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</si>
  <si>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</si>
  <si>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</si>
  <si>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</si>
  <si>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</si>
  <si>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</si>
  <si>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</si>
  <si>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</si>
  <si>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</si>
  <si>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</si>
  <si>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</si>
  <si>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</si>
  <si>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</si>
  <si>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</si>
  <si>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</si>
  <si>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</si>
  <si>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</si>
  <si>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</si>
  <si>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</si>
  <si>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</si>
  <si>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</si>
  <si>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</si>
  <si>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</si>
  <si>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</si>
  <si>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</si>
  <si>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</si>
  <si>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</si>
  <si>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</si>
  <si>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</si>
  <si>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</si>
  <si>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</si>
  <si>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</si>
  <si>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</si>
  <si>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</si>
  <si>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</si>
  <si>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</si>
  <si>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</si>
  <si>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</si>
  <si>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</si>
  <si>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</si>
  <si>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</si>
  <si>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</si>
  <si>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</si>
  <si>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</si>
  <si>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</si>
  <si>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</si>
  <si>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</si>
  <si>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</si>
  <si>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</si>
  <si>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</si>
  <si>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</si>
  <si>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</si>
  <si>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</si>
  <si>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</si>
  <si>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</si>
  <si>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</si>
  <si>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</si>
  <si>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</si>
  <si>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</si>
  <si>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</si>
  <si>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</si>
  <si>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</si>
  <si>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</si>
  <si>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</si>
  <si>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</si>
  <si>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</si>
  <si>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</si>
  <si>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</si>
  <si>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</si>
  <si>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</si>
  <si>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</si>
  <si>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</si>
  <si>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</si>
  <si>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</si>
  <si>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</si>
  <si>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</si>
  <si>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</si>
  <si>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</si>
  <si>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</si>
  <si>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</si>
  <si>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</si>
  <si>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</si>
  <si>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</si>
  <si>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</si>
  <si>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</si>
  <si>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</si>
  <si>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</si>
  <si>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</si>
  <si>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</si>
  <si>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</si>
  <si>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</si>
  <si>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</si>
  <si>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</si>
  <si>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</si>
  <si>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</si>
  <si>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</si>
  <si>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</si>
  <si>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</si>
  <si>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</si>
  <si>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</si>
  <si>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</si>
  <si>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</si>
  <si>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</si>
  <si>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</si>
  <si>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</si>
  <si>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</si>
  <si>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</si>
  <si>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</si>
  <si>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</si>
  <si>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</si>
  <si>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</si>
  <si>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</si>
  <si>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</si>
  <si>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</si>
  <si>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</si>
  <si>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</si>
  <si>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</si>
  <si>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</si>
  <si>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</si>
  <si>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</si>
  <si>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</si>
  <si>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</si>
  <si>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</si>
  <si>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</si>
  <si>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</si>
  <si>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</si>
  <si>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</si>
  <si>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</si>
  <si>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</si>
  <si>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</si>
  <si>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</si>
  <si>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</si>
  <si>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</si>
  <si>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</si>
  <si>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</si>
  <si>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</si>
  <si>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</si>
  <si>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</si>
  <si>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</si>
  <si>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</si>
  <si>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</si>
  <si>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</si>
  <si>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</si>
  <si>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</si>
  <si>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</si>
  <si>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</si>
  <si>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</si>
  <si>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</si>
  <si>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</si>
  <si>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</si>
  <si>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</si>
  <si>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</si>
  <si>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</si>
  <si>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</si>
  <si>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</si>
  <si>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</si>
  <si>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</si>
  <si>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</si>
  <si>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</si>
  <si>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</si>
  <si>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</si>
  <si>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</si>
  <si>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</si>
  <si>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</si>
  <si>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</si>
  <si>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</si>
  <si>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</si>
  <si>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</si>
  <si>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</si>
  <si>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</si>
  <si>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</si>
  <si>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</si>
  <si>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</si>
  <si>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</si>
  <si>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</si>
  <si>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</si>
  <si>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</si>
  <si>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</si>
  <si>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</si>
  <si>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</si>
  <si>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</si>
  <si>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</si>
  <si>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</si>
  <si>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</si>
  <si>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</si>
  <si>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</si>
  <si>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</si>
  <si>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</si>
  <si>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</si>
  <si>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</si>
  <si>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</si>
  <si>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</si>
  <si>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</si>
  <si>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</si>
  <si>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</si>
  <si>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</si>
  <si>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</si>
  <si>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</si>
  <si>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</si>
  <si>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</si>
  <si>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</si>
  <si>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</si>
  <si>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</si>
  <si>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</si>
  <si>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</si>
  <si>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</si>
  <si>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</si>
  <si>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</si>
  <si>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</si>
  <si>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</si>
  <si>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</si>
  <si>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</si>
  <si>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</si>
  <si>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</si>
  <si>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</si>
  <si>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</si>
  <si>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</si>
  <si>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</si>
  <si>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</si>
  <si>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</si>
  <si>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</si>
  <si>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</si>
  <si>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</si>
  <si>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</si>
  <si>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</si>
  <si>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</si>
  <si>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</si>
  <si>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</si>
  <si>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</si>
  <si>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</si>
  <si>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</si>
  <si>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</si>
  <si>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</si>
  <si>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</si>
  <si>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</si>
  <si>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</si>
  <si>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</si>
  <si>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</si>
  <si>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</si>
  <si>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</si>
  <si>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</si>
  <si>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</si>
  <si>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</si>
  <si>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</si>
  <si>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</si>
  <si>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</si>
  <si>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</si>
  <si>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</si>
  <si>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</si>
  <si>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</si>
  <si>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</si>
  <si>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</si>
  <si>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</si>
  <si>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</si>
  <si>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</si>
  <si>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</si>
  <si>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</si>
  <si>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</si>
  <si>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</si>
  <si>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</si>
  <si>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</si>
  <si>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</si>
  <si>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</si>
  <si>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</si>
  <si>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</si>
  <si>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</si>
  <si>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</si>
  <si>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</si>
  <si>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</si>
  <si>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</si>
  <si>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</si>
  <si>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</si>
  <si>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</si>
  <si>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</si>
  <si>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</si>
  <si>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</si>
  <si>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</si>
  <si>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</si>
  <si>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</si>
  <si>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</si>
  <si>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</si>
  <si>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</si>
  <si>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</si>
  <si>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</si>
  <si>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</si>
  <si>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</si>
  <si>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</si>
  <si>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</si>
  <si>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</si>
  <si>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</si>
  <si>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</si>
  <si>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</si>
  <si>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</si>
  <si>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</si>
  <si>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</si>
  <si>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</si>
  <si>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</si>
  <si>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</si>
  <si>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</si>
  <si>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</si>
  <si>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</si>
  <si>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</si>
  <si>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</si>
  <si>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</si>
  <si>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</si>
  <si>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</si>
  <si>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</si>
  <si>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</si>
  <si>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</si>
  <si>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</si>
  <si>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</si>
  <si>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</si>
  <si>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</si>
  <si>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</si>
  <si>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</si>
  <si>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</si>
  <si>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</si>
  <si>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</si>
  <si>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</si>
  <si>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</si>
  <si>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</si>
  <si>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</si>
  <si>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</si>
  <si>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</si>
  <si>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</si>
  <si>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</si>
  <si>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</si>
  <si>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</si>
  <si>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</si>
  <si>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</si>
  <si>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</si>
  <si>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</si>
  <si>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</si>
  <si>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</si>
  <si>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</si>
  <si>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</si>
  <si>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</si>
  <si>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</si>
  <si>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</si>
  <si>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</si>
  <si>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</si>
  <si>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</si>
  <si>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</si>
  <si>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</si>
  <si>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</si>
  <si>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</si>
  <si>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</si>
  <si>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</si>
  <si>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</si>
  <si>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</si>
  <si>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</si>
  <si>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</si>
  <si>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</si>
  <si>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</si>
  <si>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</si>
  <si>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</si>
  <si>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</si>
  <si>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</si>
  <si>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</si>
  <si>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</si>
  <si>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</si>
  <si>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</si>
  <si>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</si>
  <si>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</si>
  <si>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</si>
  <si>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</si>
  <si>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</si>
  <si>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</si>
  <si>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</si>
  <si>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</si>
  <si>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</si>
  <si>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</si>
  <si>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</si>
  <si>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</si>
  <si>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</si>
  <si>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</si>
  <si>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</si>
  <si>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</si>
  <si>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</si>
  <si>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</si>
  <si>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</si>
  <si>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</si>
  <si>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</si>
  <si>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</si>
  <si>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</si>
  <si>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</si>
  <si>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</si>
  <si>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</si>
  <si>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</si>
  <si>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</si>
  <si>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</si>
  <si>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</si>
  <si>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</si>
  <si>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</si>
  <si>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</si>
  <si>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</si>
  <si>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</si>
  <si>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</si>
  <si>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</si>
  <si>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</si>
  <si>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</si>
  <si>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</si>
  <si>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</si>
  <si>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</si>
  <si>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</si>
  <si>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</si>
  <si>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</si>
  <si>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</si>
  <si>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</si>
  <si>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</si>
  <si>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</si>
  <si>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</si>
  <si>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</si>
  <si>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</si>
  <si>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</si>
  <si>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</si>
  <si>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</si>
  <si>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</si>
  <si>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</si>
  <si>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</si>
  <si>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</si>
  <si>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</si>
  <si>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</si>
  <si>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</si>
  <si>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</si>
  <si>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</si>
  <si>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</si>
  <si>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</si>
  <si>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</si>
  <si>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</si>
  <si>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</si>
  <si>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</si>
  <si>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</si>
  <si>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</si>
  <si>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</si>
  <si>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</si>
  <si>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</si>
  <si>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</si>
  <si>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</si>
  <si>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</si>
  <si>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</si>
  <si>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</si>
  <si>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</si>
  <si>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</si>
  <si>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</si>
  <si>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</si>
  <si>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</si>
  <si>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</si>
  <si>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</si>
  <si>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</si>
  <si>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</si>
  <si>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</si>
  <si>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</si>
  <si>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</si>
  <si>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</si>
  <si>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</si>
  <si>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</si>
  <si>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</si>
  <si>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</si>
  <si>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</si>
  <si>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</si>
  <si>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</si>
  <si>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</si>
  <si>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</si>
  <si>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</si>
  <si>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</si>
  <si>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</si>
  <si>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</si>
  <si>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</si>
  <si>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</si>
  <si>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</si>
  <si>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</si>
  <si>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</si>
  <si>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</si>
  <si>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</si>
  <si>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</si>
  <si>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</si>
  <si>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</si>
  <si>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</si>
  <si>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</si>
  <si>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</si>
  <si>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</si>
  <si>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</si>
  <si>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</si>
  <si>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</si>
  <si>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</si>
  <si>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</si>
  <si>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</si>
  <si>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</si>
  <si>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</si>
  <si>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</si>
  <si>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</si>
  <si>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</si>
  <si>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</si>
  <si>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</si>
  <si>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</si>
  <si>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</si>
  <si>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</si>
  <si>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</si>
  <si>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</si>
  <si>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</si>
  <si>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</si>
  <si>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</si>
  <si>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</si>
  <si>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</si>
  <si>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</si>
  <si>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</si>
  <si>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</si>
  <si>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</si>
  <si>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</si>
  <si>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</si>
  <si>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</si>
  <si>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</si>
  <si>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</si>
  <si>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</si>
  <si>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</si>
  <si>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</si>
  <si>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</si>
  <si>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</si>
  <si>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</si>
  <si>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</si>
  <si>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</si>
  <si>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</si>
  <si>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</si>
  <si>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</si>
  <si>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</si>
  <si>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</si>
  <si>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</si>
  <si>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</si>
  <si>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</si>
  <si>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</si>
  <si>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</si>
  <si>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</si>
  <si>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</si>
  <si>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</si>
  <si>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</si>
  <si>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</si>
  <si>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</si>
  <si>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</si>
  <si>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</si>
  <si>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</si>
  <si>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</si>
  <si>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</si>
  <si>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</si>
  <si>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</si>
  <si>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</si>
  <si>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</si>
  <si>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</si>
  <si>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</si>
  <si>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</si>
  <si>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</si>
  <si>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</si>
  <si>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</si>
  <si>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</si>
  <si>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</si>
  <si>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</si>
  <si>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</si>
  <si>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</si>
  <si>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</si>
  <si>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</si>
  <si>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</si>
  <si>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</si>
  <si>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</si>
  <si>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</si>
  <si>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</si>
  <si>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</si>
  <si>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</si>
  <si>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</si>
  <si>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</si>
  <si>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</si>
  <si>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</si>
  <si>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</si>
  <si>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</si>
  <si>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</si>
  <si>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</si>
  <si>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</si>
  <si>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</si>
  <si>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</si>
  <si>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</si>
  <si>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</si>
  <si>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</si>
  <si>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</si>
  <si>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</si>
  <si>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</si>
  <si>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</si>
  <si>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</si>
  <si>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</si>
  <si>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</si>
  <si>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</si>
  <si>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</si>
  <si>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</si>
  <si>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</si>
  <si>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</si>
  <si>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</si>
  <si>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</si>
  <si>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</si>
  <si>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</si>
  <si>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</si>
  <si>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</si>
  <si>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</si>
  <si>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</si>
  <si>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</si>
  <si>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</si>
  <si>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</si>
  <si>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</si>
  <si>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</si>
  <si>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</si>
  <si>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</si>
  <si>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</si>
  <si>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</si>
  <si>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</si>
  <si>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</si>
  <si>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</si>
  <si>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</si>
  <si>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</si>
  <si>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</si>
  <si>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</si>
  <si>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</si>
  <si>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</si>
  <si>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</si>
  <si>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</si>
  <si>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</si>
  <si>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</si>
  <si>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</si>
  <si>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</si>
  <si>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</si>
  <si>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</si>
  <si>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</si>
  <si>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</si>
  <si>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</si>
  <si>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</si>
  <si>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</si>
  <si>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</si>
  <si>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</si>
  <si>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</si>
  <si>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</si>
  <si>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</si>
  <si>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</si>
  <si>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</si>
  <si>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</si>
  <si>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</si>
  <si>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</si>
  <si>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</si>
  <si>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</si>
  <si>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</si>
  <si>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</si>
  <si>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</si>
  <si>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</si>
  <si>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</si>
  <si>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</si>
  <si>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</si>
  <si>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</si>
  <si>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</si>
  <si>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</si>
  <si>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</si>
  <si>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</si>
  <si>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</si>
  <si>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</si>
  <si>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</si>
  <si>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</si>
  <si>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</si>
  <si>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</si>
  <si>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</si>
  <si>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</si>
  <si>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</si>
  <si>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</si>
  <si>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</si>
  <si>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</si>
  <si>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</si>
  <si>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</si>
  <si>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</si>
  <si>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</si>
  <si>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</si>
  <si>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</si>
  <si>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</si>
  <si>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</si>
  <si>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</si>
  <si>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</si>
  <si>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</si>
  <si>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</si>
  <si>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</si>
  <si>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</si>
  <si>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</si>
  <si>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</si>
  <si>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</si>
  <si>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</si>
  <si>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</si>
  <si>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</si>
  <si>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</si>
  <si>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</si>
  <si>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</si>
  <si>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</si>
  <si>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</si>
  <si>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</si>
  <si>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</si>
  <si>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</si>
  <si>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</si>
  <si>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</si>
  <si>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</si>
  <si>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</si>
  <si>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</si>
  <si>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</si>
  <si>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</si>
  <si>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</si>
  <si>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</si>
  <si>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</si>
  <si>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</si>
  <si>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</si>
  <si>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</si>
  <si>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</si>
  <si>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</si>
  <si>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</si>
  <si>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</si>
  <si>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</si>
  <si>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</si>
  <si>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</si>
  <si>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</si>
  <si>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</si>
  <si>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</si>
  <si>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</si>
  <si>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</si>
  <si>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</si>
  <si>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</si>
  <si>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</si>
  <si>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</si>
  <si>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</si>
  <si>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</si>
  <si>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</si>
  <si>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</si>
  <si>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</si>
  <si>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</si>
  <si>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</si>
  <si>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</si>
  <si>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</si>
  <si>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</si>
  <si>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</si>
  <si>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</si>
  <si>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</si>
  <si>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</si>
  <si>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</si>
  <si>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</si>
  <si>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</si>
  <si>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</si>
  <si>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</si>
  <si>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</si>
  <si>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</si>
  <si>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</si>
  <si>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</si>
  <si>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</si>
  <si>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</si>
  <si>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</si>
  <si>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</si>
  <si>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</si>
  <si>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</si>
  <si>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</si>
  <si>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</si>
  <si>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</si>
  <si>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</si>
  <si>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</si>
  <si>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</si>
  <si>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</si>
  <si>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</si>
  <si>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</si>
  <si>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</si>
  <si>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</si>
  <si>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</si>
  <si>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</si>
  <si>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</si>
  <si>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</si>
  <si>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</si>
  <si>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</si>
  <si>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</si>
  <si>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</si>
  <si>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</si>
  <si>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</si>
  <si>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</si>
  <si>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</si>
  <si>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</si>
  <si>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</si>
  <si>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</si>
  <si>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</si>
  <si>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</si>
  <si>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</si>
  <si>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</si>
  <si>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</si>
  <si>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</si>
  <si>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</si>
  <si>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</si>
  <si>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</si>
  <si>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</si>
  <si>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</si>
  <si>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</si>
  <si>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</si>
  <si>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</si>
  <si>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</si>
  <si>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</si>
  <si>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</si>
  <si>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</si>
  <si>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</si>
  <si>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</si>
  <si>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</si>
  <si>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</si>
  <si>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</si>
  <si>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</si>
  <si>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</si>
  <si>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</si>
  <si>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</si>
  <si>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</si>
  <si>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</si>
  <si>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</si>
  <si>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</si>
  <si>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</si>
  <si>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</si>
  <si>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</si>
  <si>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</si>
  <si>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</si>
  <si>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</si>
  <si>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</si>
  <si>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</si>
  <si>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</si>
  <si>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</si>
  <si>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</si>
  <si>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</si>
  <si>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</si>
  <si>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</si>
  <si>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</si>
  <si>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</si>
  <si>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</si>
  <si>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</si>
  <si>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</si>
  <si>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</si>
  <si>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</si>
  <si>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</si>
  <si>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</si>
  <si>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</si>
  <si>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</si>
  <si>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</si>
  <si>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</si>
  <si>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</si>
  <si>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</si>
  <si>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</si>
  <si>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</si>
  <si>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</si>
  <si>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</si>
  <si>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</si>
  <si>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</si>
  <si>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</si>
  <si>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</si>
  <si>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</si>
  <si>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</si>
  <si>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</si>
  <si>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</si>
  <si>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</si>
  <si>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</si>
  <si>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</si>
  <si>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</si>
  <si>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</si>
  <si>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</si>
  <si>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</si>
  <si>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</si>
  <si>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</si>
  <si>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</si>
  <si>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</si>
  <si>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</si>
  <si>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</si>
  <si>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</si>
  <si>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</si>
  <si>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</si>
  <si>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</si>
  <si>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</si>
  <si>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</si>
  <si>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</si>
  <si>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</si>
  <si>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</si>
  <si>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</si>
  <si>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</si>
  <si>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</si>
  <si>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</si>
  <si>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Cristalum Gandia</t>
  </si>
  <si>
    <t>Tavernes - DP2</t>
  </si>
  <si>
    <t>RAL 7016 Text.</t>
  </si>
  <si>
    <t>2 uds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</si>
</sst>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9" fontId="0" fillId="0" borderId="0" xfId="0" applyNumberFormat="1"/>
    <xf numFmtId="166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vertical="center"/>
    </xf>
    <xf numFmtId="166" fontId="8" fillId="2" borderId="0" xfId="0" applyNumberFormat="1" applyFont="1" applyFill="1" applyAlignment="1">
      <alignment horizontal="right" vertical="center"/>
    </xf>
    <xf numFmtId="44" fontId="8" fillId="2" borderId="5" xfId="1" applyFont="1" applyFill="1" applyBorder="1" applyAlignment="1">
      <alignment horizontal="right" vertical="center"/>
    </xf>
    <xf numFmtId="44" fontId="8" fillId="2" borderId="0" xfId="1" applyFont="1" applyFill="1" applyBorder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8:C81" totalsRowShown="0">
  <autoFilter ref="C78:C81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81"/>
  <sheetViews>
    <sheetView tabSelected="1" view="pageBreakPreview" zoomScale="60" zoomScaleNormal="95" workbookViewId="0">
      <selection activeCell="G33" sqref="G32:G33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3" t="s">
        <v>1</v>
      </c>
      <c r="F3" s="83"/>
      <c r="G3" s="83"/>
      <c r="H3" s="84"/>
      <c r="I3" s="84"/>
      <c r="J3" s="84"/>
      <c r="K3" s="84"/>
      <c r="L3" s="84"/>
    </row>
    <row r="5" spans="1:12" ht="18.75" x14ac:dyDescent="0.25">
      <c r="B5" s="85" t="s">
        <v>2</v>
      </c>
      <c r="C5" s="85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20250161</v>
      </c>
      <c r="G7" s="8">
        <f ca="1">TODAY()</f>
        <v>45883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 t="s">
        <v>91</v>
      </c>
      <c r="C13" s="86" t="str">
        <f>IFERROR(VLOOKUP($B13,Tarifa_all_20240711!$A$2:$G$660,2,FALSE()),"-")</f>
        <v>MARCO PA PICAP/COND LAC.NEGRO TEXTURADO</v>
      </c>
      <c r="D13" s="86"/>
      <c r="E13" s="17">
        <v>1</v>
      </c>
      <c r="F13" s="18">
        <f>IFERROR(VLOOKUP($B13,Tarifa_all_20240711!$A$2:$G$660,5,FALSE()),"-")</f>
        <v>242.24250000000001</v>
      </c>
      <c r="G13" s="18">
        <f t="shared" ref="G13:G30" si="0">IFERROR(E13*F13,"-")</f>
        <v>242.24250000000001</v>
      </c>
      <c r="H13" s="1"/>
    </row>
    <row r="14" spans="1:12" x14ac:dyDescent="0.25">
      <c r="A14" t="s">
        <v>1434</v>
      </c>
      <c r="B14" s="16" t="s">
        <v>105</v>
      </c>
      <c r="C14" s="86" t="str">
        <f>IFERROR(VLOOKUP($B14,Tarifa_all_20240711!$A$2:$G$660,2,FALSE()),"-")</f>
        <v>KIT PA PIVOTANTE PICAP/COND LAC.NEGRO TEXTURADO</v>
      </c>
      <c r="D14" s="86"/>
      <c r="E14" s="17">
        <v>1</v>
      </c>
      <c r="F14" s="18">
        <f>IFERROR(VLOOKUP($B14,Tarifa_all_20240711!$A$2:$G$660,5,FALSE()),"-")</f>
        <v>215.65500000000003</v>
      </c>
      <c r="G14" s="18">
        <f t="shared" si="0"/>
        <v>215.65500000000003</v>
      </c>
      <c r="H14" s="1"/>
    </row>
    <row r="15" spans="1:12" x14ac:dyDescent="0.25">
      <c r="A15" t="s">
        <v>1435</v>
      </c>
      <c r="B15" s="16" t="s">
        <v>1097</v>
      </c>
      <c r="C15" s="86" t="str">
        <f>IFERROR(VLOOKUP($B15,Tarifa_all_20240711!$A$2:$G$660,2,FALSE()),"-")</f>
        <v>PA CERRAD+EMB.CONDENA LAC.NEGRO TEXTURADO</v>
      </c>
      <c r="D15" s="86"/>
      <c r="E15" s="17">
        <v>1</v>
      </c>
      <c r="F15" s="18">
        <f>IFERROR(VLOOKUP($B15,Tarifa_all_20240711!$A$2:$G$660,5,FALSE()),"-")</f>
        <v>219.29249999999999</v>
      </c>
      <c r="G15" s="18">
        <f t="shared" si="0"/>
        <v>219.29249999999999</v>
      </c>
      <c r="H15" s="1"/>
    </row>
    <row r="16" spans="1:12" x14ac:dyDescent="0.25">
      <c r="A16" t="s">
        <v>1436</v>
      </c>
      <c r="B16" s="16"/>
      <c r="C16" s="86" t="str">
        <f>IFERROR(VLOOKUP($B16,Tarifa_all_20240711!$A$2:$G$660,2,FALSE()),"-")</f>
        <v>-</v>
      </c>
      <c r="D16" s="86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28</v>
      </c>
      <c r="B17" s="16" t="s">
        <v>350</v>
      </c>
      <c r="C17" s="86" t="str">
        <f>IFERROR(VLOOKUP($B17,Tarifa_all_20240711!$A$2:$G$660,2,FALSE()),"-")</f>
        <v>MANETA TOULON LAC.NEGRO MATE</v>
      </c>
      <c r="D17" s="86"/>
      <c r="E17" s="17">
        <v>1</v>
      </c>
      <c r="F17" s="18">
        <f>IFERROR(VLOOKUP($B17,Tarifa_all_20240711!$A$2:$G$660,5,FALSE()),"-")</f>
        <v>74.527500000000003</v>
      </c>
      <c r="G17" s="18">
        <f t="shared" si="0"/>
        <v>74.527500000000003</v>
      </c>
      <c r="H17" s="1"/>
    </row>
    <row r="18" spans="1:8" x14ac:dyDescent="0.25">
      <c r="A18" t="s">
        <v>14</v>
      </c>
      <c r="B18" s="16" t="s">
        <v>128</v>
      </c>
      <c r="C18" s="86" t="str">
        <f>IFERROR(VLOOKUP($B18,Tarifa_all_20240711!$A$2:$G$660,2,FALSE()),"-")</f>
        <v>PERFIL EMBELL.HORIZ. ADH LAC.NEGRO TEXTURADO</v>
      </c>
      <c r="D18" s="86"/>
      <c r="E18" s="17">
        <v>4</v>
      </c>
      <c r="F18" s="18">
        <f>IFERROR(VLOOKUP($B18,Tarifa_all_20240711!$A$2:$G$660,5,FALSE()),"-")</f>
        <v>21.794999999999998</v>
      </c>
      <c r="G18" s="18">
        <f t="shared" si="0"/>
        <v>87.179999999999993</v>
      </c>
      <c r="H18" s="1"/>
    </row>
    <row r="19" spans="1:8" x14ac:dyDescent="0.25">
      <c r="B19" s="16"/>
      <c r="C19" s="86" t="str">
        <f>IFERROR(VLOOKUP($B19,Tarifa_all_20240711!$A$2:$G$660,2,FALSE()),"-")</f>
        <v>-</v>
      </c>
      <c r="D19" s="86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B20" s="16"/>
      <c r="C20" s="86" t="str">
        <f>IFERROR(VLOOKUP($B20,Tarifa_all_20240711!$A$2:$G$660,2,FALSE()),"-")</f>
        <v>-</v>
      </c>
      <c r="D20" s="86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B21" s="16"/>
      <c r="C21" s="86" t="str">
        <f>IFERROR(VLOOKUP($B21,Tarifa_all_20240711!$A$2:$G$660,2,FALSE()),"-")</f>
        <v>-</v>
      </c>
      <c r="D21" s="86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86" t="str">
        <f>IFERROR(VLOOKUP($B22,Tarifa_all_20240711!$A$2:$G$660,2,FALSE()),"-")</f>
        <v>-</v>
      </c>
      <c r="D22" s="86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86" t="str">
        <f>IFERROR(VLOOKUP($B23,Tarifa_all_20240711!$A$2:$G$660,2,FALSE()),"-")</f>
        <v>-</v>
      </c>
      <c r="D23" s="86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86" t="str">
        <f>IFERROR(VLOOKUP($B24,Tarifa_all_20240711!$A$2:$G$660,2,FALSE()),"-")</f>
        <v>-</v>
      </c>
      <c r="D24" s="86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6" t="str">
        <f>IFERROR(VLOOKUP($B25,Tarifa_all_20240711!$A$2:$G$660,2,FALSE()),"-")</f>
        <v>-</v>
      </c>
      <c r="D25" s="86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6" t="str">
        <f>IFERROR(VLOOKUP($B26,Tarifa_all_20240711!$A$2:$G$660,2,FALSE()),"-")</f>
        <v>-</v>
      </c>
      <c r="D26" s="86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6" t="str">
        <f>IFERROR(VLOOKUP($B27,Tarifa_all_20240711!$A$2:$G$660,2,FALSE()),"-")</f>
        <v>-</v>
      </c>
      <c r="D27" s="86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6" t="str">
        <f>IFERROR(VLOOKUP($B28,Tarifa_all_20240711!$A$2:$G$660,2,FALSE()),"-")</f>
        <v>-</v>
      </c>
      <c r="D28" s="86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6" t="str">
        <f>IFERROR(VLOOKUP($B29,Tarifa_all_20240711!$A$2:$G$660,2,FALSE()),"-")</f>
        <v>-</v>
      </c>
      <c r="D29" s="86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6" t="str">
        <f>IFERROR(VLOOKUP($B30,Tarifa_all_20240711!$A$2:$G$660,2,FALSE()),"-")</f>
        <v>-</v>
      </c>
      <c r="D30" s="86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838.89750000000004</v>
      </c>
    </row>
    <row r="32" spans="1:8" x14ac:dyDescent="0.25">
      <c r="B32" s="19" t="s">
        <v>1449</v>
      </c>
      <c r="C32" s="19"/>
      <c r="D32" s="19"/>
      <c r="E32" s="19"/>
      <c r="F32" s="78"/>
      <c r="G32" s="81">
        <f>G31*(1+H32)</f>
        <v>922.78725000000009</v>
      </c>
      <c r="H32" s="77">
        <v>0.1</v>
      </c>
    </row>
    <row r="33" spans="2:8" x14ac:dyDescent="0.25">
      <c r="B33" s="79" t="s">
        <v>1450</v>
      </c>
      <c r="C33" s="79"/>
      <c r="D33" s="79"/>
      <c r="E33" s="79"/>
      <c r="F33" s="80"/>
      <c r="G33" s="82">
        <f>G32*2</f>
        <v>1845.5745000000002</v>
      </c>
      <c r="H33" s="77"/>
    </row>
    <row r="34" spans="2:8" x14ac:dyDescent="0.25">
      <c r="B34" s="79"/>
      <c r="C34" s="79"/>
      <c r="D34" s="79"/>
      <c r="E34" s="79"/>
      <c r="F34" s="80"/>
      <c r="G34" s="80"/>
      <c r="H34" s="77"/>
    </row>
    <row r="35" spans="2:8" x14ac:dyDescent="0.25">
      <c r="B35" s="22" t="s">
        <v>15</v>
      </c>
      <c r="C35" s="23"/>
      <c r="D35" s="23"/>
      <c r="E35" s="23"/>
      <c r="F35" s="23"/>
      <c r="G35" s="24"/>
    </row>
    <row r="36" spans="2:8" ht="15" customHeight="1" x14ac:dyDescent="0.25">
      <c r="B36" s="25" t="s">
        <v>16</v>
      </c>
      <c r="C36" s="26" t="s">
        <v>66</v>
      </c>
      <c r="D36" s="26"/>
      <c r="E36" s="26"/>
      <c r="F36" s="26"/>
      <c r="G36" s="24"/>
    </row>
    <row r="37" spans="2:8" x14ac:dyDescent="0.25">
      <c r="B37" s="27" t="s">
        <v>17</v>
      </c>
      <c r="C37" s="26"/>
      <c r="D37" s="26"/>
      <c r="E37" s="26"/>
      <c r="F37" s="26"/>
      <c r="G37" s="24"/>
    </row>
    <row r="38" spans="2:8" x14ac:dyDescent="0.25">
      <c r="B38" s="28" t="s">
        <v>1446</v>
      </c>
      <c r="C38" s="29"/>
      <c r="D38" s="29"/>
      <c r="E38" s="29"/>
      <c r="F38" s="29"/>
      <c r="G38" s="24"/>
    </row>
    <row r="39" spans="2:8" x14ac:dyDescent="0.25">
      <c r="B39" s="27"/>
      <c r="C39" s="26"/>
      <c r="D39" s="26"/>
      <c r="E39" s="26"/>
      <c r="F39" s="26"/>
      <c r="G39" s="20"/>
    </row>
    <row r="40" spans="2:8" x14ac:dyDescent="0.25">
      <c r="B40" s="27"/>
      <c r="C40" s="26"/>
      <c r="D40" s="26"/>
      <c r="E40" s="26"/>
      <c r="F40" s="26"/>
      <c r="G40" s="24"/>
    </row>
    <row r="41" spans="2:8" x14ac:dyDescent="0.25">
      <c r="B41" s="30"/>
      <c r="C41" s="31"/>
      <c r="D41" s="31"/>
      <c r="E41" s="31"/>
      <c r="F41" s="31"/>
      <c r="G41" s="24"/>
    </row>
    <row r="42" spans="2:8" x14ac:dyDescent="0.25">
      <c r="B42" s="27"/>
      <c r="C42" s="31"/>
      <c r="D42" s="31"/>
      <c r="E42" s="31"/>
      <c r="F42" s="31"/>
      <c r="G42" s="24"/>
    </row>
    <row r="43" spans="2:8" x14ac:dyDescent="0.25">
      <c r="B43" s="26"/>
      <c r="C43" s="26"/>
      <c r="D43" s="26"/>
      <c r="E43" s="26"/>
      <c r="F43" s="26"/>
      <c r="G43" s="24"/>
    </row>
    <row r="44" spans="2:8" x14ac:dyDescent="0.25">
      <c r="B44" s="32"/>
      <c r="D44" s="32"/>
      <c r="E44" s="32"/>
      <c r="F44" s="32"/>
    </row>
    <row r="45" spans="2:8" x14ac:dyDescent="0.25">
      <c r="C45" s="33" t="s">
        <v>18</v>
      </c>
      <c r="D45" s="34" t="s">
        <v>19</v>
      </c>
      <c r="E45" s="34"/>
      <c r="F45" s="34"/>
    </row>
    <row r="46" spans="2:8" x14ac:dyDescent="0.25">
      <c r="C46" s="35" t="s">
        <v>20</v>
      </c>
      <c r="D46" s="23" t="s">
        <v>20</v>
      </c>
      <c r="E46" s="23"/>
      <c r="F46" s="23"/>
    </row>
    <row r="47" spans="2:8" x14ac:dyDescent="0.25">
      <c r="C47" s="35" t="s">
        <v>21</v>
      </c>
      <c r="D47" s="23" t="s">
        <v>21</v>
      </c>
      <c r="E47" s="23"/>
      <c r="F47" s="23"/>
    </row>
    <row r="48" spans="2:8" x14ac:dyDescent="0.25">
      <c r="C48" s="35" t="s">
        <v>22</v>
      </c>
      <c r="D48" s="23" t="s">
        <v>23</v>
      </c>
      <c r="E48" s="23"/>
      <c r="F48" s="23"/>
    </row>
    <row r="49" spans="3:6" x14ac:dyDescent="0.25">
      <c r="C49" s="35" t="s">
        <v>24</v>
      </c>
      <c r="D49" s="23" t="s">
        <v>22</v>
      </c>
      <c r="E49" s="23"/>
      <c r="F49" s="23"/>
    </row>
    <row r="50" spans="3:6" x14ac:dyDescent="0.25">
      <c r="C50" s="35" t="s">
        <v>25</v>
      </c>
      <c r="D50" s="23" t="s">
        <v>26</v>
      </c>
      <c r="E50" s="23"/>
      <c r="F50" s="23"/>
    </row>
    <row r="51" spans="3:6" x14ac:dyDescent="0.25">
      <c r="C51" s="35" t="s">
        <v>27</v>
      </c>
      <c r="D51" s="23" t="s">
        <v>28</v>
      </c>
      <c r="E51" s="23"/>
      <c r="F51" s="23"/>
    </row>
    <row r="52" spans="3:6" x14ac:dyDescent="0.25">
      <c r="C52" s="35" t="s">
        <v>29</v>
      </c>
      <c r="D52" s="23" t="s">
        <v>29</v>
      </c>
      <c r="E52" s="23"/>
      <c r="F52" s="23"/>
    </row>
    <row r="53" spans="3:6" x14ac:dyDescent="0.25">
      <c r="C53" s="35" t="s">
        <v>30</v>
      </c>
      <c r="D53" s="23" t="s">
        <v>31</v>
      </c>
      <c r="E53" s="23"/>
      <c r="F53" s="23"/>
    </row>
    <row r="54" spans="3:6" x14ac:dyDescent="0.25">
      <c r="C54" s="35" t="s">
        <v>32</v>
      </c>
      <c r="D54" s="87"/>
      <c r="E54" s="87"/>
      <c r="F54" s="87"/>
    </row>
    <row r="57" spans="3:6" ht="30" x14ac:dyDescent="0.25">
      <c r="C57" s="36" t="s">
        <v>8</v>
      </c>
      <c r="D57" s="37" t="s">
        <v>33</v>
      </c>
    </row>
    <row r="58" spans="3:6" x14ac:dyDescent="0.25">
      <c r="C58" s="38" t="s">
        <v>34</v>
      </c>
      <c r="D58" s="39"/>
    </row>
    <row r="59" spans="3:6" x14ac:dyDescent="0.25">
      <c r="C59" s="40" t="s">
        <v>35</v>
      </c>
      <c r="D59" s="41" t="s">
        <v>36</v>
      </c>
    </row>
    <row r="60" spans="3:6" x14ac:dyDescent="0.25">
      <c r="C60" s="40" t="s">
        <v>37</v>
      </c>
      <c r="D60" s="41" t="s">
        <v>38</v>
      </c>
    </row>
    <row r="61" spans="3:6" x14ac:dyDescent="0.25">
      <c r="C61" s="40" t="s">
        <v>39</v>
      </c>
      <c r="D61" s="41" t="s">
        <v>40</v>
      </c>
    </row>
    <row r="62" spans="3:6" x14ac:dyDescent="0.25">
      <c r="C62" s="40" t="s">
        <v>41</v>
      </c>
      <c r="D62" s="41" t="s">
        <v>42</v>
      </c>
    </row>
    <row r="63" spans="3:6" x14ac:dyDescent="0.25">
      <c r="C63" s="40" t="s">
        <v>43</v>
      </c>
      <c r="D63" s="41" t="s">
        <v>44</v>
      </c>
    </row>
    <row r="64" spans="3:6" x14ac:dyDescent="0.25">
      <c r="C64" s="40" t="s">
        <v>45</v>
      </c>
      <c r="D64" s="41" t="s">
        <v>46</v>
      </c>
    </row>
    <row r="65" spans="3:4" x14ac:dyDescent="0.25">
      <c r="C65" s="40" t="s">
        <v>47</v>
      </c>
      <c r="D65" s="41" t="s">
        <v>48</v>
      </c>
    </row>
    <row r="66" spans="3:4" x14ac:dyDescent="0.25">
      <c r="C66" s="38" t="s">
        <v>49</v>
      </c>
      <c r="D66" s="39"/>
    </row>
    <row r="67" spans="3:4" x14ac:dyDescent="0.25">
      <c r="C67" s="40" t="s">
        <v>50</v>
      </c>
      <c r="D67" s="41" t="s">
        <v>51</v>
      </c>
    </row>
    <row r="68" spans="3:4" x14ac:dyDescent="0.25">
      <c r="C68" s="42" t="s">
        <v>52</v>
      </c>
      <c r="D68" s="41" t="s">
        <v>53</v>
      </c>
    </row>
    <row r="69" spans="3:4" x14ac:dyDescent="0.25">
      <c r="C69" s="42" t="s">
        <v>54</v>
      </c>
      <c r="D69" s="41" t="s">
        <v>55</v>
      </c>
    </row>
    <row r="70" spans="3:4" x14ac:dyDescent="0.25">
      <c r="C70" s="42" t="s">
        <v>56</v>
      </c>
      <c r="D70" s="41" t="s">
        <v>57</v>
      </c>
    </row>
    <row r="71" spans="3:4" x14ac:dyDescent="0.25">
      <c r="C71" s="42" t="s">
        <v>58</v>
      </c>
      <c r="D71" s="41" t="s">
        <v>59</v>
      </c>
    </row>
    <row r="72" spans="3:4" x14ac:dyDescent="0.25">
      <c r="C72" s="42" t="s">
        <v>60</v>
      </c>
      <c r="D72" s="41" t="s">
        <v>61</v>
      </c>
    </row>
    <row r="73" spans="3:4" x14ac:dyDescent="0.25">
      <c r="C73" s="42" t="s">
        <v>62</v>
      </c>
      <c r="D73" s="41" t="s">
        <v>63</v>
      </c>
    </row>
    <row r="74" spans="3:4" x14ac:dyDescent="0.25">
      <c r="C74" s="42" t="s">
        <v>64</v>
      </c>
      <c r="D74" s="41" t="s">
        <v>65</v>
      </c>
    </row>
    <row r="78" spans="3:4" x14ac:dyDescent="0.25">
      <c r="C78" t="s">
        <v>66</v>
      </c>
    </row>
    <row r="79" spans="3:4" x14ac:dyDescent="0.25">
      <c r="C79" t="s">
        <v>67</v>
      </c>
    </row>
    <row r="80" spans="3:4" x14ac:dyDescent="0.25">
      <c r="C80" t="s">
        <v>68</v>
      </c>
    </row>
    <row r="81" spans="3:3" x14ac:dyDescent="0.25">
      <c r="C81" t="s">
        <v>69</v>
      </c>
    </row>
  </sheetData>
  <mergeCells count="22">
    <mergeCell ref="D54:F54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68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A21" sqref="A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3" t="s">
        <v>70</v>
      </c>
      <c r="F2" s="83"/>
      <c r="G2" s="83"/>
    </row>
    <row r="3" spans="1:7" ht="18" customHeight="1" x14ac:dyDescent="0.35">
      <c r="E3" s="83" t="s">
        <v>1</v>
      </c>
      <c r="F3" s="83"/>
      <c r="G3" s="83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2" t="s">
        <v>71</v>
      </c>
      <c r="B6" s="92"/>
      <c r="C6" s="92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93" t="str">
        <f>'DESPIECE (MATANALYSIS)'!C8</f>
        <v>Cristalum Gandia</v>
      </c>
      <c r="C9" s="93"/>
      <c r="D9" s="93"/>
      <c r="F9" s="3" t="s">
        <v>73</v>
      </c>
      <c r="G9" s="44">
        <f ca="1">TODAY()</f>
        <v>45883</v>
      </c>
    </row>
    <row r="10" spans="1:7" x14ac:dyDescent="0.25">
      <c r="A10" s="3" t="s">
        <v>74</v>
      </c>
      <c r="B10" s="11" t="str">
        <f>'DESPIECE (MATANALYSIS)'!C9</f>
        <v>Tavernes - DP2</v>
      </c>
      <c r="C10" s="45"/>
      <c r="D10" s="45"/>
      <c r="E10" s="46"/>
      <c r="F10" s="47" t="s">
        <v>75</v>
      </c>
      <c r="G10" s="7">
        <f>'DESPIECE (MATANALYSIS)'!C7</f>
        <v>20250161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(MATANALYSIS)'!C36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838.89750000000004</v>
      </c>
    </row>
    <row r="45" spans="1:7" ht="22.7" customHeight="1" x14ac:dyDescent="0.25">
      <c r="A45" s="88" t="s">
        <v>1445</v>
      </c>
      <c r="B45" s="88"/>
      <c r="C45" s="72"/>
      <c r="D45" s="72"/>
      <c r="E45" s="72"/>
      <c r="F45" s="73">
        <v>-0.1</v>
      </c>
      <c r="G45" s="74">
        <f>G44*(1+F45)</f>
        <v>755.0077500000001</v>
      </c>
    </row>
    <row r="46" spans="1:7" ht="22.7" customHeight="1" x14ac:dyDescent="0.25">
      <c r="A46" s="89" t="s">
        <v>84</v>
      </c>
      <c r="B46" s="89"/>
      <c r="C46" s="59"/>
      <c r="D46" s="59"/>
      <c r="E46" s="59"/>
      <c r="F46" s="90">
        <f>G45</f>
        <v>755.0077500000001</v>
      </c>
      <c r="G46" s="90"/>
    </row>
    <row r="47" spans="1:7" s="1" customFormat="1" ht="22.7" customHeight="1" x14ac:dyDescent="0.25">
      <c r="A47" s="91" t="s">
        <v>85</v>
      </c>
      <c r="B47" s="91"/>
      <c r="C47" s="91"/>
      <c r="D47" s="91"/>
      <c r="E47" s="91"/>
      <c r="F47" s="91"/>
      <c r="G47" s="91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2025-08-14T10:39:30Z</cp:lastPrinted>
  <dcterms:created xsi:type="dcterms:W3CDTF">2024-04-15T12:43:19Z</dcterms:created>
  <dcterms:modified xsi:type="dcterms:W3CDTF">2025-08-14T10:39:36Z</dcterms:modified>
  <dc:language>es-ES</dc:language>
</cp:coreProperties>
</file>