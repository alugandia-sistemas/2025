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"/>
    </mc:Choice>
  </mc:AlternateContent>
  <xr:revisionPtr revIDLastSave="0" documentId="13_ncr:1_{F90A2275-F989-47F6-8DF8-6A497422F25D}" xr6:coauthVersionLast="47" xr6:coauthVersionMax="47" xr10:uidLastSave="{00000000-0000-0000-0000-000000000000}"/>
  <bookViews>
    <workbookView xWindow="-120" yWindow="-120" windowWidth="29040" windowHeight="15720" tabRatio="660" activeTab="4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4" i="11" l="1"/>
  <c r="I563" i="11"/>
  <c r="J563" i="11"/>
  <c r="J79" i="11"/>
  <c r="I79" i="11"/>
  <c r="K83" i="11"/>
  <c r="J83" i="11"/>
  <c r="I86" i="11"/>
  <c r="I85" i="11"/>
  <c r="I84" i="11"/>
  <c r="I83" i="1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G3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<sst xmlns="http://schemas.openxmlformats.org/spreadsheetml/2006/main" count="5408" uniqueCount="1454">
  <si>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</si>
  <si>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</si>
  <si>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</si>
  <si>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</si>
  <si>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</si>
  <si>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</si>
  <si>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</si>
  <si>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</si>
  <si>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</si>
  <si>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</si>
  <si>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</si>
  <si>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</si>
  <si>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</si>
  <si>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</si>
  <si>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</si>
  <si>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</si>
  <si>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</si>
  <si>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</si>
  <si>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</si>
  <si>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</si>
  <si>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</si>
  <si>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</si>
  <si>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</si>
  <si>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</si>
  <si>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</si>
  <si>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</si>
  <si>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</si>
  <si>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</si>
  <si>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</si>
  <si>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</si>
  <si>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</si>
  <si>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</si>
  <si>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</si>
  <si>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</si>
  <si>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</si>
  <si>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</si>
  <si>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</si>
  <si>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</si>
  <si>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</si>
  <si>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</si>
  <si>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</si>
  <si>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</si>
  <si>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</si>
  <si>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</si>
  <si>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</si>
  <si>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</si>
  <si>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</si>
  <si>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</si>
  <si>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</si>
  <si>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</si>
  <si>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</si>
  <si>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</si>
  <si>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</si>
  <si>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</si>
  <si>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</si>
  <si>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</si>
  <si>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</si>
  <si>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</si>
  <si>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</si>
  <si>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</si>
  <si>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</si>
  <si>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</si>
  <si>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</si>
  <si>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</si>
  <si>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</si>
  <si>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</si>
  <si>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</si>
  <si>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</si>
  <si>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</si>
  <si>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</si>
  <si>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</si>
  <si>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</si>
  <si>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</si>
  <si>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</si>
  <si>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</si>
  <si>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</si>
  <si>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</si>
  <si>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</si>
  <si>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</si>
  <si>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</si>
  <si>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</si>
  <si>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</si>
  <si>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</si>
  <si>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</si>
  <si>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</si>
  <si>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</si>
  <si>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</si>
  <si>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</si>
  <si>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</si>
  <si>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</si>
  <si>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</si>
  <si>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</si>
  <si>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</si>
  <si>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</si>
  <si>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</si>
  <si>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</si>
  <si>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</si>
  <si>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</si>
  <si>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</si>
  <si>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</si>
  <si>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</si>
  <si>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</si>
  <si>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</si>
  <si>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</si>
  <si>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</si>
  <si>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</si>
  <si>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</si>
  <si>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</si>
  <si>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</si>
  <si>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</si>
  <si>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</si>
  <si>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</si>
  <si>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</si>
  <si>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</si>
  <si>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</si>
  <si>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</si>
  <si>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</si>
  <si>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</si>
  <si>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</si>
  <si>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</si>
  <si>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</si>
  <si>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</si>
  <si>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</si>
  <si>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</si>
  <si>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</si>
  <si>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</si>
  <si>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</si>
  <si>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</si>
  <si>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</si>
  <si>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</si>
  <si>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</si>
  <si>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</si>
  <si>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</si>
  <si>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</si>
  <si>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</si>
  <si>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</si>
  <si>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</si>
  <si>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</si>
  <si>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</si>
  <si>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</si>
  <si>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</si>
  <si>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</si>
  <si>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</si>
  <si>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</si>
  <si>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</si>
  <si>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</si>
  <si>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</si>
  <si>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</si>
  <si>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</si>
  <si>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</si>
  <si>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</si>
  <si>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</si>
  <si>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</si>
  <si>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</si>
  <si>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</si>
  <si>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</si>
  <si>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</si>
  <si>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</si>
  <si>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</si>
  <si>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</si>
  <si>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</si>
  <si>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</si>
  <si>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</si>
  <si>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</si>
  <si>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</si>
  <si>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</si>
  <si>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</si>
  <si>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</si>
  <si>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</si>
  <si>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</si>
  <si>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</si>
  <si>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</si>
  <si>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</si>
  <si>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</si>
  <si>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</si>
  <si>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</si>
  <si>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</si>
  <si>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</si>
  <si>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</si>
  <si>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</si>
  <si>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</si>
  <si>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</si>
  <si>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</si>
  <si>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</si>
  <si>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</si>
  <si>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</si>
  <si>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</si>
  <si>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</si>
  <si>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</si>
  <si>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</si>
  <si>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</si>
  <si>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</si>
  <si>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</si>
  <si>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</si>
  <si>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</si>
  <si>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</si>
  <si>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</si>
  <si>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</si>
  <si>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</si>
  <si>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</si>
  <si>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</si>
  <si>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</si>
  <si>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</si>
  <si>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</si>
  <si>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</si>
  <si>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</si>
  <si>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</si>
  <si>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</si>
  <si>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</si>
  <si>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</si>
  <si>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</si>
  <si>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</si>
  <si>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</si>
  <si>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</si>
  <si>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</si>
  <si>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</si>
  <si>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</si>
  <si>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</si>
  <si>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</si>
  <si>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</si>
  <si>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</si>
  <si>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</si>
  <si>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</si>
  <si>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</si>
  <si>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</si>
  <si>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</si>
  <si>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</si>
  <si>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</si>
  <si>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</si>
  <si>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</si>
  <si>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</si>
  <si>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</si>
  <si>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</si>
  <si>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</si>
  <si>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</si>
  <si>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</si>
  <si>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</si>
  <si>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</si>
  <si>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</si>
  <si>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</si>
  <si>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</si>
  <si>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</si>
  <si>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</si>
  <si>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</si>
  <si>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</si>
  <si>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</si>
  <si>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</si>
  <si>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</si>
  <si>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</si>
  <si>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</si>
  <si>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</si>
  <si>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</si>
  <si>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</si>
  <si>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</si>
  <si>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</si>
  <si>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</si>
  <si>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</si>
  <si>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</si>
  <si>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</si>
  <si>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</si>
  <si>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</si>
  <si>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</si>
  <si>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</si>
  <si>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</si>
  <si>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</si>
  <si>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</si>
  <si>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</si>
  <si>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</si>
  <si>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</si>
  <si>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</si>
  <si>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</si>
  <si>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</si>
  <si>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</si>
  <si>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</si>
  <si>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</si>
  <si>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</si>
  <si>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</si>
  <si>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</si>
  <si>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</si>
  <si>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</si>
  <si>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</si>
  <si>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</si>
  <si>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</si>
  <si>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</si>
  <si>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</si>
  <si>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</si>
  <si>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</si>
  <si>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</si>
  <si>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</si>
  <si>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</si>
  <si>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</si>
  <si>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</si>
  <si>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</si>
  <si>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</si>
  <si>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</si>
  <si>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</si>
  <si>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</si>
  <si>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</si>
  <si>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</si>
  <si>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</si>
  <si>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</si>
  <si>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</si>
  <si>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</si>
  <si>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</si>
  <si>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</si>
  <si>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</si>
  <si>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</si>
  <si>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</si>
  <si>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</si>
  <si>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</si>
  <si>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</si>
  <si>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</si>
  <si>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</si>
  <si>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</si>
  <si>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</si>
  <si>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</si>
  <si>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</si>
  <si>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</si>
  <si>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</si>
  <si>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</si>
  <si>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</si>
  <si>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</si>
  <si>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</si>
  <si>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</si>
  <si>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</si>
  <si>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</si>
  <si>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</si>
  <si>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</si>
  <si>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</si>
  <si>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</si>
  <si>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</si>
  <si>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</si>
  <si>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</si>
  <si>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</si>
  <si>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</si>
  <si>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</si>
  <si>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</si>
  <si>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</si>
  <si>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</si>
  <si>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</si>
  <si>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</si>
  <si>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</si>
  <si>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</si>
  <si>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</si>
  <si>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</si>
  <si>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</si>
  <si>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</si>
  <si>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</si>
  <si>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</si>
  <si>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</si>
  <si>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</si>
  <si>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</si>
  <si>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</si>
  <si>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</si>
  <si>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</si>
  <si>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</si>
  <si>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</si>
  <si>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</si>
  <si>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</si>
  <si>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</si>
  <si>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</si>
  <si>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</si>
  <si>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</si>
  <si>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</si>
  <si>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</si>
  <si>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</si>
  <si>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</si>
  <si>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</si>
  <si>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</si>
  <si>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</si>
  <si>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</si>
  <si>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</si>
  <si>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</si>
  <si>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</si>
  <si>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</si>
  <si>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</si>
  <si>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</si>
  <si>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</si>
  <si>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</si>
  <si>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</si>
  <si>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</si>
  <si>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</si>
  <si>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</si>
  <si>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</si>
  <si>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</si>
  <si>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</si>
  <si>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</si>
  <si>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</si>
  <si>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</si>
  <si>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</si>
  <si>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</si>
  <si>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</si>
  <si>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</si>
  <si>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</si>
  <si>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</si>
  <si>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</si>
  <si>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</si>
  <si>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</si>
  <si>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</si>
  <si>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</si>
  <si>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</si>
  <si>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</si>
  <si>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</si>
  <si>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</si>
  <si>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</si>
  <si>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</si>
  <si>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</si>
  <si>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</si>
  <si>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</si>
  <si>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</si>
  <si>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</si>
  <si>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</si>
  <si>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</si>
  <si>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</si>
  <si>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</si>
  <si>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</si>
  <si>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</si>
  <si>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</si>
  <si>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</si>
  <si>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</si>
  <si>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</si>
  <si>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</si>
  <si>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</si>
  <si>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</si>
  <si>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</si>
  <si>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</si>
  <si>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</si>
  <si>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</si>
  <si>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</si>
  <si>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</si>
  <si>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</si>
  <si>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</si>
  <si>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</si>
  <si>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</si>
  <si>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</si>
  <si>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</si>
  <si>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</si>
  <si>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</si>
  <si>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</si>
  <si>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</si>
  <si>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</si>
  <si>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</si>
  <si>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</si>
  <si>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</si>
  <si>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</si>
  <si>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</si>
  <si>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</si>
  <si>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</si>
  <si>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</si>
  <si>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</si>
  <si>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</si>
  <si>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</si>
  <si>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</si>
  <si>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</si>
  <si>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</si>
  <si>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</si>
  <si>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</si>
  <si>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</si>
  <si>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</si>
  <si>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</si>
  <si>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</si>
  <si>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</si>
  <si>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</si>
  <si>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</si>
  <si>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</si>
  <si>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</si>
  <si>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</si>
  <si>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</si>
  <si>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</si>
  <si>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</si>
  <si>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</si>
  <si>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</si>
  <si>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</si>
  <si>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</si>
  <si>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</si>
  <si>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</si>
  <si>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</si>
  <si>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</si>
  <si>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</si>
  <si>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</si>
  <si>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</si>
  <si>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</si>
  <si>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</si>
  <si>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</si>
  <si>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</si>
  <si>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</si>
  <si>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</si>
  <si>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</si>
  <si>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</si>
  <si>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</si>
  <si>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</si>
  <si>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</si>
  <si>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</si>
  <si>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</si>
  <si>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</si>
  <si>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</si>
  <si>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</si>
  <si>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</si>
  <si>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</si>
  <si>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</si>
  <si>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</si>
  <si>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</si>
  <si>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</si>
  <si>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</si>
  <si>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</si>
  <si>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</si>
  <si>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</si>
  <si>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</si>
  <si>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</si>
  <si>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</si>
  <si>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</si>
  <si>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</si>
  <si>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</si>
  <si>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</si>
  <si>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</si>
  <si>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</si>
  <si>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</si>
  <si>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</si>
  <si>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</si>
  <si>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</si>
  <si>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</si>
  <si>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</si>
  <si>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</si>
  <si>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</si>
  <si>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</si>
  <si>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</si>
  <si>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</si>
  <si>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</si>
  <si>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</si>
  <si>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</si>
  <si>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</si>
  <si>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</si>
  <si>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</si>
  <si>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</si>
  <si>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</si>
  <si>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</si>
  <si>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</si>
  <si>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</si>
  <si>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</si>
  <si>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</si>
  <si>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</si>
  <si>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</si>
  <si>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</si>
  <si>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</si>
  <si>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</si>
  <si>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</si>
  <si>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</si>
  <si>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</si>
  <si>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</si>
  <si>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</si>
  <si>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</si>
  <si>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</si>
  <si>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</si>
  <si>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</si>
  <si>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</si>
  <si>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</si>
  <si>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</si>
  <si>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</si>
  <si>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</si>
  <si>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</si>
  <si>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</si>
  <si>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</si>
  <si>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</si>
  <si>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</si>
  <si>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</si>
  <si>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</si>
  <si>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</si>
  <si>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</si>
  <si>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</si>
  <si>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</si>
  <si>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</si>
  <si>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</si>
  <si>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</si>
  <si>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</si>
  <si>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</si>
  <si>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</si>
  <si>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</si>
  <si>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</si>
  <si>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</si>
  <si>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</si>
  <si>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</si>
  <si>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</si>
  <si>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</si>
  <si>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</si>
  <si>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</si>
  <si>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</si>
  <si>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</si>
  <si>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</si>
  <si>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</si>
  <si>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</si>
  <si>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</si>
  <si>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</si>
  <si>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</si>
  <si>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</si>
  <si>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</si>
  <si>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</si>
  <si>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</si>
  <si>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</si>
  <si>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</si>
  <si>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</si>
  <si>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</si>
  <si>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</si>
  <si>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</si>
  <si>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</si>
  <si>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</si>
  <si>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</si>
  <si>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</si>
  <si>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</si>
  <si>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</si>
  <si>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</si>
  <si>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</si>
  <si>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</si>
  <si>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</si>
  <si>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</si>
  <si>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</si>
  <si>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</si>
  <si>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</si>
  <si>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</si>
  <si>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</si>
  <si>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</si>
  <si>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</si>
  <si>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</si>
  <si>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</si>
  <si>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</si>
  <si>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</si>
  <si>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</si>
  <si>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</si>
  <si>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</si>
  <si>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</si>
  <si>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</si>
  <si>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</si>
  <si>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</si>
  <si>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</si>
  <si>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</si>
  <si>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</si>
  <si>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</si>
  <si>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</si>
  <si>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</si>
  <si>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</si>
  <si>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</si>
  <si>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</si>
  <si>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</si>
  <si>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</si>
  <si>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</si>
  <si>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</si>
  <si>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</si>
  <si>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</si>
  <si>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</si>
  <si>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</si>
  <si>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</si>
  <si>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</si>
  <si>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</si>
  <si>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</si>
  <si>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</si>
  <si>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</si>
  <si>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</si>
  <si>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</si>
  <si>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</si>
  <si>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</si>
  <si>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</si>
  <si>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</si>
  <si>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</si>
  <si>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</si>
  <si>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</si>
  <si>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</si>
  <si>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</si>
  <si>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</si>
  <si>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</si>
  <si>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</si>
  <si>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</si>
  <si>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</si>
  <si>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</si>
  <si>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</si>
  <si>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</si>
  <si>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</si>
  <si>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</si>
  <si>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</si>
  <si>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</si>
  <si>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</si>
  <si>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</si>
  <si>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</si>
  <si>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</si>
  <si>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</si>
  <si>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</si>
  <si>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</si>
  <si>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</si>
  <si>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</si>
  <si>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</si>
  <si>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</si>
  <si>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</si>
  <si>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</si>
  <si>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</si>
  <si>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</si>
  <si>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</si>
  <si>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</si>
  <si>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</si>
  <si>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</si>
  <si>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</si>
  <si>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</si>
  <si>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</si>
  <si>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</si>
  <si>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</si>
  <si>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</si>
  <si>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</si>
  <si>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</si>
  <si>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</si>
  <si>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</si>
  <si>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</si>
  <si>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</si>
  <si>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</si>
  <si>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</si>
  <si>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</si>
  <si>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</si>
  <si>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</si>
  <si>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</si>
  <si>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</si>
  <si>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</si>
  <si>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</si>
  <si>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</si>
  <si>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</si>
  <si>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</si>
  <si>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</si>
  <si>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</si>
  <si>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</si>
  <si>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</si>
  <si>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</si>
  <si>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</si>
  <si>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</si>
  <si>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</si>
  <si>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</si>
  <si>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</si>
  <si>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</si>
  <si>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</si>
  <si>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</si>
  <si>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</si>
  <si>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</si>
  <si>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</si>
  <si>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</si>
  <si>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</si>
  <si>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</si>
  <si>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</si>
  <si>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</si>
  <si>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</si>
  <si>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</si>
  <si>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</si>
  <si>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</si>
  <si>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</si>
  <si>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</si>
  <si>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</si>
  <si>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</si>
  <si>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</si>
  <si>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</si>
  <si>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</si>
  <si>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</si>
  <si>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</si>
  <si>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</si>
  <si>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</si>
  <si>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</si>
  <si>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</si>
  <si>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</si>
  <si>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</si>
  <si>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</si>
  <si>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</si>
  <si>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</si>
  <si>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</si>
  <si>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</si>
  <si>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</si>
  <si>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</si>
  <si>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</si>
  <si>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</si>
  <si>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</si>
  <si>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</si>
  <si>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</si>
  <si>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</si>
  <si>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</si>
  <si>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</si>
  <si>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</si>
  <si>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</si>
  <si>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</si>
  <si>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</si>
  <si>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</si>
  <si>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</si>
  <si>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</si>
  <si>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</si>
  <si>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</si>
  <si>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</si>
  <si>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</si>
  <si>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</si>
  <si>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</si>
  <si>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</si>
  <si>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</si>
  <si>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</si>
  <si>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</si>
  <si>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</si>
  <si>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</si>
  <si>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</si>
  <si>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</si>
  <si>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</si>
  <si>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</si>
  <si>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</si>
  <si>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</si>
  <si>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</si>
  <si>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</si>
  <si>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</si>
  <si>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</si>
  <si>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</si>
  <si>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</si>
  <si>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</si>
  <si>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</si>
  <si>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</si>
  <si>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</si>
  <si>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</si>
  <si>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</si>
  <si>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</si>
  <si>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</si>
  <si>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</si>
  <si>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</si>
  <si>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</si>
  <si>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</si>
  <si>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</si>
  <si>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</si>
  <si>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</si>
  <si>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</si>
  <si>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</si>
  <si>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</si>
  <si>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</si>
  <si>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</si>
  <si>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</si>
  <si>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</si>
  <si>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</si>
  <si>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</si>
  <si>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</si>
  <si>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</si>
  <si>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</si>
  <si>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</si>
  <si>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</si>
  <si>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</si>
  <si>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</si>
  <si>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</si>
  <si>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</si>
  <si>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</si>
  <si>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</si>
  <si>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</si>
  <si>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</si>
  <si>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</si>
  <si>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</si>
  <si>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</si>
  <si>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</si>
  <si>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</si>
  <si>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</si>
  <si>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</si>
  <si>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</si>
  <si>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</si>
  <si>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</si>
  <si>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</si>
  <si>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</si>
  <si>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</si>
  <si>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</si>
  <si>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</si>
  <si>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</si>
  <si>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</si>
  <si>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</si>
  <si>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</si>
  <si>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</si>
  <si>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</si>
  <si>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</si>
  <si>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</si>
  <si>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</si>
  <si>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</si>
  <si>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</si>
  <si>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</si>
  <si>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</si>
  <si>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</si>
  <si>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</si>
  <si>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</si>
  <si>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</si>
  <si>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</si>
  <si>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</si>
  <si>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</si>
  <si>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</si>
  <si>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</si>
  <si>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</si>
  <si>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</si>
  <si>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</si>
  <si>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</si>
  <si>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</si>
  <si>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</si>
  <si>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</si>
  <si>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</si>
  <si>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</si>
  <si>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</si>
  <si>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</si>
  <si>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</si>
  <si>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</si>
  <si>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</si>
  <si>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</si>
  <si>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</si>
  <si>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</si>
  <si>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</si>
  <si>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</si>
  <si>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</si>
  <si>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</si>
  <si>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</si>
  <si>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</si>
  <si>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</si>
  <si>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</si>
  <si>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</si>
  <si>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</si>
  <si>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</si>
  <si>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</si>
  <si>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</si>
  <si>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</si>
  <si>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</si>
  <si>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</si>
  <si>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</si>
  <si>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</si>
  <si>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</si>
  <si>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</si>
  <si>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</si>
  <si>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</si>
  <si>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</si>
  <si>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</si>
  <si>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</si>
  <si>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</si>
  <si>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</si>
  <si>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</si>
  <si>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</si>
  <si>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</si>
  <si>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</si>
  <si>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</si>
  <si>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</si>
  <si>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</si>
  <si>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</si>
  <si>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</si>
  <si>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</si>
  <si>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</si>
  <si>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</si>
  <si>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</si>
  <si>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</si>
  <si>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</si>
  <si>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</si>
  <si>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</si>
  <si>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</si>
  <si>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</si>
  <si>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</si>
  <si>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</si>
  <si>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</si>
  <si>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</si>
  <si>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</si>
  <si>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</si>
  <si>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</si>
  <si>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</si>
  <si>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</si>
  <si>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</si>
  <si>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</si>
  <si>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</si>
  <si>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</si>
  <si>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</si>
  <si>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</si>
  <si>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</si>
  <si>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</si>
  <si>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</si>
  <si>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</si>
  <si>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</si>
  <si>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</si>
  <si>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</si>
  <si>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</si>
  <si>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</si>
  <si>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</si>
  <si>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</si>
  <si>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</si>
  <si>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</si>
  <si>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</si>
  <si>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</si>
  <si>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</si>
  <si>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</si>
  <si>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</si>
  <si>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</si>
  <si>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</si>
  <si>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</si>
  <si>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</si>
  <si>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</si>
  <si>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</si>
  <si>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</si>
  <si>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</si>
  <si>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</si>
  <si>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</si>
  <si>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</si>
  <si>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</si>
  <si>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</si>
  <si>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</si>
  <si>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</si>
  <si>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</si>
  <si>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</si>
  <si>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</si>
  <si>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</si>
  <si>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</si>
  <si>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</si>
  <si>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</si>
  <si>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</si>
  <si>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</si>
  <si>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</si>
  <si>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</si>
  <si>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</si>
  <si>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</si>
  <si>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</si>
  <si>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</si>
  <si>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</si>
  <si>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</si>
  <si>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</si>
  <si>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</si>
  <si>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</si>
  <si>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</si>
  <si>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</si>
  <si>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</si>
  <si>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</si>
  <si>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</si>
  <si>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</si>
  <si>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</si>
  <si>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</si>
  <si>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</si>
  <si>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</si>
  <si>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</si>
  <si>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</si>
  <si>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</si>
  <si>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</si>
  <si>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</si>
  <si>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</si>
  <si>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</si>
  <si>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</si>
  <si>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</si>
  <si>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</si>
  <si>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</si>
  <si>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</si>
  <si>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</si>
  <si>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</si>
  <si>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</si>
  <si>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</si>
  <si>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</si>
  <si>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</si>
  <si>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</si>
  <si>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</si>
  <si>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</si>
  <si>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</si>
  <si>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</si>
  <si>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</si>
  <si>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</si>
  <si>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</si>
  <si>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</si>
  <si>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</si>
  <si>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</si>
  <si>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</si>
  <si>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</si>
  <si>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</si>
  <si>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</si>
  <si>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</si>
  <si>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</si>
  <si>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</si>
  <si>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</si>
  <si>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</si>
  <si>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</si>
  <si>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</si>
  <si>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</si>
  <si>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</si>
  <si>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</si>
  <si>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</si>
  <si>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</si>
  <si>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</si>
  <si>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</si>
  <si>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</si>
  <si>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</si>
  <si>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</si>
  <si>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</si>
  <si>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</si>
  <si>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</si>
  <si>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</si>
  <si>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</si>
  <si>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</si>
  <si>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</si>
  <si>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</si>
  <si>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</si>
  <si>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</si>
  <si>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</si>
  <si>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</si>
  <si>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</si>
  <si>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</si>
  <si>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</si>
  <si>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</si>
  <si>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</si>
  <si>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</si>
  <si>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</si>
  <si>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</si>
  <si>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</si>
  <si>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</si>
  <si>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</si>
  <si>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</si>
  <si>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</si>
  <si>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</si>
  <si>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</si>
  <si>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</si>
  <si>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</si>
  <si>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</si>
  <si>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</si>
  <si>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</si>
  <si>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</si>
  <si>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</si>
  <si>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</si>
  <si>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</si>
  <si>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</si>
  <si>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</si>
  <si>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</si>
  <si>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</si>
  <si>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</si>
  <si>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</si>
  <si>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</si>
  <si>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</si>
  <si>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</si>
  <si>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</si>
  <si>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</si>
  <si>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</si>
  <si>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</si>
  <si>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</si>
  <si>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</si>
  <si>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</si>
  <si>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</si>
  <si>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</si>
  <si>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</si>
  <si>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</si>
  <si>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</si>
  <si>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</si>
  <si>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</si>
  <si>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</si>
  <si>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</si>
  <si>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</si>
  <si>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</si>
  <si>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</si>
  <si>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</si>
  <si>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</si>
  <si>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</si>
  <si>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</si>
  <si>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</si>
  <si>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</si>
  <si>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</si>
  <si>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</si>
  <si>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</si>
  <si>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</si>
  <si>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</si>
  <si>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</si>
  <si>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</si>
  <si>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</si>
  <si>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</si>
  <si>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</si>
  <si>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</si>
  <si>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</si>
  <si>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</si>
  <si>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</si>
  <si>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</si>
  <si>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</si>
  <si>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</si>
  <si>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</si>
  <si>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</si>
  <si>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</si>
  <si>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</si>
  <si>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</si>
  <si>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</si>
  <si>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</si>
  <si>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</si>
  <si>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</si>
  <si>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</si>
  <si>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</si>
  <si>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</si>
  <si>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</si>
  <si>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</si>
  <si>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</si>
  <si>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</si>
  <si>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</si>
  <si>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</si>
  <si>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</si>
  <si>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</si>
  <si>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</si>
  <si>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</si>
  <si>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</si>
  <si>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</si>
  <si>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</si>
  <si>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</si>
  <si>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</si>
  <si>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</si>
  <si>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</si>
  <si>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</si>
  <si>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</si>
  <si>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</si>
  <si>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</si>
  <si>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</si>
  <si>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</si>
  <si>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</si>
  <si>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</si>
  <si>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</si>
  <si>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</si>
  <si>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</si>
  <si>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</si>
  <si>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</si>
  <si>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</si>
  <si>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</si>
  <si>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</si>
  <si>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</si>
  <si>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</si>
  <si>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</si>
  <si>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</si>
  <si>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</si>
  <si>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</si>
  <si>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</si>
  <si>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</si>
  <si>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</si>
  <si>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</si>
  <si>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</si>
  <si>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</si>
  <si>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</si>
  <si>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</si>
  <si>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</si>
  <si>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</si>
  <si>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</si>
  <si>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</si>
  <si>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</si>
  <si>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</si>
  <si>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</si>
  <si>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</si>
  <si>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</si>
  <si>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</si>
  <si>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</si>
  <si>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</si>
  <si>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</si>
  <si>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</si>
  <si>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</si>
  <si>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</si>
  <si>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</si>
  <si>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</si>
  <si>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</si>
  <si>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</si>
  <si>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</si>
  <si>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</si>
  <si>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</si>
  <si>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</si>
  <si>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</si>
  <si>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</si>
  <si>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</si>
  <si>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</si>
  <si>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</si>
  <si>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</si>
  <si>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</si>
  <si>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</si>
  <si>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</si>
  <si>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</si>
  <si>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</si>
  <si>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</si>
  <si>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</si>
  <si>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</si>
  <si>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</si>
  <si>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</si>
  <si>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</si>
  <si>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</si>
  <si>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</si>
  <si>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</si>
  <si>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</si>
  <si>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</si>
  <si>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</si>
  <si>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</si>
  <si>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</si>
  <si>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</si>
  <si>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</si>
  <si>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</si>
  <si>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</si>
  <si>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</si>
  <si>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</si>
  <si>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</si>
  <si>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</si>
  <si>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</si>
  <si>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</si>
  <si>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</si>
  <si>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</si>
  <si>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</si>
  <si>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</si>
  <si>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</si>
  <si>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</si>
  <si>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</si>
  <si>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</si>
  <si>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</si>
  <si>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</si>
  <si>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</si>
  <si>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</si>
  <si>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</si>
  <si>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</si>
  <si>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</si>
  <si>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</si>
  <si>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</si>
  <si>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</si>
  <si>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</si>
  <si>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</si>
  <si>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</si>
  <si>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</si>
  <si>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</si>
  <si>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</si>
  <si>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</si>
  <si>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</si>
  <si>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</si>
  <si>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</si>
  <si>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</si>
  <si>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</si>
  <si>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</si>
  <si>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</si>
  <si>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</si>
  <si>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</si>
  <si>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</si>
  <si>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</si>
  <si>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</si>
  <si>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</si>
  <si>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</si>
  <si>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</si>
  <si>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</si>
  <si>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</si>
  <si>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</si>
  <si>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</si>
  <si>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</si>
  <si>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</si>
  <si>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</si>
  <si>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</si>
  <si>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</si>
  <si>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</si>
  <si>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</si>
  <si>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</si>
  <si>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</si>
  <si>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</si>
  <si>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</si>
  <si>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</si>
  <si>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</si>
  <si>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</si>
  <si>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</si>
  <si>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</si>
  <si>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</si>
  <si>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</si>
  <si>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</si>
  <si>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</si>
  <si>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</si>
  <si>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</si>
  <si>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</si>
  <si>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</si>
  <si>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</si>
  <si>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</si>
  <si>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</si>
  <si>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</si>
  <si>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</si>
  <si>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</si>
  <si>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</si>
  <si>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</si>
  <si>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</si>
  <si>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</si>
  <si>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</si>
  <si>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</si>
  <si>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</si>
  <si>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</si>
  <si>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</si>
  <si>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</si>
  <si>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</si>
  <si>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</si>
  <si>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</si>
  <si>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</si>
  <si>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</si>
  <si>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</si>
  <si>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</si>
  <si>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</si>
  <si>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</si>
  <si>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</si>
  <si>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</si>
  <si>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</si>
  <si>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</si>
  <si>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</si>
  <si>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</si>
  <si>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</si>
  <si>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</si>
  <si>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</si>
  <si>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</si>
  <si>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</si>
  <si>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</si>
  <si>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</si>
  <si>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</si>
  <si>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</si>
  <si>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</si>
  <si>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</si>
  <si>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</si>
  <si>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</si>
  <si>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</si>
  <si>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</si>
  <si>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</si>
  <si>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</si>
  <si>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</si>
  <si>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</si>
  <si>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</si>
  <si>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</si>
  <si>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</si>
  <si>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</si>
  <si>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</si>
  <si>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</si>
  <si>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</si>
  <si>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</si>
  <si>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</si>
  <si>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</si>
  <si>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</si>
  <si>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</si>
  <si>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</si>
  <si>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</si>
  <si>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</si>
  <si>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</si>
  <si>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</si>
  <si>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</si>
  <si>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</si>
  <si>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</si>
  <si>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</si>
  <si>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</si>
  <si>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</si>
  <si>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</si>
  <si>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</si>
  <si>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</si>
  <si>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</si>
  <si>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</si>
  <si>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</si>
  <si>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</si>
  <si>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</si>
  <si>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</si>
  <si>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</si>
  <si>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</si>
  <si>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</si>
  <si>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</si>
  <si>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</si>
  <si>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</si>
  <si>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</si>
  <si>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</si>
  <si>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</si>
  <si>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</si>
  <si>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</si>
  <si>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</si>
  <si>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</si>
  <si>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</si>
  <si>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</si>
  <si>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</si>
  <si>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</si>
  <si>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</si>
  <si>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</si>
  <si>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</si>
  <si>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</si>
  <si>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</si>
  <si>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</si>
  <si>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</si>
  <si>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La Vall</t>
  </si>
  <si>
    <t>Decor 2H+2F</t>
  </si>
  <si>
    <t>Fabricación + Instalación + Vidrios (Cristalum)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</si>
</sst>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rgb="FF808080"/>
      </top>
      <bottom style="thin">
        <color indexed="64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44" fontId="0" fillId="0" borderId="0" xfId="0" applyNumberFormat="1"/>
    <xf numFmtId="0" fontId="8" fillId="2" borderId="0" xfId="0" applyFont="1" applyFill="1" applyAlignment="1">
      <alignment vertical="center"/>
    </xf>
    <xf numFmtId="44" fontId="8" fillId="2" borderId="0" xfId="1" applyFont="1" applyFill="1" applyBorder="1" applyAlignment="1">
      <alignment horizontal="right" vertical="center"/>
    </xf>
    <xf numFmtId="0" fontId="17" fillId="2" borderId="6" xfId="0" applyFont="1" applyFill="1" applyBorder="1" applyAlignment="1">
      <alignment vertical="center"/>
    </xf>
    <xf numFmtId="165" fontId="17" fillId="2" borderId="6" xfId="0" applyNumberFormat="1" applyFont="1" applyFill="1" applyBorder="1" applyAlignment="1">
      <alignment horizontal="right" vertical="center"/>
    </xf>
    <xf numFmtId="0" fontId="18" fillId="0" borderId="0" xfId="0" applyFont="1"/>
    <xf numFmtId="0" fontId="2" fillId="0" borderId="0" xfId="0" applyFont="1"/>
    <xf numFmtId="0" fontId="18" fillId="14" borderId="0" xfId="0" applyFont="1" applyFill="1"/>
    <xf numFmtId="44" fontId="18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8:C81" totalsRowShown="0">
  <autoFilter ref="C78:C81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1"/>
  <sheetViews>
    <sheetView topLeftCell="A5" zoomScale="115" zoomScaleNormal="115" workbookViewId="0">
      <selection activeCell="A21" sqref="A21:XFD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8" t="s">
        <v>1</v>
      </c>
      <c r="F3" s="88"/>
      <c r="G3" s="88"/>
      <c r="H3" s="89"/>
      <c r="I3" s="89"/>
      <c r="J3" s="89"/>
      <c r="K3" s="89"/>
      <c r="L3" s="89"/>
    </row>
    <row r="5" spans="1:12" ht="18.75" x14ac:dyDescent="0.25">
      <c r="B5" s="90" t="s">
        <v>2</v>
      </c>
      <c r="C5" s="9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20250231</v>
      </c>
      <c r="G7" s="8">
        <f ca="1">TODAY()</f>
        <v>45996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171</v>
      </c>
      <c r="C13" s="91" t="str">
        <f>IFERROR(VLOOKUP($B13,Tarifa_all_20240711!$A$2:$G$660,2,FALSE()),"-")</f>
        <v>GUIA SUP TECHO PLUS LAC.NEGRO MATE-3 MTS</v>
      </c>
      <c r="D13" s="91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1443</v>
      </c>
      <c r="C14" s="91" t="str">
        <f>IFERROR(VLOOKUP($B14,Tarifa_all_20240711!$A$2:$G$660,2,FALSE()),"-")</f>
        <v>TAPETA LAT. GUIA TECHO NEGRO</v>
      </c>
      <c r="D14" s="91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91" t="str">
        <f>IFERROR(VLOOKUP($B15,Tarifa_all_20240711!$A$2:$G$660,2,FALSE()),"-")</f>
        <v>-</v>
      </c>
      <c r="D15" s="91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339</v>
      </c>
      <c r="C16" s="91" t="str">
        <f>IFERROR(VLOOKUP($B16,Tarifa_all_20240711!$A$2:$G$660,2,FALSE()),"-")</f>
        <v>KIT AMORTIGUADOR SKY 60KG FORMATO CORTO</v>
      </c>
      <c r="D16" s="91"/>
      <c r="E16" s="17">
        <v>2</v>
      </c>
      <c r="F16" s="18">
        <f>IFERROR(VLOOKUP($B16,Tarifa_all_20240711!$A$2:$G$660,5,FALSE()),"-")</f>
        <v>21.952500000000001</v>
      </c>
      <c r="G16" s="18">
        <f t="shared" si="0"/>
        <v>43.905000000000001</v>
      </c>
      <c r="H16" s="1"/>
    </row>
    <row r="17" spans="1:8" x14ac:dyDescent="0.25">
      <c r="A17" t="s">
        <v>18</v>
      </c>
      <c r="B17" s="16" t="s">
        <v>134</v>
      </c>
      <c r="C17" s="91" t="str">
        <f>IFERROR(VLOOKUP($B17,Tarifa_all_20240711!$A$2:$G$660,2,FALSE()),"-")</f>
        <v>KIT PUERTA PA CORREDERA LAC.NEGRO TEXTURADO</v>
      </c>
      <c r="D17" s="91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91" t="str">
        <f>IFERROR(VLOOKUP($B18,Tarifa_all_20240711!$A$2:$G$660,2,FALSE()),"-")</f>
        <v>CARRO SKY MADERA 60KG</v>
      </c>
      <c r="D18" s="91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515</v>
      </c>
      <c r="C19" s="91" t="str">
        <f>IFERROR(VLOOKUP($B19,Tarifa_all_20240711!$A$2:$G$660,2,FALSE()),"-")</f>
        <v>TIRADOR RECT.ADH CAVE LAC.NEGRO TEXTURADO: 2 UDS</v>
      </c>
      <c r="D19" s="91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91" t="str">
        <f>IFERROR(VLOOKUP($B20,Tarifa_all_20240711!$A$2:$G$660,2,FALSE()),"-")</f>
        <v>GUIADOR FIJO PA LAC.NEGRO TEXTURADO</v>
      </c>
      <c r="D20" s="91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16" t="s">
        <v>143</v>
      </c>
      <c r="C21" s="91" t="str">
        <f>IFERROR(VLOOKUP($B21,Tarifa_all_20240711!$A$2:$G$660,2,FALSE()),"-")</f>
        <v>PERFIL EMBELL.HORIZ. ADH LAC.NEGRO TEXTURADO</v>
      </c>
      <c r="D21" s="91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76" t="s">
        <v>460</v>
      </c>
      <c r="C22" s="92" t="str">
        <f>IFERROR(VLOOKUP($B22,Tarifa_all_20240711!$A$2:$G$660,2,FALSE()),"-")</f>
        <v>MARCO FIJOS 35MM D-DECOR FIJO NEGRO TEXT 3 MTS</v>
      </c>
      <c r="D22" s="92"/>
      <c r="E22" s="77">
        <v>3</v>
      </c>
      <c r="F22" s="78">
        <f>IFERROR(VLOOKUP($B22,Tarifa_all_20240711!$A$2:$G$660,5,FALSE()),"-")</f>
        <v>27.712500000000002</v>
      </c>
      <c r="G22" s="78">
        <f t="shared" si="0"/>
        <v>83.137500000000003</v>
      </c>
      <c r="H22" s="1"/>
    </row>
    <row r="23" spans="1:8" x14ac:dyDescent="0.25">
      <c r="B23" s="76" t="s">
        <v>440</v>
      </c>
      <c r="C23" s="92" t="str">
        <f>IFERROR(VLOOKUP($B23,Tarifa_all_20240711!$A$2:$G$660,2,FALSE()),"-")</f>
        <v>ANCLAJE TAPA 35MM D-DECOR FIJO NEGRO TEXT 3 MTS</v>
      </c>
      <c r="D23" s="92"/>
      <c r="E23" s="77">
        <v>3</v>
      </c>
      <c r="F23" s="78">
        <f>IFERROR(VLOOKUP($B23,Tarifa_all_20240711!$A$2:$G$660,5,FALSE()),"-")</f>
        <v>13.4175</v>
      </c>
      <c r="G23" s="78">
        <f t="shared" si="0"/>
        <v>40.252499999999998</v>
      </c>
      <c r="H23" s="1"/>
    </row>
    <row r="24" spans="1:8" x14ac:dyDescent="0.25">
      <c r="B24" s="76" t="s">
        <v>480</v>
      </c>
      <c r="C24" s="92" t="str">
        <f>IFERROR(VLOOKUP($B24,Tarifa_all_20240711!$A$2:$G$660,2,FALSE()),"-")</f>
        <v>TAPA MARCO 35MM D-DECOR FIJO NEGRO TEXT 3 MTS</v>
      </c>
      <c r="D24" s="92"/>
      <c r="E24" s="77">
        <v>3</v>
      </c>
      <c r="F24" s="78">
        <f>IFERROR(VLOOKUP($B24,Tarifa_all_20240711!$A$2:$G$660,5,FALSE()),"-")</f>
        <v>11.3025</v>
      </c>
      <c r="G24" s="78">
        <f t="shared" si="0"/>
        <v>33.907499999999999</v>
      </c>
      <c r="H24" s="1"/>
    </row>
    <row r="25" spans="1:8" x14ac:dyDescent="0.25">
      <c r="B25" s="76" t="s">
        <v>451</v>
      </c>
      <c r="C25" s="92" t="str">
        <f>IFERROR(VLOOKUP($B25,Tarifa_all_20240711!$A$2:$G$660,2,FALSE()),"-")</f>
        <v>PERFIL MINIMALISTA D-DECOR FIJO NEGRO TEXT 6,5 MTS</v>
      </c>
      <c r="D25" s="92"/>
      <c r="E25" s="77">
        <v>1</v>
      </c>
      <c r="F25" s="78">
        <f>IFERROR(VLOOKUP($B25,Tarifa_all_20240711!$A$2:$G$660,5,FALSE()),"-")</f>
        <v>79.552499999999995</v>
      </c>
      <c r="G25" s="78">
        <f t="shared" si="0"/>
        <v>79.552499999999995</v>
      </c>
      <c r="H25" s="1"/>
    </row>
    <row r="26" spans="1:8" x14ac:dyDescent="0.25">
      <c r="B26" s="76" t="s">
        <v>298</v>
      </c>
      <c r="C26" s="92" t="str">
        <f>IFERROR(VLOOKUP($B26,Tarifa_all_20240711!$A$2:$G$660,2,FALSE()),"-")</f>
        <v>Tope Domo Decor</v>
      </c>
      <c r="D26" s="92"/>
      <c r="E26" s="77">
        <v>8</v>
      </c>
      <c r="F26" s="78">
        <f>IFERROR(VLOOKUP($B26,Tarifa_all_20240711!$A$2:$G$660,5,FALSE()),"-")</f>
        <v>1.4175</v>
      </c>
      <c r="G26" s="78">
        <f t="shared" si="0"/>
        <v>11.34</v>
      </c>
      <c r="H26" s="1"/>
    </row>
    <row r="27" spans="1:8" x14ac:dyDescent="0.25">
      <c r="B27" s="76" t="s">
        <v>300</v>
      </c>
      <c r="C27" s="92" t="str">
        <f>IFERROR(VLOOKUP($B27,Tarifa_all_20240711!$A$2:$G$660,2,FALSE()),"-")</f>
        <v>PERFIL 3 MTS REDUCTOR PARA VIDRIO 6mm</v>
      </c>
      <c r="D27" s="92"/>
      <c r="E27" s="77">
        <v>5</v>
      </c>
      <c r="F27" s="78">
        <f>IFERROR(VLOOKUP($B27,Tarifa_all_20240711!$A$2:$G$660,5,FALSE()),"-")</f>
        <v>3.4275000000000002</v>
      </c>
      <c r="G27" s="78">
        <f t="shared" si="0"/>
        <v>17.137500000000003</v>
      </c>
      <c r="H27" s="1"/>
    </row>
    <row r="28" spans="1:8" x14ac:dyDescent="0.25">
      <c r="B28" s="76">
        <v>31229</v>
      </c>
      <c r="C28" s="92" t="str">
        <f>IFERROR(VLOOKUP($B28,Tarifa_all_20240711!$A$2:$G$660,2,FALSE()),"-")</f>
        <v>COMPLEMENTO FIJACION DOMO DECOR: BARRAS 3 MTS</v>
      </c>
      <c r="D28" s="92"/>
      <c r="E28" s="77">
        <v>4</v>
      </c>
      <c r="F28" s="78">
        <f>IFERROR(VLOOKUP($B28,Tarifa_all_20240711!$A$2:$G$660,5,FALSE()),"-")</f>
        <v>11.317499999999999</v>
      </c>
      <c r="G28" s="78">
        <f t="shared" si="0"/>
        <v>45.269999999999996</v>
      </c>
      <c r="H28" s="1"/>
    </row>
    <row r="29" spans="1:8" x14ac:dyDescent="0.25">
      <c r="B29" s="16"/>
      <c r="C29" s="91" t="str">
        <f>IFERROR(VLOOKUP($B29,Tarifa_all_20240711!$A$2:$G$660,2,FALSE()),"-")</f>
        <v>-</v>
      </c>
      <c r="D29" s="9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91" t="str">
        <f>IFERROR(VLOOKUP($B30,Tarifa_all_20240711!$A$2:$G$660,2,FALSE()),"-")</f>
        <v>-</v>
      </c>
      <c r="D30" s="9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1171.4775</v>
      </c>
    </row>
    <row r="32" spans="1:8" x14ac:dyDescent="0.25">
      <c r="B32" s="82" t="s">
        <v>1453</v>
      </c>
      <c r="C32" s="82"/>
      <c r="D32" s="82"/>
      <c r="E32" s="82"/>
      <c r="F32" s="82"/>
      <c r="G32" s="83">
        <v>1250</v>
      </c>
    </row>
    <row r="33" spans="2:7" x14ac:dyDescent="0.25">
      <c r="B33" s="80"/>
      <c r="C33" s="80"/>
      <c r="D33" s="80"/>
      <c r="E33" s="80"/>
      <c r="F33" s="24"/>
      <c r="G33" s="81">
        <f>SUM(G31:G32)</f>
        <v>2421.4775</v>
      </c>
    </row>
    <row r="34" spans="2:7" x14ac:dyDescent="0.25">
      <c r="B34" s="80"/>
      <c r="C34" s="80"/>
      <c r="D34" s="80"/>
      <c r="E34" s="80"/>
      <c r="F34" s="24"/>
      <c r="G34" s="24"/>
    </row>
    <row r="35" spans="2:7" x14ac:dyDescent="0.25">
      <c r="B35" s="22" t="s">
        <v>23</v>
      </c>
      <c r="C35" s="23"/>
      <c r="D35" s="23"/>
      <c r="E35" s="23"/>
      <c r="F35" s="23"/>
      <c r="G35" s="24"/>
    </row>
    <row r="36" spans="2:7" ht="15" customHeight="1" x14ac:dyDescent="0.25">
      <c r="B36" s="25" t="s">
        <v>24</v>
      </c>
      <c r="C36" s="26" t="s">
        <v>74</v>
      </c>
      <c r="D36" s="26"/>
      <c r="E36" s="26"/>
      <c r="F36" s="26"/>
      <c r="G36" s="24"/>
    </row>
    <row r="37" spans="2:7" x14ac:dyDescent="0.25">
      <c r="B37" s="27" t="s">
        <v>25</v>
      </c>
      <c r="C37" s="26"/>
      <c r="D37" s="26"/>
      <c r="E37" s="26"/>
      <c r="F37" s="26"/>
      <c r="G37" s="24"/>
    </row>
    <row r="38" spans="2:7" x14ac:dyDescent="0.25">
      <c r="B38" s="28" t="s">
        <v>1450</v>
      </c>
      <c r="C38" s="29"/>
      <c r="D38" s="29"/>
      <c r="E38" s="29"/>
      <c r="F38" s="29"/>
      <c r="G38" s="24"/>
    </row>
    <row r="39" spans="2:7" x14ac:dyDescent="0.25">
      <c r="B39" s="27"/>
      <c r="C39" s="26"/>
      <c r="D39" s="26"/>
      <c r="E39" s="26"/>
      <c r="F39" s="26"/>
      <c r="G39" s="20"/>
    </row>
    <row r="40" spans="2:7" x14ac:dyDescent="0.25">
      <c r="B40" s="27"/>
      <c r="C40" s="26"/>
      <c r="D40" s="26"/>
      <c r="E40" s="26"/>
      <c r="F40" s="26"/>
      <c r="G40" s="24"/>
    </row>
    <row r="41" spans="2:7" x14ac:dyDescent="0.25">
      <c r="B41" s="30"/>
      <c r="C41" s="31"/>
      <c r="D41" s="31"/>
      <c r="E41" s="31"/>
      <c r="F41" s="31"/>
      <c r="G41" s="24"/>
    </row>
    <row r="42" spans="2:7" x14ac:dyDescent="0.25">
      <c r="B42" s="27"/>
      <c r="C42" s="31"/>
      <c r="D42" s="31"/>
      <c r="E42" s="31"/>
      <c r="F42" s="31"/>
      <c r="G42" s="24"/>
    </row>
    <row r="43" spans="2:7" x14ac:dyDescent="0.25">
      <c r="B43" s="26"/>
      <c r="C43" s="26"/>
      <c r="D43" s="26"/>
      <c r="E43" s="26"/>
      <c r="F43" s="26"/>
      <c r="G43" s="24"/>
    </row>
    <row r="44" spans="2:7" x14ac:dyDescent="0.25">
      <c r="B44" s="32"/>
      <c r="D44" s="32"/>
      <c r="E44" s="32"/>
      <c r="F44" s="32"/>
    </row>
    <row r="45" spans="2:7" x14ac:dyDescent="0.25">
      <c r="C45" s="33" t="s">
        <v>26</v>
      </c>
      <c r="D45" s="34" t="s">
        <v>27</v>
      </c>
      <c r="E45" s="34"/>
      <c r="F45" s="34"/>
    </row>
    <row r="46" spans="2:7" x14ac:dyDescent="0.25">
      <c r="C46" s="35" t="s">
        <v>28</v>
      </c>
      <c r="D46" s="23" t="s">
        <v>28</v>
      </c>
      <c r="E46" s="23"/>
      <c r="F46" s="23"/>
    </row>
    <row r="47" spans="2:7" x14ac:dyDescent="0.25">
      <c r="C47" s="35" t="s">
        <v>29</v>
      </c>
      <c r="D47" s="23" t="s">
        <v>29</v>
      </c>
      <c r="E47" s="23"/>
      <c r="F47" s="23"/>
    </row>
    <row r="48" spans="2:7" x14ac:dyDescent="0.25">
      <c r="C48" s="35" t="s">
        <v>30</v>
      </c>
      <c r="D48" s="23" t="s">
        <v>31</v>
      </c>
      <c r="E48" s="23"/>
      <c r="F48" s="23"/>
    </row>
    <row r="49" spans="3:6" x14ac:dyDescent="0.25">
      <c r="C49" s="35" t="s">
        <v>32</v>
      </c>
      <c r="D49" s="23" t="s">
        <v>30</v>
      </c>
      <c r="E49" s="23"/>
      <c r="F49" s="23"/>
    </row>
    <row r="50" spans="3:6" x14ac:dyDescent="0.25">
      <c r="C50" s="35" t="s">
        <v>33</v>
      </c>
      <c r="D50" s="23" t="s">
        <v>34</v>
      </c>
      <c r="E50" s="23"/>
      <c r="F50" s="23"/>
    </row>
    <row r="51" spans="3:6" x14ac:dyDescent="0.25">
      <c r="C51" s="35" t="s">
        <v>35</v>
      </c>
      <c r="D51" s="23" t="s">
        <v>36</v>
      </c>
      <c r="E51" s="23"/>
      <c r="F51" s="23"/>
    </row>
    <row r="52" spans="3:6" x14ac:dyDescent="0.25">
      <c r="C52" s="35" t="s">
        <v>37</v>
      </c>
      <c r="D52" s="23" t="s">
        <v>37</v>
      </c>
      <c r="E52" s="23"/>
      <c r="F52" s="23"/>
    </row>
    <row r="53" spans="3:6" x14ac:dyDescent="0.25">
      <c r="C53" s="35" t="s">
        <v>38</v>
      </c>
      <c r="D53" s="23" t="s">
        <v>39</v>
      </c>
      <c r="E53" s="23"/>
      <c r="F53" s="23"/>
    </row>
    <row r="54" spans="3:6" x14ac:dyDescent="0.25">
      <c r="C54" s="35" t="s">
        <v>40</v>
      </c>
      <c r="D54" s="93"/>
      <c r="E54" s="93"/>
      <c r="F54" s="93"/>
    </row>
    <row r="57" spans="3:6" ht="30" x14ac:dyDescent="0.25">
      <c r="C57" s="36" t="s">
        <v>8</v>
      </c>
      <c r="D57" s="37" t="s">
        <v>41</v>
      </c>
    </row>
    <row r="58" spans="3:6" x14ac:dyDescent="0.25">
      <c r="C58" s="38" t="s">
        <v>42</v>
      </c>
      <c r="D58" s="39"/>
    </row>
    <row r="59" spans="3:6" x14ac:dyDescent="0.25">
      <c r="C59" s="40" t="s">
        <v>43</v>
      </c>
      <c r="D59" s="41" t="s">
        <v>44</v>
      </c>
    </row>
    <row r="60" spans="3:6" x14ac:dyDescent="0.25">
      <c r="C60" s="40" t="s">
        <v>45</v>
      </c>
      <c r="D60" s="41" t="s">
        <v>46</v>
      </c>
    </row>
    <row r="61" spans="3:6" x14ac:dyDescent="0.25">
      <c r="C61" s="40" t="s">
        <v>47</v>
      </c>
      <c r="D61" s="41" t="s">
        <v>48</v>
      </c>
    </row>
    <row r="62" spans="3:6" x14ac:dyDescent="0.25">
      <c r="C62" s="40" t="s">
        <v>49</v>
      </c>
      <c r="D62" s="41" t="s">
        <v>50</v>
      </c>
    </row>
    <row r="63" spans="3:6" x14ac:dyDescent="0.25">
      <c r="C63" s="40" t="s">
        <v>51</v>
      </c>
      <c r="D63" s="41" t="s">
        <v>52</v>
      </c>
    </row>
    <row r="64" spans="3:6" x14ac:dyDescent="0.25">
      <c r="C64" s="40" t="s">
        <v>53</v>
      </c>
      <c r="D64" s="41" t="s">
        <v>54</v>
      </c>
    </row>
    <row r="65" spans="3:4" x14ac:dyDescent="0.25">
      <c r="C65" s="40" t="s">
        <v>55</v>
      </c>
      <c r="D65" s="41" t="s">
        <v>56</v>
      </c>
    </row>
    <row r="66" spans="3:4" x14ac:dyDescent="0.25">
      <c r="C66" s="38" t="s">
        <v>57</v>
      </c>
      <c r="D66" s="39"/>
    </row>
    <row r="67" spans="3:4" x14ac:dyDescent="0.25">
      <c r="C67" s="40" t="s">
        <v>58</v>
      </c>
      <c r="D67" s="41" t="s">
        <v>59</v>
      </c>
    </row>
    <row r="68" spans="3:4" x14ac:dyDescent="0.25">
      <c r="C68" s="42" t="s">
        <v>60</v>
      </c>
      <c r="D68" s="41" t="s">
        <v>61</v>
      </c>
    </row>
    <row r="69" spans="3:4" x14ac:dyDescent="0.25">
      <c r="C69" s="42" t="s">
        <v>62</v>
      </c>
      <c r="D69" s="41" t="s">
        <v>63</v>
      </c>
    </row>
    <row r="70" spans="3:4" x14ac:dyDescent="0.25">
      <c r="C70" s="42" t="s">
        <v>64</v>
      </c>
      <c r="D70" s="41" t="s">
        <v>65</v>
      </c>
    </row>
    <row r="71" spans="3:4" x14ac:dyDescent="0.25">
      <c r="C71" s="42" t="s">
        <v>66</v>
      </c>
      <c r="D71" s="41" t="s">
        <v>67</v>
      </c>
    </row>
    <row r="72" spans="3:4" x14ac:dyDescent="0.25">
      <c r="C72" s="42" t="s">
        <v>68</v>
      </c>
      <c r="D72" s="41" t="s">
        <v>69</v>
      </c>
    </row>
    <row r="73" spans="3:4" x14ac:dyDescent="0.25">
      <c r="C73" s="42" t="s">
        <v>70</v>
      </c>
      <c r="D73" s="41" t="s">
        <v>71</v>
      </c>
    </row>
    <row r="74" spans="3:4" x14ac:dyDescent="0.25">
      <c r="C74" s="42" t="s">
        <v>72</v>
      </c>
      <c r="D74" s="41" t="s">
        <v>73</v>
      </c>
    </row>
    <row r="78" spans="3:4" x14ac:dyDescent="0.25">
      <c r="C78" t="s">
        <v>74</v>
      </c>
    </row>
    <row r="79" spans="3:4" x14ac:dyDescent="0.25">
      <c r="C79" t="s">
        <v>75</v>
      </c>
    </row>
    <row r="80" spans="3:4" x14ac:dyDescent="0.25">
      <c r="C80" t="s">
        <v>76</v>
      </c>
    </row>
    <row r="81" spans="3:3" x14ac:dyDescent="0.25">
      <c r="C81" t="s">
        <v>77</v>
      </c>
    </row>
  </sheetData>
  <mergeCells count="22">
    <mergeCell ref="D54:F54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8" t="s">
        <v>78</v>
      </c>
      <c r="F2" s="88"/>
      <c r="G2" s="88"/>
    </row>
    <row r="3" spans="1:7" ht="18" customHeight="1" x14ac:dyDescent="0.35">
      <c r="E3" s="88" t="s">
        <v>1</v>
      </c>
      <c r="F3" s="88"/>
      <c r="G3" s="8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8" t="s">
        <v>79</v>
      </c>
      <c r="B6" s="98"/>
      <c r="C6" s="9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9" t="str">
        <f>'DESPIECE (MATANALYSIS)'!C8</f>
        <v>Aluminis La Vall</v>
      </c>
      <c r="C9" s="99"/>
      <c r="D9" s="99"/>
      <c r="F9" s="3" t="s">
        <v>81</v>
      </c>
      <c r="G9" s="44">
        <f ca="1">TODAY()</f>
        <v>45996</v>
      </c>
    </row>
    <row r="10" spans="1:7" x14ac:dyDescent="0.25">
      <c r="A10" s="3" t="s">
        <v>82</v>
      </c>
      <c r="B10" s="11" t="str">
        <f>'DESPIECE (MATANALYSIS)'!C9</f>
        <v>Decor 2H+2F</v>
      </c>
      <c r="C10" s="45"/>
      <c r="D10" s="45"/>
      <c r="E10" s="46"/>
      <c r="F10" s="47" t="s">
        <v>83</v>
      </c>
      <c r="G10" s="7">
        <f>'DESPIECE (MATANALYSIS)'!C7</f>
        <v>20250231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(MATANALYSIS)'!C36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94"/>
      <c r="B46" s="94"/>
      <c r="C46" s="71"/>
      <c r="D46" s="71"/>
      <c r="E46" s="71"/>
      <c r="F46" s="72"/>
      <c r="G46" s="73"/>
    </row>
    <row r="47" spans="1:7" ht="22.7" customHeight="1" x14ac:dyDescent="0.25">
      <c r="A47" s="95" t="s">
        <v>99</v>
      </c>
      <c r="B47" s="95"/>
      <c r="C47" s="59"/>
      <c r="D47" s="59"/>
      <c r="E47" s="59"/>
      <c r="F47" s="96">
        <f>'DESPIECE (MATANALYSIS)'!G31</f>
        <v>1171.4775</v>
      </c>
      <c r="G47" s="96"/>
    </row>
    <row r="48" spans="1:7" s="1" customFormat="1" ht="22.7" customHeight="1" x14ac:dyDescent="0.25">
      <c r="A48" s="97" t="s">
        <v>100</v>
      </c>
      <c r="B48" s="97"/>
      <c r="C48" s="97"/>
      <c r="D48" s="97"/>
      <c r="E48" s="97"/>
      <c r="F48" s="97"/>
      <c r="G48" s="97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K660"/>
  <sheetViews>
    <sheetView tabSelected="1" topLeftCell="A47" zoomScale="130" zoomScaleNormal="130" workbookViewId="0">
      <selection activeCell="C56" sqref="A56:C56"/>
    </sheetView>
  </sheetViews>
  <sheetFormatPr baseColWidth="10" defaultRowHeight="15" x14ac:dyDescent="0.25"/>
  <cols>
    <col min="1" max="1" width="13.5703125" customWidth="1"/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s="84" t="s">
        <v>547</v>
      </c>
      <c r="B52" s="84" t="s">
        <v>133</v>
      </c>
      <c r="C52" s="87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s="84" t="s">
        <v>129</v>
      </c>
      <c r="B53" s="84" t="s">
        <v>130</v>
      </c>
      <c r="C53" s="87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s="84" t="s">
        <v>134</v>
      </c>
      <c r="B56" s="84" t="s">
        <v>135</v>
      </c>
      <c r="C56" s="87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s="84" t="s">
        <v>548</v>
      </c>
      <c r="B57" s="84" t="s">
        <v>549</v>
      </c>
      <c r="C57" s="87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10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10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10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10" x14ac:dyDescent="0.25">
      <c r="A68" s="84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10" x14ac:dyDescent="0.25">
      <c r="A69" s="84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10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10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10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10" x14ac:dyDescent="0.25">
      <c r="A73" s="84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10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10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10" x14ac:dyDescent="0.25">
      <c r="A76" s="84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10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10" x14ac:dyDescent="0.25">
      <c r="A78" s="84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10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  <c r="I79" s="79">
        <f>C79/2</f>
        <v>28.975000000000001</v>
      </c>
      <c r="J79" s="79">
        <f>E79/2</f>
        <v>21.731250000000003</v>
      </c>
    </row>
    <row r="80" spans="1:10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11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11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11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  <c r="I83" s="79">
        <f>C83/2</f>
        <v>30.135000000000002</v>
      </c>
      <c r="J83" s="79">
        <f>E83/2</f>
        <v>22.60125</v>
      </c>
      <c r="K83" s="79">
        <f>I83*(1-D83)</f>
        <v>22.60125</v>
      </c>
    </row>
    <row r="84" spans="1:11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  <c r="I84" s="79">
        <f>C84/3</f>
        <v>30.133333333333336</v>
      </c>
    </row>
    <row r="85" spans="1:11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  <c r="I85" s="79">
        <f>C85/4</f>
        <v>30.1325</v>
      </c>
    </row>
    <row r="86" spans="1:11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  <c r="I86" s="79">
        <f>C86/6</f>
        <v>30.133333333333336</v>
      </c>
    </row>
    <row r="87" spans="1:11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11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11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11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11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11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11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11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11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11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s="84" t="s">
        <v>273</v>
      </c>
      <c r="B209" s="84" t="s">
        <v>274</v>
      </c>
      <c r="C209" s="87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s="84" t="s">
        <v>275</v>
      </c>
      <c r="B210" s="84" t="s">
        <v>276</v>
      </c>
      <c r="C210" s="87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s="84" t="s">
        <v>277</v>
      </c>
      <c r="B211" s="84" t="s">
        <v>278</v>
      </c>
      <c r="C211" s="87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s="84" t="s">
        <v>279</v>
      </c>
      <c r="B212" s="84" t="s">
        <v>280</v>
      </c>
      <c r="C212" s="87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s="84" t="s">
        <v>976</v>
      </c>
      <c r="B225" s="84" t="s">
        <v>977</v>
      </c>
      <c r="C225" s="87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s="84" t="s">
        <v>978</v>
      </c>
      <c r="B226" s="84" t="s">
        <v>979</v>
      </c>
      <c r="C226" s="87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s="84" t="s">
        <v>980</v>
      </c>
      <c r="B227" s="84" t="s">
        <v>981</v>
      </c>
      <c r="C227" s="87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s="84" t="s">
        <v>982</v>
      </c>
      <c r="B228" s="84" t="s">
        <v>983</v>
      </c>
      <c r="C228" s="87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s="84" t="s">
        <v>281</v>
      </c>
      <c r="B233" t="s">
        <v>282</v>
      </c>
      <c r="C233" s="87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s="84" t="s">
        <v>283</v>
      </c>
      <c r="B234" t="s">
        <v>284</v>
      </c>
      <c r="C234" s="87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s="84" t="s">
        <v>285</v>
      </c>
      <c r="B235" t="s">
        <v>286</v>
      </c>
      <c r="C235" s="87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s="84" t="s">
        <v>1016</v>
      </c>
      <c r="B249" t="s">
        <v>1017</v>
      </c>
      <c r="C249" s="87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s="84" t="s">
        <v>1018</v>
      </c>
      <c r="B250" t="s">
        <v>1019</v>
      </c>
      <c r="C250" s="87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s="84" t="s">
        <v>1020</v>
      </c>
      <c r="B251" t="s">
        <v>1021</v>
      </c>
      <c r="C251" s="87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s="84" t="s">
        <v>1022</v>
      </c>
      <c r="B252" t="s">
        <v>1023</v>
      </c>
      <c r="C252" s="87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s="84" t="s">
        <v>289</v>
      </c>
      <c r="B257" s="84" t="s">
        <v>290</v>
      </c>
      <c r="C257" s="87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s="84" t="s">
        <v>291</v>
      </c>
      <c r="B258" s="84" t="s">
        <v>292</v>
      </c>
      <c r="C258" s="87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s="84" t="s">
        <v>295</v>
      </c>
      <c r="B260" s="84" t="s">
        <v>296</v>
      </c>
      <c r="C260" s="87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s="84" t="s">
        <v>1056</v>
      </c>
      <c r="B273" s="84" t="s">
        <v>1057</v>
      </c>
      <c r="C273" s="87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s="84" t="s">
        <v>1058</v>
      </c>
      <c r="B274" s="84" t="s">
        <v>1059</v>
      </c>
      <c r="C274" s="87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s="84" t="s">
        <v>1062</v>
      </c>
      <c r="B276" s="84" t="s">
        <v>1063</v>
      </c>
      <c r="C276" s="87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s="84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s="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s="84" t="s">
        <v>375</v>
      </c>
      <c r="B384" s="84" t="s">
        <v>376</v>
      </c>
      <c r="C384" s="87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s="84" t="s">
        <v>515</v>
      </c>
      <c r="B392" s="84" t="s">
        <v>516</v>
      </c>
      <c r="C392" s="87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s="84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s="84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s="84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s="84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s="84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s="84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s="84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s="84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s="84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s="8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s="84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s="84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s="84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s="84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s="84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s="84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10" x14ac:dyDescent="0.25">
      <c r="A561" s="84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10" x14ac:dyDescent="0.25">
      <c r="A562" s="84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10" x14ac:dyDescent="0.25">
      <c r="A563" s="86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  <c r="I563" s="79">
        <f>C563/3</f>
        <v>16.32</v>
      </c>
      <c r="J563" s="79">
        <f>E563/3</f>
        <v>12.24</v>
      </c>
    </row>
    <row r="564" spans="1:10" x14ac:dyDescent="0.25">
      <c r="A564" s="86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  <c r="I564" s="79">
        <f>C564/6.5</f>
        <v>16.318461538461538</v>
      </c>
    </row>
    <row r="565" spans="1:10" x14ac:dyDescent="0.25">
      <c r="A565" s="84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10" x14ac:dyDescent="0.25">
      <c r="A566" s="84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10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10" x14ac:dyDescent="0.25">
      <c r="A568" s="84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10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10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10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10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10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10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10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10" x14ac:dyDescent="0.25">
      <c r="A576" s="84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s="84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s="84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s="84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s="84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s="84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s="84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s="84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s="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s="84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s="84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s="84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s="84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s="84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s="85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s="85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s="85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s="85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s="8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s="84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s="84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s="84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s="84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s="84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s="84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s="84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s="85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s="8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s="85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s="85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s="85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s="85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s="85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s="85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s="85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s="85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s="85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s="8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s="85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s="84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s="84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s="84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s="84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s="85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s="85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2025-12-03T08:54:27Z</cp:lastPrinted>
  <dcterms:created xsi:type="dcterms:W3CDTF">2024-04-15T12:43:19Z</dcterms:created>
  <dcterms:modified xsi:type="dcterms:W3CDTF">2025-12-05T12:43:20Z</dcterms:modified>
  <dc:language>es-ES</dc:language>
</cp:coreProperties>
</file>