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95\calculos\1\"/>
    </mc:Choice>
  </mc:AlternateContent>
  <xr:revisionPtr revIDLastSave="0" documentId="13_ncr:1_{B8F3034E-964B-4379-AB33-DCB6C64775F6}" xr6:coauthVersionLast="47" xr6:coauthVersionMax="47" xr10:uidLastSave="{00000000-0000-0000-0000-000000000000}"/>
  <bookViews>
    <workbookView xWindow="-14505" yWindow="0" windowWidth="14610" windowHeight="1558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0" l="1"/>
  <c r="F29" i="10" l="1"/>
  <c r="M29" i="10"/>
  <c r="K29" i="10"/>
  <c r="F30" i="10"/>
  <c r="C30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<sst xmlns="http://schemas.openxmlformats.org/spreadsheetml/2006/main" count="5406" uniqueCount="1455">
  <si>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</si>
  <si>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</si>
  <si>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</si>
  <si>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</si>
  <si>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</si>
  <si>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</si>
  <si>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</si>
  <si>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</si>
  <si>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</si>
  <si>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</si>
  <si>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</si>
  <si>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</si>
  <si>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</si>
  <si>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</si>
  <si>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</si>
  <si>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</si>
  <si>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</si>
  <si>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</si>
  <si>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</si>
  <si>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</si>
  <si>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</si>
  <si>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</si>
  <si>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</si>
  <si>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</si>
  <si>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</si>
  <si>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</si>
  <si>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</si>
  <si>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</si>
  <si>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</si>
  <si>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</si>
  <si>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</si>
  <si>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</si>
  <si>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</si>
  <si>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</si>
  <si>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</si>
  <si>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</si>
  <si>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</si>
  <si>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</si>
  <si>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</si>
  <si>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</si>
  <si>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</si>
  <si>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</si>
  <si>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</si>
  <si>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</si>
  <si>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</si>
  <si>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</si>
  <si>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</si>
  <si>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</si>
  <si>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</si>
  <si>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</si>
  <si>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</si>
  <si>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</si>
  <si>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</si>
  <si>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</si>
  <si>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</si>
  <si>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</si>
  <si>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</si>
  <si>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</si>
  <si>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</si>
  <si>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</si>
  <si>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</si>
  <si>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</si>
  <si>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</si>
  <si>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</si>
  <si>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</si>
  <si>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</si>
  <si>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</si>
  <si>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</si>
  <si>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</si>
  <si>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</si>
  <si>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</si>
  <si>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</si>
  <si>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</si>
  <si>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</si>
  <si>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</si>
  <si>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</si>
  <si>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</si>
  <si>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</si>
  <si>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</si>
  <si>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</si>
  <si>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</si>
  <si>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</si>
  <si>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</si>
  <si>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</si>
  <si>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</si>
  <si>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</si>
  <si>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</si>
  <si>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</si>
  <si>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</si>
  <si>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</si>
  <si>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</si>
  <si>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</si>
  <si>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</si>
  <si>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</si>
  <si>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</si>
  <si>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</si>
  <si>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</si>
  <si>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</si>
  <si>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</si>
  <si>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</si>
  <si>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</si>
  <si>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</si>
  <si>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</si>
  <si>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</si>
  <si>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</si>
  <si>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</si>
  <si>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</si>
  <si>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</si>
  <si>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</si>
  <si>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</si>
  <si>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</si>
  <si>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</si>
  <si>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</si>
  <si>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</si>
  <si>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</si>
  <si>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</si>
  <si>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</si>
  <si>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</si>
  <si>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</si>
  <si>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</si>
  <si>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</si>
  <si>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</si>
  <si>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</si>
  <si>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</si>
  <si>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</si>
  <si>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</si>
  <si>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</si>
  <si>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</si>
  <si>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</si>
  <si>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</si>
  <si>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</si>
  <si>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</si>
  <si>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</si>
  <si>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</si>
  <si>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</si>
  <si>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</si>
  <si>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</si>
  <si>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</si>
  <si>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</si>
  <si>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</si>
  <si>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</si>
  <si>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</si>
  <si>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</si>
  <si>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</si>
  <si>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</si>
  <si>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</si>
  <si>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</si>
  <si>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</si>
  <si>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</si>
  <si>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</si>
  <si>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</si>
  <si>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</si>
  <si>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</si>
  <si>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</si>
  <si>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</si>
  <si>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</si>
  <si>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</si>
  <si>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</si>
  <si>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</si>
  <si>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</si>
  <si>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</si>
  <si>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</si>
  <si>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</si>
  <si>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</si>
  <si>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</si>
  <si>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</si>
  <si>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</si>
  <si>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</si>
  <si>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</si>
  <si>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</si>
  <si>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</si>
  <si>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</si>
  <si>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</si>
  <si>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</si>
  <si>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</si>
  <si>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</si>
  <si>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</si>
  <si>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</si>
  <si>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</si>
  <si>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</si>
  <si>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</si>
  <si>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</si>
  <si>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</si>
  <si>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</si>
  <si>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</si>
  <si>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</si>
  <si>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</si>
  <si>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</si>
  <si>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</si>
  <si>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</si>
  <si>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</si>
  <si>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</si>
  <si>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</si>
  <si>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</si>
  <si>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</si>
  <si>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</si>
  <si>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</si>
  <si>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</si>
  <si>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</si>
  <si>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</si>
  <si>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</si>
  <si>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</si>
  <si>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</si>
  <si>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</si>
  <si>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</si>
  <si>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</si>
  <si>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</si>
  <si>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</si>
  <si>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</si>
  <si>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</si>
  <si>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</si>
  <si>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</si>
  <si>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</si>
  <si>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</si>
  <si>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</si>
  <si>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</si>
  <si>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</si>
  <si>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</si>
  <si>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</si>
  <si>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</si>
  <si>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</si>
  <si>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</si>
  <si>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</si>
  <si>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</si>
  <si>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</si>
  <si>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</si>
  <si>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</si>
  <si>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</si>
  <si>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</si>
  <si>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</si>
  <si>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</si>
  <si>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</si>
  <si>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</si>
  <si>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</si>
  <si>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</si>
  <si>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</si>
  <si>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</si>
  <si>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</si>
  <si>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</si>
  <si>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</si>
  <si>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</si>
  <si>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</si>
  <si>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</si>
  <si>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</si>
  <si>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</si>
  <si>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</si>
  <si>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</si>
  <si>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</si>
  <si>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</si>
  <si>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</si>
  <si>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</si>
  <si>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</si>
  <si>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</si>
  <si>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</si>
  <si>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</si>
  <si>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</si>
  <si>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</si>
  <si>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</si>
  <si>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</si>
  <si>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</si>
  <si>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</si>
  <si>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</si>
  <si>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</si>
  <si>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</si>
  <si>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</si>
  <si>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</si>
  <si>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</si>
  <si>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</si>
  <si>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</si>
  <si>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</si>
  <si>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</si>
  <si>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</si>
  <si>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</si>
  <si>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</si>
  <si>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</si>
  <si>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</si>
  <si>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</si>
  <si>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</si>
  <si>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</si>
  <si>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</si>
  <si>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</si>
  <si>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</si>
  <si>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</si>
  <si>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</si>
  <si>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</si>
  <si>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</si>
  <si>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</si>
  <si>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</si>
  <si>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</si>
  <si>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</si>
  <si>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</si>
  <si>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</si>
  <si>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</si>
  <si>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</si>
  <si>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</si>
  <si>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</si>
  <si>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</si>
  <si>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</si>
  <si>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</si>
  <si>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</si>
  <si>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</si>
  <si>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</si>
  <si>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</si>
  <si>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</si>
  <si>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</si>
  <si>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</si>
  <si>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</si>
  <si>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</si>
  <si>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</si>
  <si>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</si>
  <si>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</si>
  <si>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</si>
  <si>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</si>
  <si>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</si>
  <si>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</si>
  <si>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</si>
  <si>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</si>
  <si>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</si>
  <si>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</si>
  <si>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</si>
  <si>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</si>
  <si>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</si>
  <si>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</si>
  <si>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</si>
  <si>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</si>
  <si>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</si>
  <si>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</si>
  <si>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</si>
  <si>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</si>
  <si>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</si>
  <si>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</si>
  <si>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</si>
  <si>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</si>
  <si>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</si>
  <si>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</si>
  <si>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</si>
  <si>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</si>
  <si>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</si>
  <si>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</si>
  <si>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</si>
  <si>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</si>
  <si>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</si>
  <si>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</si>
  <si>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</si>
  <si>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</si>
  <si>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</si>
  <si>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</si>
  <si>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</si>
  <si>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</si>
  <si>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</si>
  <si>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</si>
  <si>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</si>
  <si>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</si>
  <si>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</si>
  <si>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</si>
  <si>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</si>
  <si>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</si>
  <si>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</si>
  <si>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</si>
  <si>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</si>
  <si>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</si>
  <si>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</si>
  <si>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</si>
  <si>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</si>
  <si>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</si>
  <si>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</si>
  <si>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</si>
  <si>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</si>
  <si>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</si>
  <si>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</si>
  <si>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</si>
  <si>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</si>
  <si>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</si>
  <si>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</si>
  <si>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</si>
  <si>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</si>
  <si>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</si>
  <si>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</si>
  <si>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</si>
  <si>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</si>
  <si>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</si>
  <si>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</si>
  <si>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</si>
  <si>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</si>
  <si>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</si>
  <si>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</si>
  <si>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</si>
  <si>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</si>
  <si>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</si>
  <si>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</si>
  <si>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</si>
  <si>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</si>
  <si>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</si>
  <si>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</si>
  <si>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</si>
  <si>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</si>
  <si>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</si>
  <si>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</si>
  <si>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</si>
  <si>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</si>
  <si>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</si>
  <si>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</si>
  <si>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</si>
  <si>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</si>
  <si>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</si>
  <si>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</si>
  <si>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</si>
  <si>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</si>
  <si>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</si>
  <si>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</si>
  <si>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</si>
  <si>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</si>
  <si>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</si>
  <si>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</si>
  <si>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</si>
  <si>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</si>
  <si>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</si>
  <si>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</si>
  <si>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</si>
  <si>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</si>
  <si>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</si>
  <si>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</si>
  <si>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</si>
  <si>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</si>
  <si>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</si>
  <si>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</si>
  <si>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</si>
  <si>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</si>
  <si>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</si>
  <si>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</si>
  <si>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</si>
  <si>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</si>
  <si>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</si>
  <si>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</si>
  <si>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</si>
  <si>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</si>
  <si>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</si>
  <si>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</si>
  <si>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</si>
  <si>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</si>
  <si>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</si>
  <si>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</si>
  <si>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</si>
  <si>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</si>
  <si>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</si>
  <si>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</si>
  <si>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</si>
  <si>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</si>
  <si>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</si>
  <si>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</si>
  <si>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</si>
  <si>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</si>
  <si>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</si>
  <si>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</si>
  <si>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</si>
  <si>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</si>
  <si>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</si>
  <si>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</si>
  <si>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</si>
  <si>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</si>
  <si>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</si>
  <si>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</si>
  <si>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</si>
  <si>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</si>
  <si>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</si>
  <si>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</si>
  <si>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</si>
  <si>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</si>
  <si>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</si>
  <si>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</si>
  <si>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</si>
  <si>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</si>
  <si>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</si>
  <si>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</si>
  <si>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</si>
  <si>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</si>
  <si>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</si>
  <si>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</si>
  <si>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</si>
  <si>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</si>
  <si>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</si>
  <si>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</si>
  <si>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</si>
  <si>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</si>
  <si>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</si>
  <si>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</si>
  <si>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</si>
  <si>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</si>
  <si>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</si>
  <si>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</si>
  <si>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</si>
  <si>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</si>
  <si>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</si>
  <si>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</si>
  <si>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</si>
  <si>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</si>
  <si>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</si>
  <si>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</si>
  <si>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</si>
  <si>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</si>
  <si>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</si>
  <si>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</si>
  <si>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</si>
  <si>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</si>
  <si>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</si>
  <si>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</si>
  <si>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</si>
  <si>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</si>
  <si>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</si>
  <si>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</si>
  <si>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</si>
  <si>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</si>
  <si>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</si>
  <si>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</si>
  <si>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</si>
  <si>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</si>
  <si>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</si>
  <si>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</si>
  <si>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</si>
  <si>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</si>
  <si>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</si>
  <si>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</si>
  <si>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</si>
  <si>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</si>
  <si>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</si>
  <si>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</si>
  <si>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</si>
  <si>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</si>
  <si>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</si>
  <si>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</si>
  <si>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</si>
  <si>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</si>
  <si>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</si>
  <si>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</si>
  <si>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</si>
  <si>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</si>
  <si>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</si>
  <si>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</si>
  <si>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</si>
  <si>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</si>
  <si>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</si>
  <si>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</si>
  <si>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</si>
  <si>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</si>
  <si>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</si>
  <si>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</si>
  <si>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</si>
  <si>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</si>
  <si>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</si>
  <si>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</si>
  <si>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</si>
  <si>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</si>
  <si>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</si>
  <si>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</si>
  <si>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</si>
  <si>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</si>
  <si>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</si>
  <si>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</si>
  <si>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</si>
  <si>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</si>
  <si>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</si>
  <si>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</si>
  <si>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</si>
  <si>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</si>
  <si>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</si>
  <si>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</si>
  <si>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</si>
  <si>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</si>
  <si>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</si>
  <si>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</si>
  <si>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</si>
  <si>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</si>
  <si>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</si>
  <si>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</si>
  <si>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</si>
  <si>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</si>
  <si>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</si>
  <si>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</si>
  <si>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</si>
  <si>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</si>
  <si>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</si>
  <si>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</si>
  <si>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</si>
  <si>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</si>
  <si>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</si>
  <si>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</si>
  <si>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</si>
  <si>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</si>
  <si>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</si>
  <si>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</si>
  <si>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</si>
  <si>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</si>
  <si>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</si>
  <si>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</si>
  <si>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</si>
  <si>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</si>
  <si>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</si>
  <si>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</si>
  <si>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</si>
  <si>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</si>
  <si>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</si>
  <si>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</si>
  <si>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</si>
  <si>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</si>
  <si>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</si>
  <si>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</si>
  <si>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</si>
  <si>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</si>
  <si>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</si>
  <si>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</si>
  <si>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</si>
  <si>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</si>
  <si>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</si>
  <si>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</si>
  <si>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</si>
  <si>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</si>
  <si>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</si>
  <si>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</si>
  <si>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</si>
  <si>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</si>
  <si>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</si>
  <si>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</si>
  <si>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</si>
  <si>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</si>
  <si>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</si>
  <si>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</si>
  <si>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</si>
  <si>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</si>
  <si>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</si>
  <si>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</si>
  <si>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</si>
  <si>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</si>
  <si>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</si>
  <si>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</si>
  <si>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</si>
  <si>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</si>
  <si>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</si>
  <si>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</si>
  <si>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</si>
  <si>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</si>
  <si>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</si>
  <si>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</si>
  <si>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</si>
  <si>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</si>
  <si>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</si>
  <si>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</si>
  <si>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</si>
  <si>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</si>
  <si>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</si>
  <si>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</si>
  <si>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</si>
  <si>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</si>
  <si>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</si>
  <si>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</si>
  <si>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</si>
  <si>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</si>
  <si>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</si>
  <si>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</si>
  <si>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</si>
  <si>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</si>
  <si>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</si>
  <si>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</si>
  <si>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</si>
  <si>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</si>
  <si>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</si>
  <si>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</si>
  <si>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</si>
  <si>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</si>
  <si>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</si>
  <si>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</si>
  <si>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</si>
  <si>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</si>
  <si>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</si>
  <si>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</si>
  <si>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</si>
  <si>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</si>
  <si>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</si>
  <si>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</si>
  <si>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</si>
  <si>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</si>
  <si>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</si>
  <si>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</si>
  <si>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</si>
  <si>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</si>
  <si>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</si>
  <si>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</si>
  <si>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</si>
  <si>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</si>
  <si>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</si>
  <si>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</si>
  <si>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</si>
  <si>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</si>
  <si>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</si>
  <si>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</si>
  <si>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</si>
  <si>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</si>
  <si>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</si>
  <si>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</si>
  <si>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</si>
  <si>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</si>
  <si>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</si>
  <si>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</si>
  <si>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</si>
  <si>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</si>
  <si>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</si>
  <si>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</si>
  <si>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</si>
  <si>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</si>
  <si>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</si>
  <si>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</si>
  <si>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</si>
  <si>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</si>
  <si>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</si>
  <si>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</si>
  <si>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</si>
  <si>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</si>
  <si>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</si>
  <si>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</si>
  <si>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</si>
  <si>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</si>
  <si>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</si>
  <si>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</si>
  <si>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</si>
  <si>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</si>
  <si>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</si>
  <si>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</si>
  <si>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</si>
  <si>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</si>
  <si>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</si>
  <si>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</si>
  <si>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</si>
  <si>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</si>
  <si>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</si>
  <si>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</si>
  <si>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</si>
  <si>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</si>
  <si>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</si>
  <si>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</si>
  <si>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</si>
  <si>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</si>
  <si>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</si>
  <si>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</si>
  <si>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</si>
  <si>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</si>
  <si>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</si>
  <si>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</si>
  <si>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</si>
  <si>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</si>
  <si>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</si>
  <si>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</si>
  <si>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</si>
  <si>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</si>
  <si>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</si>
  <si>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</si>
  <si>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</si>
  <si>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</si>
  <si>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</si>
  <si>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</si>
  <si>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</si>
  <si>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</si>
  <si>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</si>
  <si>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</si>
  <si>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</si>
  <si>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</si>
  <si>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</si>
  <si>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</si>
  <si>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</si>
  <si>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</si>
  <si>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</si>
  <si>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</si>
  <si>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</si>
  <si>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</si>
  <si>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</si>
  <si>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</si>
  <si>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</si>
  <si>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</si>
  <si>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</si>
  <si>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</si>
  <si>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</si>
  <si>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</si>
  <si>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</si>
  <si>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</si>
  <si>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</si>
  <si>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</si>
  <si>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</si>
  <si>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</si>
  <si>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</si>
  <si>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</si>
  <si>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</si>
  <si>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</si>
  <si>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</si>
  <si>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</si>
  <si>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</si>
  <si>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</si>
  <si>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</si>
  <si>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</si>
  <si>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</si>
  <si>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</si>
  <si>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</si>
  <si>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</si>
  <si>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</si>
  <si>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</si>
  <si>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</si>
  <si>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</si>
  <si>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</si>
  <si>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</si>
  <si>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</si>
  <si>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</si>
  <si>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</si>
  <si>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</si>
  <si>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</si>
  <si>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</si>
  <si>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</si>
  <si>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</si>
  <si>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</si>
  <si>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</si>
  <si>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</si>
  <si>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</si>
  <si>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</si>
  <si>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</si>
  <si>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</si>
  <si>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</si>
  <si>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</si>
  <si>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</si>
  <si>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</si>
  <si>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</si>
  <si>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</si>
  <si>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</si>
  <si>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</si>
  <si>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</si>
  <si>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</si>
  <si>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</si>
  <si>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</si>
  <si>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</si>
  <si>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</si>
  <si>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</si>
  <si>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</si>
  <si>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</si>
  <si>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</si>
  <si>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</si>
  <si>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</si>
  <si>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</si>
  <si>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</si>
  <si>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</si>
  <si>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</si>
  <si>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</si>
  <si>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</si>
  <si>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</si>
  <si>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</si>
  <si>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</si>
  <si>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</si>
  <si>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</si>
  <si>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</si>
  <si>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</si>
  <si>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</si>
  <si>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</si>
  <si>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</si>
  <si>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</si>
  <si>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</si>
  <si>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</si>
  <si>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</si>
  <si>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</si>
  <si>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</si>
  <si>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</si>
  <si>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</si>
  <si>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</si>
  <si>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</si>
  <si>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</si>
  <si>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</si>
  <si>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</si>
  <si>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</si>
  <si>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</si>
  <si>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</si>
  <si>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</si>
  <si>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</si>
  <si>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</si>
  <si>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</si>
  <si>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</si>
  <si>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</si>
  <si>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</si>
  <si>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</si>
  <si>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</si>
  <si>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</si>
  <si>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</si>
  <si>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</si>
  <si>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</si>
  <si>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</si>
  <si>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</si>
  <si>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</si>
  <si>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</si>
  <si>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</si>
  <si>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</si>
  <si>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</si>
  <si>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</si>
  <si>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</si>
  <si>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</si>
  <si>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</si>
  <si>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</si>
  <si>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</si>
  <si>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</si>
  <si>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</si>
  <si>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</si>
  <si>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</si>
  <si>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</si>
  <si>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</si>
  <si>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</si>
  <si>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</si>
  <si>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</si>
  <si>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</si>
  <si>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</si>
  <si>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</si>
  <si>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</si>
  <si>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</si>
  <si>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</si>
  <si>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</si>
  <si>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</si>
  <si>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</si>
  <si>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</si>
  <si>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</si>
  <si>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</si>
  <si>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</si>
  <si>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</si>
  <si>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</si>
  <si>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</si>
  <si>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</si>
  <si>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</si>
  <si>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</si>
  <si>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</si>
  <si>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</si>
  <si>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</si>
  <si>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</si>
  <si>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</si>
  <si>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</si>
  <si>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</si>
  <si>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</si>
  <si>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</si>
  <si>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</si>
  <si>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</si>
  <si>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</si>
  <si>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</si>
  <si>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</si>
  <si>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</si>
  <si>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</si>
  <si>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</si>
  <si>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</si>
  <si>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</si>
  <si>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</si>
  <si>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</si>
  <si>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</si>
  <si>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</si>
  <si>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</si>
  <si>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</si>
  <si>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</si>
  <si>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</si>
  <si>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</si>
  <si>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</si>
  <si>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</si>
  <si>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</si>
  <si>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</si>
  <si>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</si>
  <si>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</si>
  <si>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</si>
  <si>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</si>
  <si>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</si>
  <si>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</si>
  <si>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</si>
  <si>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</si>
  <si>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</si>
  <si>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</si>
  <si>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</si>
  <si>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</si>
  <si>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</si>
  <si>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</si>
  <si>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</si>
  <si>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</si>
  <si>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</si>
  <si>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</si>
  <si>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</si>
  <si>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</si>
  <si>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</si>
  <si>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</si>
  <si>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</si>
  <si>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</si>
  <si>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</si>
  <si>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</si>
  <si>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</si>
  <si>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</si>
  <si>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</si>
  <si>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</si>
  <si>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</si>
  <si>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</si>
  <si>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</si>
  <si>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</si>
  <si>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</si>
  <si>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</si>
  <si>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</si>
  <si>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</si>
  <si>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</si>
  <si>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</si>
  <si>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</si>
  <si>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</si>
  <si>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</si>
  <si>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</si>
  <si>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</si>
  <si>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</si>
  <si>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</si>
  <si>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</si>
  <si>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</si>
  <si>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</si>
  <si>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</si>
  <si>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</si>
  <si>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</si>
  <si>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</si>
  <si>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</si>
  <si>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</si>
  <si>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</si>
  <si>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</si>
  <si>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</si>
  <si>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</si>
  <si>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</si>
  <si>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</si>
  <si>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</si>
  <si>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</si>
  <si>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</si>
  <si>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</si>
  <si>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</si>
  <si>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</si>
  <si>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</si>
  <si>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</si>
  <si>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</si>
  <si>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</si>
  <si>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</si>
  <si>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</si>
  <si>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</si>
  <si>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</si>
  <si>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</si>
  <si>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</si>
  <si>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</si>
  <si>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</si>
  <si>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</si>
  <si>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</si>
  <si>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</si>
  <si>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</si>
  <si>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</si>
  <si>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</si>
  <si>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</si>
  <si>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</si>
  <si>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</si>
  <si>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</si>
  <si>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</si>
  <si>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</si>
  <si>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</si>
  <si>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</si>
  <si>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</si>
  <si>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</si>
  <si>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</si>
  <si>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</si>
  <si>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</si>
  <si>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</si>
  <si>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</si>
  <si>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</si>
  <si>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</si>
  <si>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</si>
  <si>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</si>
  <si>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</si>
  <si>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</si>
  <si>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</si>
  <si>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</si>
  <si>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</si>
  <si>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</si>
  <si>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</si>
  <si>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</si>
  <si>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</si>
  <si>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</si>
  <si>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</si>
  <si>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</si>
  <si>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</si>
  <si>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</si>
  <si>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</si>
  <si>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</si>
  <si>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</si>
  <si>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</si>
  <si>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</si>
  <si>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</si>
  <si>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</si>
  <si>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</si>
  <si>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</si>
  <si>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</si>
  <si>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</si>
  <si>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</si>
  <si>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</si>
  <si>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</si>
  <si>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</si>
  <si>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</si>
  <si>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</si>
  <si>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</si>
  <si>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</si>
  <si>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</si>
  <si>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</si>
  <si>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</si>
  <si>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</si>
  <si>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</si>
  <si>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</si>
  <si>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</si>
  <si>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</si>
  <si>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</si>
  <si>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</si>
  <si>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</si>
  <si>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</si>
  <si>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</si>
  <si>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</si>
  <si>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</si>
  <si>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</si>
  <si>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</si>
  <si>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</si>
  <si>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</si>
  <si>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</si>
  <si>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</si>
  <si>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</si>
  <si>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</si>
  <si>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</si>
  <si>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</si>
  <si>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</si>
  <si>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</si>
  <si>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</si>
  <si>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</si>
  <si>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</si>
  <si>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</si>
  <si>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</si>
  <si>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</si>
  <si>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</si>
  <si>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</si>
  <si>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</si>
  <si>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</si>
  <si>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</si>
  <si>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</si>
  <si>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</si>
  <si>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</si>
  <si>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</si>
  <si>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</si>
  <si>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</si>
  <si>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</si>
  <si>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</si>
  <si>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</si>
  <si>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</si>
  <si>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</si>
  <si>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</si>
  <si>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</si>
  <si>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</si>
  <si>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</si>
  <si>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</si>
  <si>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</si>
  <si>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</si>
  <si>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</si>
  <si>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</si>
  <si>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</si>
  <si>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</si>
  <si>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</si>
  <si>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</si>
  <si>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</si>
  <si>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</si>
  <si>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</si>
  <si>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</si>
  <si>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</si>
  <si>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</si>
  <si>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</si>
  <si>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</si>
  <si>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</si>
  <si>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</si>
  <si>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</si>
  <si>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</si>
  <si>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</si>
  <si>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</si>
  <si>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</si>
  <si>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</si>
  <si>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</si>
  <si>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</si>
  <si>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</si>
  <si>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</si>
  <si>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</si>
  <si>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</si>
  <si>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</si>
  <si>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</si>
  <si>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</si>
  <si>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</si>
  <si>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</si>
  <si>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</si>
  <si>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</si>
  <si>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</si>
  <si>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</si>
  <si>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</si>
  <si>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</si>
  <si>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</si>
  <si>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</si>
  <si>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</si>
  <si>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</si>
  <si>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</si>
  <si>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</si>
  <si>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</si>
  <si>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</si>
  <si>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</si>
  <si>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</si>
  <si>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</si>
  <si>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</si>
  <si>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</si>
  <si>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</si>
  <si>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</si>
  <si>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</si>
  <si>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</si>
  <si>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</si>
  <si>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</si>
  <si>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</si>
  <si>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</si>
  <si>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</si>
  <si>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</si>
  <si>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</si>
  <si>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</si>
  <si>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</si>
  <si>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</si>
  <si>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</si>
  <si>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</si>
  <si>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</si>
  <si>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</si>
  <si>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</si>
  <si>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</si>
  <si>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</si>
  <si>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</si>
  <si>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</si>
  <si>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</si>
  <si>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</si>
  <si>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</si>
  <si>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</si>
  <si>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</si>
  <si>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</si>
  <si>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</si>
  <si>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</si>
  <si>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</si>
  <si>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</si>
  <si>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</si>
  <si>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</si>
  <si>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</si>
  <si>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</si>
  <si>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</si>
  <si>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</si>
  <si>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</si>
  <si>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</si>
  <si>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</si>
  <si>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</si>
  <si>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</si>
  <si>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</si>
  <si>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</si>
  <si>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</si>
  <si>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</si>
  <si>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</si>
  <si>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</si>
  <si>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</si>
  <si>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</si>
  <si>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</si>
  <si>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</si>
  <si>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</si>
  <si>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</si>
  <si>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</si>
  <si>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</si>
  <si>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</si>
  <si>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</si>
  <si>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</si>
  <si>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</si>
  <si>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</si>
  <si>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</si>
  <si>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</si>
  <si>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</si>
  <si>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</si>
  <si>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</si>
  <si>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</si>
  <si>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</si>
  <si>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</si>
  <si>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</si>
  <si>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</si>
  <si>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</si>
  <si>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</si>
  <si>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</si>
  <si>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</si>
  <si>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</si>
  <si>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</si>
  <si>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</si>
  <si>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</si>
  <si>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</si>
  <si>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</si>
  <si>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</si>
  <si>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</si>
  <si>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</si>
  <si>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</si>
  <si>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</si>
  <si>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</si>
  <si>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</si>
  <si>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</si>
  <si>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</si>
  <si>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</si>
  <si>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</si>
  <si>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</si>
  <si>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</si>
  <si>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</si>
  <si>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</si>
  <si>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</si>
  <si>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</si>
  <si>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</si>
  <si>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</si>
  <si>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</si>
  <si>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</si>
  <si>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</si>
  <si>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</si>
  <si>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</si>
  <si>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</si>
  <si>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</si>
  <si>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</si>
  <si>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</si>
  <si>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</si>
  <si>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</si>
  <si>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</si>
  <si>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</si>
  <si>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</si>
  <si>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</si>
  <si>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</si>
  <si>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</si>
  <si>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</si>
  <si>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</si>
  <si>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</si>
  <si>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</si>
  <si>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</si>
  <si>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</si>
  <si>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</si>
  <si>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</si>
  <si>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</si>
  <si>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</si>
  <si>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</si>
  <si>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</si>
  <si>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</si>
  <si>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</si>
  <si>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</si>
  <si>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</si>
  <si>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</si>
  <si>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</si>
  <si>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</si>
  <si>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</si>
  <si>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</si>
  <si>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</si>
  <si>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</si>
  <si>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</si>
  <si>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</si>
  <si>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</si>
  <si>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</si>
  <si>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</si>
  <si>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</si>
  <si>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</si>
  <si>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</si>
  <si>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</si>
  <si>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</si>
  <si>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</si>
  <si>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</si>
  <si>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</si>
  <si>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</si>
  <si>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</si>
  <si>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</si>
  <si>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</si>
  <si>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</si>
  <si>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</si>
  <si>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</si>
  <si>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</si>
  <si>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</si>
  <si>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</si>
  <si>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</si>
  <si>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</si>
  <si>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</si>
  <si>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</si>
  <si>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</si>
  <si>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</si>
  <si>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</si>
  <si>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</si>
  <si>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</si>
  <si>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</si>
  <si>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</si>
  <si>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</si>
  <si>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</si>
  <si>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</si>
  <si>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</si>
  <si>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</si>
  <si>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</si>
  <si>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</si>
  <si>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</si>
  <si>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</si>
  <si>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</si>
  <si>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</si>
  <si>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</si>
  <si>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</si>
  <si>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</si>
  <si>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</si>
  <si>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</si>
  <si>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</si>
  <si>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</si>
  <si>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</si>
  <si>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</si>
  <si>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</si>
  <si>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</si>
  <si>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</si>
  <si>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</si>
  <si>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</si>
  <si>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</si>
  <si>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</si>
  <si>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</si>
  <si>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</si>
  <si>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</si>
  <si>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</si>
  <si>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</si>
  <si>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</si>
  <si>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</si>
  <si>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</si>
  <si>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</si>
  <si>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</si>
  <si>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</si>
  <si>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</si>
  <si>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</si>
  <si>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</si>
  <si>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</si>
  <si>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</si>
  <si>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</si>
  <si>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</si>
  <si>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</si>
  <si>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</si>
  <si>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</si>
  <si>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</si>
  <si>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</si>
  <si>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</si>
  <si>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</si>
  <si>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</si>
  <si>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</si>
  <si>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</si>
  <si>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</si>
  <si>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</si>
  <si>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</si>
  <si>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</si>
  <si>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</si>
  <si>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</si>
  <si>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</si>
  <si>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</si>
  <si>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</si>
  <si>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</si>
  <si>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</si>
  <si>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Cristalum Gandia</t>
  </si>
  <si>
    <t>RECT50x20</t>
  </si>
  <si>
    <t>RECTANGULAR 50x20 BARRAS 6,5 MTS</t>
  </si>
  <si>
    <t>prec. Barra</t>
  </si>
  <si>
    <t>m barra</t>
  </si>
  <si>
    <t>neto</t>
  </si>
  <si>
    <t>tarifa Lac. Esp</t>
  </si>
  <si>
    <t>2IGU ARQ BLQ - MF2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</si>
</sst>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9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79"/>
  <sheetViews>
    <sheetView tabSelected="1" zoomScale="95" zoomScaleNormal="95" workbookViewId="0">
      <selection activeCell="G29" sqref="G29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1" t="s">
        <v>1</v>
      </c>
      <c r="F3" s="81"/>
      <c r="G3" s="81"/>
      <c r="H3" s="82"/>
      <c r="I3" s="82"/>
      <c r="J3" s="82"/>
      <c r="K3" s="82"/>
      <c r="L3" s="82"/>
    </row>
    <row r="5" spans="1:12" ht="18.75" x14ac:dyDescent="0.25">
      <c r="B5" s="83" t="s">
        <v>2</v>
      </c>
      <c r="C5" s="83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20250095</v>
      </c>
      <c r="G7" s="8">
        <f ca="1">TODAY()</f>
        <v>45786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1454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/>
      <c r="C13" s="80" t="str">
        <f>IFERROR(VLOOKUP($B13,Tarifa_all_20240711!$A$2:$G$660,2,FALSE()),"-")</f>
        <v>-</v>
      </c>
      <c r="D13" s="80"/>
      <c r="E13" s="17"/>
      <c r="F13" s="18" t="str">
        <f>IFERROR(VLOOKUP($B13,Tarifa_all_20240711!$A$2:$G$660,5,FALSE()),"-")</f>
        <v>-</v>
      </c>
      <c r="G13" s="18" t="str">
        <f t="shared" ref="G13:G30" si="0">IFERROR(E13*F13,"-")</f>
        <v>-</v>
      </c>
      <c r="H13" s="1"/>
    </row>
    <row r="14" spans="1:12" x14ac:dyDescent="0.25">
      <c r="A14" t="s">
        <v>1434</v>
      </c>
      <c r="B14" s="16"/>
      <c r="C14" s="80" t="str">
        <f>IFERROR(VLOOKUP($B14,Tarifa_all_20240711!$A$2:$G$660,2,FALSE()),"-")</f>
        <v>-</v>
      </c>
      <c r="D14" s="80"/>
      <c r="E14" s="17"/>
      <c r="F14" s="18" t="str">
        <f>IFERROR(VLOOKUP($B14,Tarifa_all_20240711!$A$2:$G$660,5,FALSE()),"-")</f>
        <v>-</v>
      </c>
      <c r="G14" s="18" t="str">
        <f t="shared" si="0"/>
        <v>-</v>
      </c>
      <c r="H14" s="1"/>
    </row>
    <row r="15" spans="1:12" x14ac:dyDescent="0.25">
      <c r="A15" t="s">
        <v>1435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/>
      <c r="C16" s="80" t="str">
        <f>IFERROR(VLOOKUP($B16,Tarifa_all_20240711!$A$2:$G$660,2,FALSE()),"-")</f>
        <v>-</v>
      </c>
      <c r="D16" s="80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13" x14ac:dyDescent="0.25">
      <c r="A17" t="s">
        <v>28</v>
      </c>
      <c r="B17" s="16"/>
      <c r="C17" s="80" t="str">
        <f>IFERROR(VLOOKUP($B17,Tarifa_all_20240711!$A$2:$G$660,2,FALSE()),"-")</f>
        <v>-</v>
      </c>
      <c r="D17" s="80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13" x14ac:dyDescent="0.25">
      <c r="A18" t="s">
        <v>14</v>
      </c>
      <c r="B18" s="16"/>
      <c r="C18" s="80" t="str">
        <f>IFERROR(VLOOKUP($B18,Tarifa_all_20240711!$A$2:$G$660,2,FALSE()),"-")</f>
        <v>-</v>
      </c>
      <c r="D18" s="80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13" x14ac:dyDescent="0.25">
      <c r="B19" s="16" t="s">
        <v>446</v>
      </c>
      <c r="C19" s="80" t="str">
        <f>IFERROR(VLOOKUP($B19,Tarifa_all_20240711!$A$2:$G$660,2,FALSE()),"-")</f>
        <v>MARCO FIJOS 35MM D-DECOR FIJO NEGRO TEXT 6,5 MTS</v>
      </c>
      <c r="D19" s="80"/>
      <c r="E19" s="17">
        <v>2</v>
      </c>
      <c r="F19" s="18">
        <f>IFERROR(VLOOKUP($B19,Tarifa_all_20240711!$A$2:$G$660,5,FALSE()),"-")</f>
        <v>60.045000000000002</v>
      </c>
      <c r="G19" s="18">
        <f t="shared" si="0"/>
        <v>120.09</v>
      </c>
      <c r="H19" s="1"/>
    </row>
    <row r="20" spans="1:13" x14ac:dyDescent="0.25">
      <c r="B20" s="16" t="s">
        <v>426</v>
      </c>
      <c r="C20" s="80" t="str">
        <f>IFERROR(VLOOKUP($B20,Tarifa_all_20240711!$A$2:$G$660,2,FALSE()),"-")</f>
        <v>ANCLAJE TAPA 35MM D-DECOR FIJO NEGRO TEXT 6,5 MTS</v>
      </c>
      <c r="D20" s="80"/>
      <c r="E20" s="17">
        <v>2</v>
      </c>
      <c r="F20" s="18">
        <f>IFERROR(VLOOKUP($B20,Tarifa_all_20240711!$A$2:$G$660,5,FALSE()),"-")</f>
        <v>29.0625</v>
      </c>
      <c r="G20" s="18">
        <f t="shared" si="0"/>
        <v>58.125</v>
      </c>
      <c r="H20" s="1"/>
    </row>
    <row r="21" spans="1:13" x14ac:dyDescent="0.25">
      <c r="B21" s="16" t="s">
        <v>466</v>
      </c>
      <c r="C21" s="80" t="str">
        <f>IFERROR(VLOOKUP($B21,Tarifa_all_20240711!$A$2:$G$660,2,FALSE()),"-")</f>
        <v>TAPA MARCO 35MM D-DECOR FIJO NEGRO TEXT 6,5 MTS</v>
      </c>
      <c r="D21" s="80"/>
      <c r="E21" s="17">
        <v>2</v>
      </c>
      <c r="F21" s="18">
        <f>IFERROR(VLOOKUP($B21,Tarifa_all_20240711!$A$2:$G$660,5,FALSE()),"-")</f>
        <v>24.487499999999997</v>
      </c>
      <c r="G21" s="18">
        <f t="shared" si="0"/>
        <v>48.974999999999994</v>
      </c>
      <c r="H21" s="1"/>
    </row>
    <row r="22" spans="1:13" x14ac:dyDescent="0.25">
      <c r="B22" s="16" t="s">
        <v>445</v>
      </c>
      <c r="C22" s="80" t="str">
        <f>IFERROR(VLOOKUP($B22,Tarifa_all_20240711!$A$2:$G$660,2,FALSE()),"-")</f>
        <v>MARCO FIJOS 35MM D-DECOR FIJO NEGRO TEXT 3 MTS</v>
      </c>
      <c r="D22" s="80"/>
      <c r="E22" s="17">
        <v>2</v>
      </c>
      <c r="F22" s="18">
        <f>IFERROR(VLOOKUP($B22,Tarifa_all_20240711!$A$2:$G$660,5,FALSE()),"-")</f>
        <v>27.712500000000002</v>
      </c>
      <c r="G22" s="18">
        <f t="shared" si="0"/>
        <v>55.425000000000004</v>
      </c>
      <c r="H22" s="1"/>
    </row>
    <row r="23" spans="1:13" x14ac:dyDescent="0.25">
      <c r="B23" s="16" t="s">
        <v>425</v>
      </c>
      <c r="C23" s="80" t="str">
        <f>IFERROR(VLOOKUP($B23,Tarifa_all_20240711!$A$2:$G$660,2,FALSE()),"-")</f>
        <v>ANCLAJE TAPA 35MM D-DECOR FIJO NEGRO TEXT 3 MTS</v>
      </c>
      <c r="D23" s="80"/>
      <c r="E23" s="17">
        <v>2</v>
      </c>
      <c r="F23" s="18">
        <f>IFERROR(VLOOKUP($B23,Tarifa_all_20240711!$A$2:$G$660,5,FALSE()),"-")</f>
        <v>13.4175</v>
      </c>
      <c r="G23" s="18">
        <f t="shared" si="0"/>
        <v>26.835000000000001</v>
      </c>
      <c r="H23" s="1"/>
    </row>
    <row r="24" spans="1:13" x14ac:dyDescent="0.25">
      <c r="B24" s="16" t="s">
        <v>465</v>
      </c>
      <c r="C24" s="80" t="str">
        <f>IFERROR(VLOOKUP($B24,Tarifa_all_20240711!$A$2:$G$660,2,FALSE()),"-")</f>
        <v>TAPA MARCO 35MM D-DECOR FIJO NEGRO TEXT 3 MTS</v>
      </c>
      <c r="D24" s="80"/>
      <c r="E24" s="17">
        <v>2</v>
      </c>
      <c r="F24" s="18">
        <f>IFERROR(VLOOKUP($B24,Tarifa_all_20240711!$A$2:$G$660,5,FALSE()),"-")</f>
        <v>11.3025</v>
      </c>
      <c r="G24" s="18">
        <f t="shared" si="0"/>
        <v>22.605</v>
      </c>
      <c r="H24" s="1"/>
    </row>
    <row r="25" spans="1:13" x14ac:dyDescent="0.25">
      <c r="B25" s="16" t="s">
        <v>283</v>
      </c>
      <c r="C25" s="80" t="str">
        <f>IFERROR(VLOOKUP($B25,Tarifa_all_20240711!$A$2:$G$660,2,FALSE()),"-")</f>
        <v>Tope Domo Decor</v>
      </c>
      <c r="D25" s="80"/>
      <c r="E25" s="17">
        <v>8</v>
      </c>
      <c r="F25" s="18">
        <f>IFERROR(VLOOKUP($B25,Tarifa_all_20240711!$A$2:$G$660,5,FALSE()),"-")</f>
        <v>1.4175</v>
      </c>
      <c r="G25" s="18">
        <f t="shared" si="0"/>
        <v>11.34</v>
      </c>
      <c r="H25" s="1"/>
    </row>
    <row r="26" spans="1:13" x14ac:dyDescent="0.25">
      <c r="B26" s="16" t="s">
        <v>285</v>
      </c>
      <c r="C26" s="80" t="str">
        <f>IFERROR(VLOOKUP($B26,Tarifa_all_20240711!$A$2:$G$660,2,FALSE()),"-")</f>
        <v>PERFIL 3 MTS REDUCTOR PARA VIDRIO 6mm</v>
      </c>
      <c r="D26" s="80"/>
      <c r="E26" s="17">
        <f>4+2</f>
        <v>6</v>
      </c>
      <c r="F26" s="18">
        <f>IFERROR(VLOOKUP($B26,Tarifa_all_20240711!$A$2:$G$660,5,FALSE()),"-")</f>
        <v>3.4275000000000002</v>
      </c>
      <c r="G26" s="18">
        <f t="shared" si="0"/>
        <v>20.565000000000001</v>
      </c>
      <c r="H26" s="1"/>
    </row>
    <row r="27" spans="1:13" x14ac:dyDescent="0.25">
      <c r="B27" s="16">
        <v>31229</v>
      </c>
      <c r="C27" s="80" t="str">
        <f>IFERROR(VLOOKUP($B27,Tarifa_all_20240711!$A$2:$G$660,2,FALSE()),"-")</f>
        <v>COMPLEMENTO FIJACION DOMO DECOR: BARRAS 3 MTS</v>
      </c>
      <c r="D27" s="80"/>
      <c r="E27" s="17">
        <v>2</v>
      </c>
      <c r="F27" s="18">
        <f>IFERROR(VLOOKUP($B27,Tarifa_all_20240711!$A$2:$G$660,5,FALSE()),"-")</f>
        <v>11.317499999999999</v>
      </c>
      <c r="G27" s="18">
        <f t="shared" si="0"/>
        <v>22.634999999999998</v>
      </c>
      <c r="H27" s="1"/>
    </row>
    <row r="28" spans="1:13" x14ac:dyDescent="0.25">
      <c r="B28" s="16" t="s">
        <v>476</v>
      </c>
      <c r="C28" s="80" t="str">
        <f>IFERROR(VLOOKUP($B28,Tarifa_all_20240711!$A$2:$G$660,2,FALSE()),"-")</f>
        <v>COMPLEMENTO D-DECOR FIJO NEGRO TEXT 6,5 MTS</v>
      </c>
      <c r="D28" s="80"/>
      <c r="E28" s="17">
        <v>1</v>
      </c>
      <c r="F28" s="18">
        <f>IFERROR(VLOOKUP($B28,Tarifa_all_20240711!$A$2:$G$660,5,FALSE()),"-")</f>
        <v>46.387500000000003</v>
      </c>
      <c r="G28" s="18">
        <f t="shared" si="0"/>
        <v>46.387500000000003</v>
      </c>
      <c r="H28" s="1"/>
      <c r="I28" s="7" t="s">
        <v>1453</v>
      </c>
      <c r="J28" s="7"/>
      <c r="K28" s="7" t="s">
        <v>1452</v>
      </c>
      <c r="L28" s="7" t="s">
        <v>1451</v>
      </c>
      <c r="M28" s="7" t="s">
        <v>1450</v>
      </c>
    </row>
    <row r="29" spans="1:13" x14ac:dyDescent="0.25">
      <c r="B29" s="16" t="s">
        <v>1448</v>
      </c>
      <c r="C29" s="80" t="s">
        <v>1449</v>
      </c>
      <c r="D29" s="80"/>
      <c r="E29" s="17">
        <v>1</v>
      </c>
      <c r="F29" s="18">
        <f>M29</f>
        <v>38.574250000000006</v>
      </c>
      <c r="G29" s="18">
        <f t="shared" si="0"/>
        <v>38.574250000000006</v>
      </c>
      <c r="H29" s="1"/>
      <c r="I29" s="78">
        <v>9.1300000000000008</v>
      </c>
      <c r="J29" s="77">
        <v>0.35</v>
      </c>
      <c r="K29" s="78">
        <f>I29*(1-J29)</f>
        <v>5.9345000000000008</v>
      </c>
      <c r="L29">
        <v>6.5</v>
      </c>
      <c r="M29" s="78">
        <f>K29*L29</f>
        <v>38.574250000000006</v>
      </c>
    </row>
    <row r="30" spans="1:13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3" x14ac:dyDescent="0.25">
      <c r="B31" s="19"/>
      <c r="C31" s="19"/>
      <c r="D31" s="19"/>
      <c r="E31" s="19"/>
      <c r="F31" s="20"/>
      <c r="G31" s="21">
        <f>SUM(G13:G30)</f>
        <v>471.55674999999997</v>
      </c>
    </row>
    <row r="32" spans="1:13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9"/>
      <c r="E52" s="79"/>
      <c r="F52" s="79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1" t="s">
        <v>70</v>
      </c>
      <c r="F2" s="81"/>
      <c r="G2" s="81"/>
    </row>
    <row r="3" spans="1:7" ht="18" customHeight="1" x14ac:dyDescent="0.35">
      <c r="E3" s="81" t="s">
        <v>1</v>
      </c>
      <c r="F3" s="81"/>
      <c r="G3" s="81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8" t="s">
        <v>71</v>
      </c>
      <c r="B6" s="88"/>
      <c r="C6" s="88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9" t="str">
        <f>'DESPIECE (MATANALYSIS)'!C8</f>
        <v>Cristalum Gandia</v>
      </c>
      <c r="C9" s="89"/>
      <c r="D9" s="89"/>
      <c r="F9" s="3" t="s">
        <v>73</v>
      </c>
      <c r="G9" s="44">
        <f ca="1">TODAY()</f>
        <v>45786</v>
      </c>
    </row>
    <row r="10" spans="1:7" x14ac:dyDescent="0.25">
      <c r="A10" s="3" t="s">
        <v>74</v>
      </c>
      <c r="B10" s="11" t="str">
        <f>'DESPIECE (MATANALYSIS)'!C9</f>
        <v>2IGU ARQ BLQ - MF2</v>
      </c>
      <c r="C10" s="45"/>
      <c r="D10" s="45"/>
      <c r="E10" s="46"/>
      <c r="F10" s="47" t="s">
        <v>75</v>
      </c>
      <c r="G10" s="7">
        <f>'DESPIECE (MATANALYSIS)'!C7</f>
        <v>20250095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471.55674999999997</v>
      </c>
    </row>
    <row r="45" spans="1:7" ht="22.7" customHeight="1" x14ac:dyDescent="0.25">
      <c r="A45" s="84" t="s">
        <v>1445</v>
      </c>
      <c r="B45" s="84"/>
      <c r="C45" s="72"/>
      <c r="D45" s="72"/>
      <c r="E45" s="72"/>
      <c r="F45" s="73">
        <v>-0.1</v>
      </c>
      <c r="G45" s="74">
        <f>G44*(1+F45)</f>
        <v>424.40107499999999</v>
      </c>
    </row>
    <row r="46" spans="1:7" ht="22.7" customHeight="1" x14ac:dyDescent="0.25">
      <c r="A46" s="85" t="s">
        <v>84</v>
      </c>
      <c r="B46" s="85"/>
      <c r="C46" s="59"/>
      <c r="D46" s="59"/>
      <c r="E46" s="59"/>
      <c r="F46" s="86">
        <f>G45</f>
        <v>424.40107499999999</v>
      </c>
      <c r="G46" s="86"/>
    </row>
    <row r="47" spans="1:7" s="1" customFormat="1" ht="22.7" customHeight="1" x14ac:dyDescent="0.25">
      <c r="A47" s="87" t="s">
        <v>85</v>
      </c>
      <c r="B47" s="87"/>
      <c r="C47" s="87"/>
      <c r="D47" s="87"/>
      <c r="E47" s="87"/>
      <c r="F47" s="87"/>
      <c r="G47" s="87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2025-05-09T08:23:20Z</dcterms:modified>
  <dc:language>es-ES</dc:language>
</cp:coreProperties>
</file>