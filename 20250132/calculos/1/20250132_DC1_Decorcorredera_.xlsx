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ownloads\"/>
    </mc:Choice>
  </mc:AlternateContent>
  <xr:revisionPtr revIDLastSave="0" documentId="8_{CEB34C45-FA7B-4C14-A53F-7F42F6930D08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<sst xmlns="http://schemas.openxmlformats.org/spreadsheetml/2006/main" count="5400" uniqueCount="1453">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</sst>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20250132</v>
      </c>
      <c r="G7" s="8">
        <f ca="1">TODAY()</f>
        <v>45835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1419</v>
      </c>
      <c r="C13" s="77" t="str">
        <f>IFERROR(VLOOKUP($B13,Tarifa_all_20240711!$A$2:$G$660,2,FALSE()),"-")</f>
        <v>GUIA SUP TECHO PLUS LAC.NEGRO TEXTURADO-2 MTS</v>
      </c>
      <c r="D13" s="77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 t="s">
        <v>1443</v>
      </c>
      <c r="C14" s="77" t="str">
        <f>IFERROR(VLOOKUP($B14,Tarifa_all_20240711!$A$2:$G$660,2,FALSE()),"-")</f>
        <v>TAPETA LAT. GUIA TECHO NEGRO</v>
      </c>
      <c r="D14" s="77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343</v>
      </c>
      <c r="C16" s="77" t="str">
        <f>IFERROR(VLOOKUP($B16,Tarifa_all_20240711!$A$2:$G$660,2,FALSE()),"-")</f>
        <v>KIT AMORTIGUADOR SKY BIDIRECCIONAL 80KG</v>
      </c>
      <c r="D16" s="77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409.64250000000004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45835</v>
      </c>
    </row>
    <row r="10" spans="1:7" x14ac:dyDescent="0.25">
      <c r="A10" s="3" t="s">
        <v>82</v>
      </c>
      <c r="B10" s="11" t="str">
        <f>'DESPIECE (MATANALYSIS)'!C9</f>
        <v>DC1</v>
      </c>
      <c r="C10" s="45"/>
      <c r="D10" s="45"/>
      <c r="E10" s="46"/>
      <c r="F10" s="47" t="s">
        <v>83</v>
      </c>
      <c r="G10" s="7">
        <f>'DESPIECE (MATANALYSIS)'!C7</f>
        <v>20250132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409.64250000000004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2025-06-27T06:53:24Z</dcterms:modified>
  <dc:language>es-ES</dc:language>
</cp:coreProperties>
</file>