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2\calculos\1\"/>
    </mc:Choice>
  </mc:AlternateContent>
  <xr:revisionPtr revIDLastSave="0" documentId="13_ncr:1_{1ECB0D6F-AE98-4058-BF09-805C526FC958}" xr6:coauthVersionLast="47" xr6:coauthVersionMax="47" xr10:uidLastSave="{00000000-0000-0000-0000-000000000000}"/>
  <bookViews>
    <workbookView xWindow="7500" yWindow="1170" windowWidth="20565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<sst xmlns="http://schemas.openxmlformats.org/spreadsheetml/2006/main" count="5406" uniqueCount="1456">
  <si>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</si>
  <si>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</si>
  <si>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</si>
  <si>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</si>
  <si>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</si>
  <si>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</si>
  <si>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</si>
  <si>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</si>
  <si>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</si>
  <si>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</si>
  <si>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</si>
  <si>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</si>
  <si>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</si>
  <si>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</si>
  <si>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</si>
  <si>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</si>
  <si>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</si>
  <si>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</si>
  <si>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</si>
  <si>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</si>
  <si>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</si>
  <si>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</si>
  <si>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</si>
  <si>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</si>
  <si>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</si>
  <si>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</si>
  <si>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</si>
  <si>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</si>
  <si>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</si>
  <si>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</si>
  <si>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</si>
  <si>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</si>
  <si>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</si>
  <si>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</si>
  <si>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</si>
  <si>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</si>
  <si>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</si>
  <si>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</si>
  <si>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</si>
  <si>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</si>
  <si>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</si>
  <si>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</si>
  <si>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</si>
  <si>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</si>
  <si>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</si>
  <si>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</si>
  <si>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</si>
  <si>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</si>
  <si>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</si>
  <si>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</si>
  <si>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</si>
  <si>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</si>
  <si>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</si>
  <si>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</si>
  <si>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</si>
  <si>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</si>
  <si>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</si>
  <si>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</si>
  <si>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</si>
  <si>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</si>
  <si>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</si>
  <si>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</si>
  <si>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</si>
  <si>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</si>
  <si>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</si>
  <si>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</si>
  <si>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</si>
  <si>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</si>
  <si>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</si>
  <si>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</si>
  <si>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</si>
  <si>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</si>
  <si>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</si>
  <si>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</si>
  <si>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</si>
  <si>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</si>
  <si>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</si>
  <si>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</si>
  <si>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</si>
  <si>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</si>
  <si>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</si>
  <si>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</si>
  <si>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</si>
  <si>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</si>
  <si>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</si>
  <si>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</si>
  <si>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</si>
  <si>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</si>
  <si>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</si>
  <si>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</si>
  <si>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</si>
  <si>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</si>
  <si>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</si>
  <si>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</si>
  <si>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</si>
  <si>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</si>
  <si>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</si>
  <si>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</si>
  <si>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</si>
  <si>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</si>
  <si>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</si>
  <si>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</si>
  <si>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</si>
  <si>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</si>
  <si>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</si>
  <si>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</si>
  <si>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</si>
  <si>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</si>
  <si>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</si>
  <si>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</si>
  <si>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</si>
  <si>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</si>
  <si>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</si>
  <si>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</si>
  <si>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</si>
  <si>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</si>
  <si>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</si>
  <si>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</si>
  <si>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</si>
  <si>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</si>
  <si>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</si>
  <si>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</si>
  <si>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</si>
  <si>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</si>
  <si>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</si>
  <si>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</si>
  <si>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</si>
  <si>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</si>
  <si>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</si>
  <si>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</si>
  <si>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</si>
  <si>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</si>
  <si>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</si>
  <si>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</si>
  <si>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</si>
  <si>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</si>
  <si>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</si>
  <si>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</si>
  <si>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</si>
  <si>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</si>
  <si>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</si>
  <si>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</si>
  <si>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</si>
  <si>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</si>
  <si>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</si>
  <si>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</si>
  <si>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</si>
  <si>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</si>
  <si>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</si>
  <si>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</si>
  <si>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</si>
  <si>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</si>
  <si>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</si>
  <si>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</si>
  <si>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</si>
  <si>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</si>
  <si>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</si>
  <si>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</si>
  <si>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</si>
  <si>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</si>
  <si>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</si>
  <si>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</si>
  <si>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</si>
  <si>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</si>
  <si>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</si>
  <si>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</si>
  <si>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</si>
  <si>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</si>
  <si>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</si>
  <si>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</si>
  <si>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</si>
  <si>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</si>
  <si>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</si>
  <si>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</si>
  <si>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</si>
  <si>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</si>
  <si>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</si>
  <si>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</si>
  <si>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</si>
  <si>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</si>
  <si>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</si>
  <si>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</si>
  <si>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</si>
  <si>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</si>
  <si>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</si>
  <si>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</si>
  <si>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</si>
  <si>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</si>
  <si>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</si>
  <si>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</si>
  <si>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</si>
  <si>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</si>
  <si>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</si>
  <si>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</si>
  <si>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</si>
  <si>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</si>
  <si>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</si>
  <si>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</si>
  <si>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</si>
  <si>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</si>
  <si>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</si>
  <si>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</si>
  <si>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</si>
  <si>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</si>
  <si>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</si>
  <si>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</si>
  <si>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</si>
  <si>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</si>
  <si>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</si>
  <si>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</si>
  <si>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</si>
  <si>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</si>
  <si>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</si>
  <si>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</si>
  <si>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</si>
  <si>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</si>
  <si>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</si>
  <si>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</si>
  <si>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</si>
  <si>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</si>
  <si>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</si>
  <si>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</si>
  <si>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</si>
  <si>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</si>
  <si>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</si>
  <si>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</si>
  <si>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</si>
  <si>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</si>
  <si>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</si>
  <si>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</si>
  <si>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</si>
  <si>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</si>
  <si>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</si>
  <si>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</si>
  <si>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</si>
  <si>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</si>
  <si>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</si>
  <si>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</si>
  <si>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</si>
  <si>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</si>
  <si>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</si>
  <si>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</si>
  <si>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</si>
  <si>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</si>
  <si>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</si>
  <si>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</si>
  <si>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</si>
  <si>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</si>
  <si>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</si>
  <si>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</si>
  <si>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</si>
  <si>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</si>
  <si>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</si>
  <si>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</si>
  <si>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</si>
  <si>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</si>
  <si>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</si>
  <si>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</si>
  <si>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</si>
  <si>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</si>
  <si>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</si>
  <si>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</si>
  <si>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</si>
  <si>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</si>
  <si>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</si>
  <si>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</si>
  <si>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</si>
  <si>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</si>
  <si>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</si>
  <si>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</si>
  <si>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</si>
  <si>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</si>
  <si>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</si>
  <si>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</si>
  <si>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</si>
  <si>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</si>
  <si>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</si>
  <si>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</si>
  <si>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</si>
  <si>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</si>
  <si>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</si>
  <si>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</si>
  <si>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</si>
  <si>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</si>
  <si>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</si>
  <si>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</si>
  <si>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</si>
  <si>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</si>
  <si>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</si>
  <si>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</si>
  <si>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</si>
  <si>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</si>
  <si>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</si>
  <si>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</si>
  <si>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</si>
  <si>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</si>
  <si>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</si>
  <si>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</si>
  <si>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</si>
  <si>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</si>
  <si>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</si>
  <si>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</si>
  <si>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</si>
  <si>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</si>
  <si>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</si>
  <si>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</si>
  <si>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</si>
  <si>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</si>
  <si>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</si>
  <si>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</si>
  <si>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</si>
  <si>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</si>
  <si>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</si>
  <si>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</si>
  <si>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</si>
  <si>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</si>
  <si>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</si>
  <si>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</si>
  <si>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</si>
  <si>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</si>
  <si>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</si>
  <si>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</si>
  <si>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</si>
  <si>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</si>
  <si>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</si>
  <si>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</si>
  <si>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</si>
  <si>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</si>
  <si>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</si>
  <si>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</si>
  <si>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</si>
  <si>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</si>
  <si>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</si>
  <si>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</si>
  <si>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</si>
  <si>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</si>
  <si>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</si>
  <si>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</si>
  <si>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</si>
  <si>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</si>
  <si>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</si>
  <si>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</si>
  <si>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</si>
  <si>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</si>
  <si>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</si>
  <si>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</si>
  <si>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</si>
  <si>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</si>
  <si>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</si>
  <si>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</si>
  <si>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</si>
  <si>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</si>
  <si>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</si>
  <si>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</si>
  <si>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</si>
  <si>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</si>
  <si>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</si>
  <si>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</si>
  <si>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</si>
  <si>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</si>
  <si>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</si>
  <si>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</si>
  <si>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</si>
  <si>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</si>
  <si>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</si>
  <si>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</si>
  <si>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</si>
  <si>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</si>
  <si>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</si>
  <si>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</si>
  <si>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</si>
  <si>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</si>
  <si>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</si>
  <si>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</si>
  <si>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</si>
  <si>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</si>
  <si>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</si>
  <si>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</si>
  <si>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</si>
  <si>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</si>
  <si>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</si>
  <si>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</si>
  <si>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</si>
  <si>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</si>
  <si>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</si>
  <si>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</si>
  <si>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</si>
  <si>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</si>
  <si>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</si>
  <si>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</si>
  <si>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</si>
  <si>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</si>
  <si>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</si>
  <si>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</si>
  <si>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</si>
  <si>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</si>
  <si>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</si>
  <si>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</si>
  <si>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</si>
  <si>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</si>
  <si>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</si>
  <si>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</si>
  <si>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</si>
  <si>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</si>
  <si>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</si>
  <si>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</si>
  <si>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</si>
  <si>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</si>
  <si>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</si>
  <si>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</si>
  <si>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</si>
  <si>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</si>
  <si>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</si>
  <si>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</si>
  <si>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</si>
  <si>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</si>
  <si>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</si>
  <si>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</si>
  <si>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</si>
  <si>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</si>
  <si>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</si>
  <si>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</si>
  <si>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</si>
  <si>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</si>
  <si>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</si>
  <si>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</si>
  <si>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</si>
  <si>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</si>
  <si>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</si>
  <si>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</si>
  <si>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</si>
  <si>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</si>
  <si>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</si>
  <si>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</si>
  <si>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</si>
  <si>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</si>
  <si>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</si>
  <si>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</si>
  <si>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</si>
  <si>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</si>
  <si>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</si>
  <si>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</si>
  <si>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</si>
  <si>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</si>
  <si>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</si>
  <si>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</si>
  <si>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</si>
  <si>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</si>
  <si>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</si>
  <si>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</si>
  <si>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</si>
  <si>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</si>
  <si>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</si>
  <si>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</si>
  <si>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</si>
  <si>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</si>
  <si>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</si>
  <si>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</si>
  <si>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</si>
  <si>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</si>
  <si>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</si>
  <si>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</si>
  <si>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</si>
  <si>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</si>
  <si>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</si>
  <si>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</si>
  <si>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</si>
  <si>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</si>
  <si>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</si>
  <si>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</si>
  <si>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</si>
  <si>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</si>
  <si>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</si>
  <si>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</si>
  <si>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</si>
  <si>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</si>
  <si>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</si>
  <si>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</si>
  <si>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</si>
  <si>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</si>
  <si>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</si>
  <si>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</si>
  <si>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</si>
  <si>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</si>
  <si>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</si>
  <si>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</si>
  <si>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</si>
  <si>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</si>
  <si>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</si>
  <si>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</si>
  <si>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</si>
  <si>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</si>
  <si>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</si>
  <si>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</si>
  <si>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</si>
  <si>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</si>
  <si>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</si>
  <si>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</si>
  <si>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</si>
  <si>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</si>
  <si>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</si>
  <si>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</si>
  <si>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</si>
  <si>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</si>
  <si>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</si>
  <si>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</si>
  <si>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</si>
  <si>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</si>
  <si>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</si>
  <si>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</si>
  <si>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</si>
  <si>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</si>
  <si>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</si>
  <si>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</si>
  <si>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</si>
  <si>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</si>
  <si>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</si>
  <si>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</si>
  <si>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</si>
  <si>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</si>
  <si>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</si>
  <si>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</si>
  <si>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</si>
  <si>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</si>
  <si>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</si>
  <si>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</si>
  <si>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</si>
  <si>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</si>
  <si>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</si>
  <si>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</si>
  <si>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</si>
  <si>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</si>
  <si>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</si>
  <si>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</si>
  <si>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</si>
  <si>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</si>
  <si>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</si>
  <si>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</si>
  <si>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</si>
  <si>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</si>
  <si>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</si>
  <si>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</si>
  <si>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</si>
  <si>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</si>
  <si>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</si>
  <si>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</si>
  <si>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</si>
  <si>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</si>
  <si>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</si>
  <si>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</si>
  <si>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</si>
  <si>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</si>
  <si>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</si>
  <si>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</si>
  <si>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</si>
  <si>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</si>
  <si>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</si>
  <si>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</si>
  <si>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</si>
  <si>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</si>
  <si>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</si>
  <si>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</si>
  <si>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</si>
  <si>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</si>
  <si>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</si>
  <si>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</si>
  <si>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</si>
  <si>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</si>
  <si>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</si>
  <si>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</si>
  <si>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</si>
  <si>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</si>
  <si>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</si>
  <si>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</si>
  <si>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</si>
  <si>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</si>
  <si>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</si>
  <si>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</si>
  <si>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</si>
  <si>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</si>
  <si>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</si>
  <si>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</si>
  <si>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</si>
  <si>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</si>
  <si>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</si>
  <si>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</si>
  <si>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</si>
  <si>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</si>
  <si>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</si>
  <si>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</si>
  <si>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</si>
  <si>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</si>
  <si>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</si>
  <si>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</si>
  <si>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</si>
  <si>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</si>
  <si>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</si>
  <si>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</si>
  <si>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</si>
  <si>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</si>
  <si>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</si>
  <si>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</si>
  <si>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</si>
  <si>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</si>
  <si>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</si>
  <si>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</si>
  <si>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</si>
  <si>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</si>
  <si>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</si>
  <si>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</si>
  <si>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</si>
  <si>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</si>
  <si>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</si>
  <si>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</si>
  <si>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</si>
  <si>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</si>
  <si>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</si>
  <si>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</si>
  <si>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</si>
  <si>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</si>
  <si>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</si>
  <si>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</si>
  <si>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</si>
  <si>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</si>
  <si>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</si>
  <si>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</si>
  <si>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</si>
  <si>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</si>
  <si>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</si>
  <si>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</si>
  <si>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</si>
  <si>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</si>
  <si>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</si>
  <si>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</si>
  <si>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</si>
  <si>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</si>
  <si>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</si>
  <si>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</si>
  <si>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</si>
  <si>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</si>
  <si>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</si>
  <si>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</si>
  <si>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</si>
  <si>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</si>
  <si>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</si>
  <si>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</si>
  <si>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</si>
  <si>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</si>
  <si>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</si>
  <si>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</si>
  <si>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</si>
  <si>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</si>
  <si>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</si>
  <si>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</si>
  <si>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</si>
  <si>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</si>
  <si>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</si>
  <si>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</si>
  <si>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</si>
  <si>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</si>
  <si>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</si>
  <si>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</si>
  <si>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</si>
  <si>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</si>
  <si>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</si>
  <si>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</si>
  <si>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</si>
  <si>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</si>
  <si>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</si>
  <si>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</si>
  <si>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</si>
  <si>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</si>
  <si>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</si>
  <si>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</si>
  <si>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</si>
  <si>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</si>
  <si>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</si>
  <si>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</si>
  <si>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</si>
  <si>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</si>
  <si>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</si>
  <si>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</si>
  <si>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</si>
  <si>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</si>
  <si>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</si>
  <si>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</si>
  <si>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</si>
  <si>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</si>
  <si>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</si>
  <si>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</si>
  <si>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</si>
  <si>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</si>
  <si>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</si>
  <si>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</si>
  <si>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</si>
  <si>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</si>
  <si>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</si>
  <si>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</si>
  <si>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</si>
  <si>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</si>
  <si>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</si>
  <si>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</si>
  <si>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</si>
  <si>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</si>
  <si>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</si>
  <si>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</si>
  <si>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</si>
  <si>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</si>
  <si>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</si>
  <si>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</si>
  <si>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</si>
  <si>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</si>
  <si>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</si>
  <si>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</si>
  <si>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</si>
  <si>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</si>
  <si>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</si>
  <si>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</si>
  <si>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</si>
  <si>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</si>
  <si>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</si>
  <si>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</si>
  <si>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</si>
  <si>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</si>
  <si>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</si>
  <si>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</si>
  <si>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</si>
  <si>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</si>
  <si>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</si>
  <si>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</si>
  <si>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</si>
  <si>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</si>
  <si>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</si>
  <si>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</si>
  <si>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</si>
  <si>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</si>
  <si>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</si>
  <si>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</si>
  <si>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</si>
  <si>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</si>
  <si>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</si>
  <si>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</si>
  <si>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</si>
  <si>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</si>
  <si>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</si>
  <si>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</si>
  <si>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</si>
  <si>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</si>
  <si>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</si>
  <si>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</si>
  <si>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</si>
  <si>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</si>
  <si>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</si>
  <si>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</si>
  <si>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</si>
  <si>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</si>
  <si>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</si>
  <si>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</si>
  <si>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</si>
  <si>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</si>
  <si>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</si>
  <si>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</si>
  <si>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</si>
  <si>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</si>
  <si>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</si>
  <si>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</si>
  <si>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</si>
  <si>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</si>
  <si>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</si>
  <si>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</si>
  <si>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</si>
  <si>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</si>
  <si>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</si>
  <si>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</si>
  <si>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</si>
  <si>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</si>
  <si>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</si>
  <si>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</si>
  <si>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</si>
  <si>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</si>
  <si>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</si>
  <si>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</si>
  <si>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</si>
  <si>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</si>
  <si>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</si>
  <si>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</si>
  <si>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</si>
  <si>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</si>
  <si>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</si>
  <si>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</si>
  <si>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</si>
  <si>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</si>
  <si>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</si>
  <si>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</si>
  <si>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</si>
  <si>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</si>
  <si>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</si>
  <si>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</si>
  <si>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</si>
  <si>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</si>
  <si>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</si>
  <si>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</si>
  <si>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</si>
  <si>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</si>
  <si>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</si>
  <si>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</si>
  <si>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</si>
  <si>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</si>
  <si>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</si>
  <si>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</si>
  <si>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</si>
  <si>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</si>
  <si>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</si>
  <si>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</si>
  <si>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</si>
  <si>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</si>
  <si>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</si>
  <si>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</si>
  <si>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</si>
  <si>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</si>
  <si>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</si>
  <si>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</si>
  <si>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</si>
  <si>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</si>
  <si>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</si>
  <si>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</si>
  <si>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</si>
  <si>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</si>
  <si>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</si>
  <si>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</si>
  <si>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</si>
  <si>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</si>
  <si>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</si>
  <si>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</si>
  <si>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</si>
  <si>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</si>
  <si>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</si>
  <si>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</si>
  <si>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</si>
  <si>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</si>
  <si>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</si>
  <si>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</si>
  <si>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</si>
  <si>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</si>
  <si>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</si>
  <si>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</si>
  <si>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</si>
  <si>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</si>
  <si>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</si>
  <si>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</si>
  <si>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</si>
  <si>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</si>
  <si>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</si>
  <si>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</si>
  <si>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</si>
  <si>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</si>
  <si>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</si>
  <si>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</si>
  <si>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</si>
  <si>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</si>
  <si>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</si>
  <si>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</si>
  <si>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</si>
  <si>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</si>
  <si>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</si>
  <si>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</si>
  <si>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</si>
  <si>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</si>
  <si>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</si>
  <si>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</si>
  <si>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</si>
  <si>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</si>
  <si>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</si>
  <si>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</si>
  <si>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</si>
  <si>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</si>
  <si>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</si>
  <si>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</si>
  <si>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</si>
  <si>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</si>
  <si>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</si>
  <si>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</si>
  <si>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</si>
  <si>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</si>
  <si>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</si>
  <si>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</si>
  <si>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</si>
  <si>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</si>
  <si>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</si>
  <si>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</si>
  <si>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</si>
  <si>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</si>
  <si>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</si>
  <si>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</si>
  <si>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</si>
  <si>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</si>
  <si>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</si>
  <si>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</si>
  <si>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</si>
  <si>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</si>
  <si>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</si>
  <si>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</si>
  <si>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</si>
  <si>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</si>
  <si>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</si>
  <si>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</si>
  <si>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</si>
  <si>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</si>
  <si>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</si>
  <si>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</si>
  <si>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</si>
  <si>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</si>
  <si>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</si>
  <si>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</si>
  <si>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</si>
  <si>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</si>
  <si>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</si>
  <si>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</si>
  <si>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</si>
  <si>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</si>
  <si>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</si>
  <si>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</si>
  <si>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</si>
  <si>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</si>
  <si>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</si>
  <si>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</si>
  <si>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</si>
  <si>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</si>
  <si>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</si>
  <si>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</si>
  <si>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</si>
  <si>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</si>
  <si>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</si>
  <si>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</si>
  <si>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</si>
  <si>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</si>
  <si>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</si>
  <si>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</si>
  <si>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</si>
  <si>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</si>
  <si>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</si>
  <si>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</si>
  <si>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</si>
  <si>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</si>
  <si>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</si>
  <si>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</si>
  <si>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</si>
  <si>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</si>
  <si>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</si>
  <si>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</si>
  <si>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</si>
  <si>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</si>
  <si>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</si>
  <si>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</si>
  <si>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</si>
  <si>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</si>
  <si>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</si>
  <si>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</si>
  <si>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</si>
  <si>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</si>
  <si>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</si>
  <si>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</si>
  <si>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</si>
  <si>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</si>
  <si>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</si>
  <si>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</si>
  <si>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</si>
  <si>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</si>
  <si>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</si>
  <si>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</si>
  <si>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</si>
  <si>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</si>
  <si>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</si>
  <si>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</si>
  <si>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</si>
  <si>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</si>
  <si>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</si>
  <si>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</si>
  <si>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</si>
  <si>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</si>
  <si>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</si>
  <si>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</si>
  <si>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</si>
  <si>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</si>
  <si>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</si>
  <si>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</si>
  <si>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</si>
  <si>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</si>
  <si>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</si>
  <si>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</si>
  <si>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</si>
  <si>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</si>
  <si>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</si>
  <si>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</si>
  <si>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</si>
  <si>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</si>
  <si>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</si>
  <si>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</si>
  <si>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</si>
  <si>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</si>
  <si>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</si>
  <si>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</si>
  <si>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</si>
  <si>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</si>
  <si>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</si>
  <si>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</si>
  <si>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</si>
  <si>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</si>
  <si>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</si>
  <si>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</si>
  <si>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</si>
  <si>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</si>
  <si>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</si>
  <si>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</si>
  <si>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</si>
  <si>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</si>
  <si>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</si>
  <si>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</si>
  <si>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</si>
  <si>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</si>
  <si>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</si>
  <si>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</si>
  <si>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</si>
  <si>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</si>
  <si>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</si>
  <si>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</si>
  <si>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</si>
  <si>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</si>
  <si>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</si>
  <si>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</si>
  <si>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</si>
  <si>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</si>
  <si>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</si>
  <si>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</si>
  <si>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</si>
  <si>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</si>
  <si>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</si>
  <si>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</si>
  <si>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</si>
  <si>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</si>
  <si>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</si>
  <si>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</si>
  <si>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</si>
  <si>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</si>
  <si>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</si>
  <si>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</si>
  <si>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</si>
  <si>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</si>
  <si>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</si>
  <si>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</si>
  <si>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</si>
  <si>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</si>
  <si>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</si>
  <si>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</si>
  <si>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</si>
  <si>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</si>
  <si>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</si>
  <si>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</si>
  <si>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</si>
  <si>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</si>
  <si>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</si>
  <si>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</si>
  <si>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</si>
  <si>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</si>
  <si>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</si>
  <si>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</si>
  <si>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</si>
  <si>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</si>
  <si>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</si>
  <si>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</si>
  <si>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</si>
  <si>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</si>
  <si>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</si>
  <si>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</si>
  <si>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</si>
  <si>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</si>
  <si>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</si>
  <si>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</si>
  <si>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</si>
  <si>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</si>
  <si>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</si>
  <si>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</si>
  <si>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</si>
  <si>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</si>
  <si>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</si>
  <si>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</si>
  <si>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</si>
  <si>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</si>
  <si>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</si>
  <si>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</si>
  <si>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</si>
  <si>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</si>
  <si>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</si>
  <si>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</si>
  <si>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</si>
  <si>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</si>
  <si>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</si>
  <si>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</si>
  <si>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</si>
  <si>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</si>
  <si>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</si>
  <si>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</si>
  <si>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</si>
  <si>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</si>
  <si>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</si>
  <si>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</si>
  <si>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</si>
  <si>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</si>
  <si>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</si>
  <si>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</si>
  <si>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</si>
  <si>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</si>
  <si>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</si>
  <si>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</si>
  <si>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</si>
  <si>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</si>
  <si>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</si>
  <si>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</si>
  <si>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</si>
  <si>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</si>
  <si>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</si>
  <si>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</si>
  <si>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</si>
  <si>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</si>
  <si>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</si>
  <si>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</si>
  <si>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</si>
  <si>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</si>
  <si>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</si>
  <si>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</si>
  <si>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</si>
  <si>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</si>
  <si>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</si>
  <si>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</si>
  <si>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</si>
  <si>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</si>
  <si>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</si>
  <si>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</si>
  <si>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</si>
  <si>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</si>
  <si>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</si>
  <si>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</si>
  <si>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</si>
  <si>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</si>
  <si>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</si>
  <si>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</si>
  <si>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</si>
  <si>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</si>
  <si>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</si>
  <si>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</si>
  <si>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</si>
  <si>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</si>
  <si>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</si>
  <si>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</si>
  <si>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</si>
  <si>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</si>
  <si>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</si>
  <si>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</si>
  <si>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</si>
  <si>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</si>
  <si>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</si>
  <si>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</si>
  <si>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</si>
  <si>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</si>
  <si>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</si>
  <si>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</si>
  <si>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</si>
  <si>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</si>
  <si>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</si>
  <si>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</si>
  <si>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</si>
  <si>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</si>
  <si>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</si>
  <si>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</si>
  <si>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</si>
  <si>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</si>
  <si>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</si>
  <si>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</si>
  <si>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</si>
  <si>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</si>
  <si>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</si>
  <si>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</si>
  <si>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</si>
  <si>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</si>
  <si>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</si>
  <si>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</si>
  <si>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</si>
  <si>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</si>
  <si>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</si>
  <si>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</si>
  <si>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</si>
  <si>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</si>
  <si>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</si>
  <si>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</si>
  <si>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</si>
  <si>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</si>
  <si>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</si>
  <si>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</si>
  <si>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</si>
  <si>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</si>
  <si>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</si>
  <si>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</si>
  <si>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</si>
  <si>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</si>
  <si>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</si>
  <si>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</si>
  <si>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</si>
  <si>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</si>
  <si>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</si>
  <si>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</si>
  <si>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</si>
  <si>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</si>
  <si>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</si>
  <si>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</si>
  <si>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</si>
  <si>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</si>
  <si>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</si>
  <si>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</si>
  <si>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</si>
  <si>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</si>
  <si>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</si>
  <si>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</si>
  <si>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</si>
  <si>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</si>
  <si>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</si>
  <si>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</si>
  <si>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</si>
  <si>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</si>
  <si>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</si>
  <si>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</si>
  <si>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</si>
  <si>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</si>
  <si>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</si>
  <si>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</si>
  <si>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</si>
  <si>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</si>
  <si>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</si>
  <si>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</si>
  <si>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</si>
  <si>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</si>
  <si>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</si>
  <si>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</si>
  <si>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</si>
  <si>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</si>
  <si>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</si>
  <si>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</si>
  <si>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</si>
  <si>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</si>
  <si>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</si>
  <si>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</si>
  <si>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</si>
  <si>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</si>
  <si>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</si>
  <si>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</si>
  <si>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</si>
  <si>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</si>
  <si>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</si>
  <si>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</si>
  <si>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</si>
  <si>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</si>
  <si>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</si>
  <si>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</si>
  <si>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</si>
  <si>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</si>
  <si>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</si>
  <si>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</si>
  <si>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</si>
  <si>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</si>
  <si>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</si>
  <si>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</si>
  <si>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</si>
  <si>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</si>
  <si>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</si>
  <si>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</si>
  <si>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</si>
  <si>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</si>
  <si>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</si>
  <si>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</si>
  <si>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</si>
  <si>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</si>
  <si>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</si>
  <si>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</si>
  <si>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</si>
  <si>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</si>
  <si>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</si>
  <si>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</si>
  <si>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</si>
  <si>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</si>
  <si>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</si>
  <si>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</si>
  <si>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</si>
  <si>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</si>
  <si>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</si>
  <si>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</si>
  <si>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</si>
  <si>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</si>
  <si>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</si>
  <si>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</si>
  <si>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</si>
  <si>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</si>
  <si>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</si>
  <si>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</si>
  <si>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</si>
  <si>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</si>
  <si>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</si>
  <si>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</si>
  <si>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</si>
  <si>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</si>
  <si>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</si>
  <si>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</si>
  <si>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</si>
  <si>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</si>
  <si>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</si>
  <si>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</si>
  <si>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</si>
  <si>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</si>
  <si>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</si>
  <si>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</si>
  <si>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</si>
  <si>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</si>
  <si>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</si>
  <si>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</si>
  <si>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</si>
  <si>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</si>
  <si>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</si>
  <si>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</si>
  <si>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</si>
  <si>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</si>
  <si>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</si>
  <si>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</si>
  <si>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</si>
  <si>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</si>
  <si>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</si>
  <si>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</si>
  <si>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</si>
  <si>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</si>
  <si>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</si>
  <si>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</si>
  <si>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</si>
  <si>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</si>
  <si>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</si>
  <si>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</si>
  <si>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</si>
  <si>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</si>
  <si>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</si>
  <si>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</si>
  <si>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</si>
  <si>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</si>
  <si>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</si>
  <si>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</si>
  <si>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</si>
  <si>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</si>
  <si>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</si>
  <si>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</si>
  <si>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</si>
  <si>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</si>
  <si>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</si>
  <si>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</si>
  <si>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</si>
  <si>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</si>
  <si>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</si>
  <si>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</si>
  <si>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</si>
  <si>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</si>
  <si>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</si>
  <si>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</si>
  <si>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</si>
  <si>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</si>
  <si>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</si>
  <si>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</si>
  <si>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</si>
  <si>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</si>
  <si>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</si>
  <si>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</si>
  <si>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</si>
  <si>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</si>
  <si>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</si>
  <si>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</si>
  <si>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</si>
  <si>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</si>
  <si>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</si>
  <si>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</si>
  <si>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</si>
  <si>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</si>
  <si>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</si>
  <si>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</si>
  <si>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</si>
  <si>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</si>
  <si>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</si>
  <si>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</si>
  <si>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</si>
  <si>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</si>
  <si>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</si>
  <si>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</si>
  <si>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</si>
  <si>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</si>
  <si>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</si>
  <si>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</si>
  <si>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</si>
  <si>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</si>
  <si>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</si>
  <si>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</si>
  <si>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</si>
  <si>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</si>
  <si>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</si>
  <si>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</si>
  <si>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</si>
  <si>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</si>
  <si>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</si>
  <si>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</si>
  <si>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</si>
  <si>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</si>
  <si>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</si>
  <si>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</si>
  <si>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</si>
  <si>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</si>
  <si>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</si>
  <si>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</si>
  <si>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</si>
  <si>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</si>
  <si>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</si>
  <si>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</si>
  <si>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</si>
  <si>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</si>
  <si>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</si>
  <si>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</si>
  <si>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</si>
  <si>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</si>
  <si>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</si>
  <si>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</si>
  <si>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</si>
  <si>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</si>
  <si>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</si>
  <si>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</si>
  <si>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</si>
  <si>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</si>
  <si>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</si>
  <si>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</si>
  <si>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</si>
  <si>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</si>
  <si>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</si>
  <si>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</si>
  <si>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</si>
  <si>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</si>
  <si>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</si>
  <si>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</si>
  <si>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</si>
  <si>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</si>
  <si>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</si>
  <si>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</si>
  <si>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</si>
  <si>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</si>
  <si>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DC3</t>
  </si>
  <si>
    <t>OK</t>
  </si>
  <si>
    <t>2 uds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</si>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</sst>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4" zoomScale="60" zoomScaleNormal="95" workbookViewId="0">
      <selection activeCell="H17" sqref="H17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20250132</v>
      </c>
      <c r="G7" s="8">
        <f ca="1">TODAY()</f>
        <v>45995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872</v>
      </c>
      <c r="C13" s="77" t="str">
        <f>IFERROR(VLOOKUP($B13,Tarifa_all_20240711!$A$2:$G$660,2,FALSE()),"-")</f>
        <v>GUIA SUP TECHO PLUS LAC.NEGRO TEXTURADO-4 MTS</v>
      </c>
      <c r="D13" s="77"/>
      <c r="E13" s="17">
        <v>4</v>
      </c>
      <c r="F13" s="18">
        <f>IFERROR(VLOOKUP($B13,Tarifa_all_20240711!$A$2:$G$660,5,FALSE()),"-")</f>
        <v>86.925000000000011</v>
      </c>
      <c r="G13" s="18">
        <f t="shared" ref="G13:G30" si="0">IFERROR(E13*F13,"-")</f>
        <v>347.70000000000005</v>
      </c>
      <c r="H13" s="10">
        <v>5</v>
      </c>
    </row>
    <row r="14" spans="1:12" x14ac:dyDescent="0.25">
      <c r="A14" t="s">
        <v>15</v>
      </c>
      <c r="B14" s="16" t="s">
        <v>1443</v>
      </c>
      <c r="C14" s="77" t="str">
        <f>IFERROR(VLOOKUP($B14,Tarifa_all_20240711!$A$2:$G$660,2,FALSE()),"-")</f>
        <v>TAPETA LAT. GUIA TECHO NEGRO</v>
      </c>
      <c r="D14" s="77"/>
      <c r="E14" s="17">
        <v>8</v>
      </c>
      <c r="F14" s="18">
        <f>IFERROR(VLOOKUP($B14,Tarifa_all_20240711!$A$2:$G$660,5,FALSE()),"-")</f>
        <v>10.484999999999999</v>
      </c>
      <c r="G14" s="18">
        <f t="shared" si="0"/>
        <v>83.88</v>
      </c>
      <c r="H14" s="10" t="s">
        <v>1455</v>
      </c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0"/>
    </row>
    <row r="16" spans="1:12" x14ac:dyDescent="0.25">
      <c r="A16" t="s">
        <v>17</v>
      </c>
      <c r="B16" s="16" t="s">
        <v>343</v>
      </c>
      <c r="C16" s="77" t="str">
        <f>IFERROR(VLOOKUP($B16,Tarifa_all_20240711!$A$2:$G$660,2,FALSE()),"-")</f>
        <v>KIT AMORTIGUADOR SKY BIDIRECCIONAL 80KG</v>
      </c>
      <c r="D16" s="77"/>
      <c r="E16" s="17">
        <v>4</v>
      </c>
      <c r="F16" s="18">
        <f>IFERROR(VLOOKUP($B16,Tarifa_all_20240711!$A$2:$G$660,5,FALSE()),"-")</f>
        <v>31.8675</v>
      </c>
      <c r="G16" s="18">
        <f t="shared" si="0"/>
        <v>127.47</v>
      </c>
      <c r="H16" s="10">
        <v>35040</v>
      </c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0" t="s">
        <v>1453</v>
      </c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4</v>
      </c>
      <c r="F18" s="18">
        <f>IFERROR(VLOOKUP($B18,Tarifa_all_20240711!$A$2:$G$660,5,FALSE()),"-")</f>
        <v>29.954999999999998</v>
      </c>
      <c r="G18" s="18">
        <f t="shared" si="0"/>
        <v>119.82</v>
      </c>
      <c r="H18" s="10">
        <v>35037</v>
      </c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4</v>
      </c>
      <c r="F19" s="18">
        <f>IFERROR(VLOOKUP($B19,Tarifa_all_20240711!$A$2:$G$660,5,FALSE()),"-")</f>
        <v>59.122500000000002</v>
      </c>
      <c r="G19" s="18">
        <f t="shared" si="0"/>
        <v>236.49</v>
      </c>
      <c r="H19" s="10" t="s">
        <v>1454</v>
      </c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10" t="s">
        <v>1453</v>
      </c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328</v>
      </c>
      <c r="C22" s="77" t="str">
        <f>IFERROR(VLOOKUP($B22,Tarifa_all_20240711!$A$2:$G$660,2,FALSE()),"-")</f>
        <v>ARRASTRE PUERTA PA DCHA LAC.NEGRO MATE</v>
      </c>
      <c r="D22" s="77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333</v>
      </c>
      <c r="C23" s="77" t="str">
        <f>IFERROR(VLOOKUP($B23,Tarifa_all_20240711!$A$2:$G$660,2,FALSE()),"-")</f>
        <v>ARRASTRE PUERTA PA IZQ LAC.NEGRO MATE</v>
      </c>
      <c r="D23" s="77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1840.1399999999999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45995</v>
      </c>
    </row>
    <row r="10" spans="1:7" x14ac:dyDescent="0.25">
      <c r="A10" s="3" t="s">
        <v>82</v>
      </c>
      <c r="B10" s="11" t="str">
        <f>'DESPIECE (MATANALYSIS)'!C9</f>
        <v>DC3</v>
      </c>
      <c r="C10" s="45"/>
      <c r="D10" s="45"/>
      <c r="E10" s="46"/>
      <c r="F10" s="47" t="s">
        <v>83</v>
      </c>
      <c r="G10" s="7">
        <f>'DESPIECE (MATANALYSIS)'!C7</f>
        <v>20250132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1840.1399999999999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2025-12-04T16:47:55Z</cp:lastPrinted>
  <dcterms:created xsi:type="dcterms:W3CDTF">2024-04-15T12:43:19Z</dcterms:created>
  <dcterms:modified xsi:type="dcterms:W3CDTF">2025-12-04T17:02:33Z</dcterms:modified>
  <dc:language>es-ES</dc:language>
</cp:coreProperties>
</file>