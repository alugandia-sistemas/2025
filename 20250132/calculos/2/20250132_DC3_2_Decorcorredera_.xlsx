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32\calculos\2\"/>
    </mc:Choice>
  </mc:AlternateContent>
  <xr:revisionPtr revIDLastSave="0" documentId="13_ncr:1_{DC22541D-225E-4E34-95FA-5C8CFD81BC61}" xr6:coauthVersionLast="47" xr6:coauthVersionMax="47" xr10:uidLastSave="{00000000-0000-0000-0000-000000000000}"/>
  <bookViews>
    <workbookView xWindow="1429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<sst xmlns="http://schemas.openxmlformats.org/spreadsheetml/2006/main" count="5407" uniqueCount="1456">
  <si>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</si>
  <si>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</si>
  <si>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</si>
  <si>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</si>
  <si>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</si>
  <si>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</si>
  <si>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</si>
  <si>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</si>
  <si>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</si>
  <si>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</si>
  <si>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</si>
  <si>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</si>
  <si>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</si>
  <si>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</si>
  <si>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</si>
  <si>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</si>
  <si>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</si>
  <si>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</si>
  <si>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</si>
  <si>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</si>
  <si>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</si>
  <si>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</si>
  <si>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</si>
  <si>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</si>
  <si>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</si>
  <si>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</si>
  <si>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</si>
  <si>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</si>
  <si>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</si>
  <si>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</si>
  <si>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</si>
  <si>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</si>
  <si>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</si>
  <si>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</si>
  <si>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</si>
  <si>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</si>
  <si>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</si>
  <si>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</si>
  <si>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</si>
  <si>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</si>
  <si>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</si>
  <si>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</si>
  <si>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</si>
  <si>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</si>
  <si>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</si>
  <si>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</si>
  <si>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</si>
  <si>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</si>
  <si>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</si>
  <si>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</si>
  <si>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</si>
  <si>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</si>
  <si>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</si>
  <si>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</si>
  <si>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</si>
  <si>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</si>
  <si>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</si>
  <si>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</si>
  <si>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</si>
  <si>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</si>
  <si>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</si>
  <si>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</si>
  <si>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</si>
  <si>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</si>
  <si>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</si>
  <si>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</si>
  <si>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</si>
  <si>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</si>
  <si>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</si>
  <si>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</si>
  <si>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</si>
  <si>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</si>
  <si>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</si>
  <si>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</si>
  <si>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</si>
  <si>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</si>
  <si>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</si>
  <si>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</si>
  <si>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</si>
  <si>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</si>
  <si>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</si>
  <si>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</si>
  <si>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</si>
  <si>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</si>
  <si>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</si>
  <si>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</si>
  <si>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</si>
  <si>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</si>
  <si>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</si>
  <si>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</si>
  <si>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</si>
  <si>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</si>
  <si>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</si>
  <si>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</si>
  <si>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</si>
  <si>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</si>
  <si>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</si>
  <si>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</si>
  <si>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</si>
  <si>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</si>
  <si>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</si>
  <si>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</si>
  <si>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</si>
  <si>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</si>
  <si>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</si>
  <si>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</si>
  <si>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</si>
  <si>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</si>
  <si>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</si>
  <si>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</si>
  <si>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</si>
  <si>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</si>
  <si>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</si>
  <si>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</si>
  <si>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</si>
  <si>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</si>
  <si>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</si>
  <si>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</si>
  <si>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</si>
  <si>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</si>
  <si>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</si>
  <si>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</si>
  <si>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</si>
  <si>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</si>
  <si>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</si>
  <si>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</si>
  <si>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</si>
  <si>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</si>
  <si>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</si>
  <si>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</si>
  <si>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</si>
  <si>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</si>
  <si>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</si>
  <si>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</si>
  <si>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</si>
  <si>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</si>
  <si>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</si>
  <si>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</si>
  <si>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</si>
  <si>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</si>
  <si>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</si>
  <si>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</si>
  <si>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</si>
  <si>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</si>
  <si>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</si>
  <si>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</si>
  <si>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</si>
  <si>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</si>
  <si>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</si>
  <si>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</si>
  <si>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</si>
  <si>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</si>
  <si>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</si>
  <si>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</si>
  <si>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</si>
  <si>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</si>
  <si>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</si>
  <si>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</si>
  <si>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</si>
  <si>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</si>
  <si>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</si>
  <si>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</si>
  <si>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</si>
  <si>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</si>
  <si>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</si>
  <si>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</si>
  <si>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</si>
  <si>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</si>
  <si>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</si>
  <si>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</si>
  <si>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</si>
  <si>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</si>
  <si>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</si>
  <si>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</si>
  <si>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</si>
  <si>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</si>
  <si>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</si>
  <si>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</si>
  <si>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</si>
  <si>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</si>
  <si>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</si>
  <si>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</si>
  <si>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</si>
  <si>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</si>
  <si>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</si>
  <si>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</si>
  <si>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</si>
  <si>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</si>
  <si>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</si>
  <si>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</si>
  <si>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</si>
  <si>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</si>
  <si>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</si>
  <si>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</si>
  <si>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</si>
  <si>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</si>
  <si>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</si>
  <si>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</si>
  <si>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</si>
  <si>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</si>
  <si>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</si>
  <si>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</si>
  <si>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</si>
  <si>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</si>
  <si>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</si>
  <si>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</si>
  <si>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</si>
  <si>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</si>
  <si>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</si>
  <si>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</si>
  <si>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</si>
  <si>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</si>
  <si>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</si>
  <si>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</si>
  <si>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</si>
  <si>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</si>
  <si>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</si>
  <si>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</si>
  <si>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</si>
  <si>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</si>
  <si>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</si>
  <si>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</si>
  <si>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</si>
  <si>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</si>
  <si>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</si>
  <si>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</si>
  <si>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</si>
  <si>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</si>
  <si>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</si>
  <si>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</si>
  <si>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</si>
  <si>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</si>
  <si>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</si>
  <si>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</si>
  <si>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</si>
  <si>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</si>
  <si>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</si>
  <si>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</si>
  <si>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</si>
  <si>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</si>
  <si>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</si>
  <si>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</si>
  <si>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</si>
  <si>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</si>
  <si>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</si>
  <si>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</si>
  <si>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</si>
  <si>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</si>
  <si>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</si>
  <si>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</si>
  <si>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</si>
  <si>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</si>
  <si>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</si>
  <si>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</si>
  <si>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</si>
  <si>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</si>
  <si>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</si>
  <si>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</si>
  <si>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</si>
  <si>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</si>
  <si>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</si>
  <si>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</si>
  <si>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</si>
  <si>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</si>
  <si>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</si>
  <si>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</si>
  <si>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</si>
  <si>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</si>
  <si>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</si>
  <si>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</si>
  <si>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</si>
  <si>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</si>
  <si>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</si>
  <si>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</si>
  <si>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</si>
  <si>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</si>
  <si>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</si>
  <si>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</si>
  <si>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</si>
  <si>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</si>
  <si>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</si>
  <si>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</si>
  <si>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</si>
  <si>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</si>
  <si>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</si>
  <si>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</si>
  <si>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</si>
  <si>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</si>
  <si>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</si>
  <si>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</si>
  <si>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</si>
  <si>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</si>
  <si>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</si>
  <si>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</si>
  <si>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</si>
  <si>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</si>
  <si>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</si>
  <si>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</si>
  <si>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</si>
  <si>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</si>
  <si>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</si>
  <si>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</si>
  <si>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</si>
  <si>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</si>
  <si>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</si>
  <si>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</si>
  <si>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</si>
  <si>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</si>
  <si>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</si>
  <si>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</si>
  <si>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</si>
  <si>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</si>
  <si>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</si>
  <si>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</si>
  <si>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</si>
  <si>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</si>
  <si>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</si>
  <si>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</si>
  <si>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</si>
  <si>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</si>
  <si>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</si>
  <si>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</si>
  <si>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</si>
  <si>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</si>
  <si>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</si>
  <si>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</si>
  <si>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</si>
  <si>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</si>
  <si>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</si>
  <si>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</si>
  <si>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</si>
  <si>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</si>
  <si>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</si>
  <si>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</si>
  <si>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</si>
  <si>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</si>
  <si>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</si>
  <si>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</si>
  <si>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</si>
  <si>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</si>
  <si>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</si>
  <si>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</si>
  <si>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</si>
  <si>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</si>
  <si>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</si>
  <si>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</si>
  <si>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</si>
  <si>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</si>
  <si>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</si>
  <si>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</si>
  <si>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</si>
  <si>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</si>
  <si>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</si>
  <si>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</si>
  <si>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</si>
  <si>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</si>
  <si>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</si>
  <si>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</si>
  <si>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</si>
  <si>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</si>
  <si>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</si>
  <si>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</si>
  <si>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</si>
  <si>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</si>
  <si>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</si>
  <si>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</si>
  <si>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</si>
  <si>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</si>
  <si>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</si>
  <si>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</si>
  <si>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</si>
  <si>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</si>
  <si>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</si>
  <si>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</si>
  <si>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</si>
  <si>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</si>
  <si>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</si>
  <si>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</si>
  <si>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</si>
  <si>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</si>
  <si>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</si>
  <si>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</si>
  <si>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</si>
  <si>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</si>
  <si>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</si>
  <si>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</si>
  <si>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</si>
  <si>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</si>
  <si>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</si>
  <si>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</si>
  <si>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</si>
  <si>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</si>
  <si>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</si>
  <si>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</si>
  <si>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</si>
  <si>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</si>
  <si>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</si>
  <si>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</si>
  <si>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</si>
  <si>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</si>
  <si>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</si>
  <si>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</si>
  <si>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</si>
  <si>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</si>
  <si>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</si>
  <si>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</si>
  <si>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</si>
  <si>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</si>
  <si>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</si>
  <si>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</si>
  <si>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</si>
  <si>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</si>
  <si>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</si>
  <si>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</si>
  <si>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</si>
  <si>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</si>
  <si>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</si>
  <si>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</si>
  <si>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</si>
  <si>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</si>
  <si>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</si>
  <si>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</si>
  <si>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</si>
  <si>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</si>
  <si>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</si>
  <si>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</si>
  <si>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</si>
  <si>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</si>
  <si>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</si>
  <si>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</si>
  <si>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</si>
  <si>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</si>
  <si>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</si>
  <si>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</si>
  <si>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</si>
  <si>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</si>
  <si>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</si>
  <si>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</si>
  <si>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</si>
  <si>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</si>
  <si>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</si>
  <si>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</si>
  <si>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</si>
  <si>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</si>
  <si>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</si>
  <si>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</si>
  <si>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</si>
  <si>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</si>
  <si>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</si>
  <si>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</si>
  <si>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</si>
  <si>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</si>
  <si>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</si>
  <si>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</si>
  <si>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</si>
  <si>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</si>
  <si>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</si>
  <si>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</si>
  <si>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</si>
  <si>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</si>
  <si>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</si>
  <si>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</si>
  <si>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</si>
  <si>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</si>
  <si>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</si>
  <si>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</si>
  <si>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</si>
  <si>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</si>
  <si>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</si>
  <si>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</si>
  <si>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</si>
  <si>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</si>
  <si>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</si>
  <si>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</si>
  <si>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</si>
  <si>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</si>
  <si>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</si>
  <si>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</si>
  <si>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</si>
  <si>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</si>
  <si>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</si>
  <si>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</si>
  <si>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</si>
  <si>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</si>
  <si>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</si>
  <si>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</si>
  <si>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</si>
  <si>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</si>
  <si>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</si>
  <si>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</si>
  <si>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</si>
  <si>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</si>
  <si>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</si>
  <si>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</si>
  <si>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</si>
  <si>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</si>
  <si>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</si>
  <si>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</si>
  <si>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</si>
  <si>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</si>
  <si>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</si>
  <si>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</si>
  <si>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</si>
  <si>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</si>
  <si>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</si>
  <si>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</si>
  <si>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</si>
  <si>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</si>
  <si>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</si>
  <si>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</si>
  <si>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</si>
  <si>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</si>
  <si>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</si>
  <si>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</si>
  <si>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</si>
  <si>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</si>
  <si>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</si>
  <si>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</si>
  <si>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</si>
  <si>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</si>
  <si>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</si>
  <si>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</si>
  <si>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</si>
  <si>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</si>
  <si>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</si>
  <si>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</si>
  <si>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</si>
  <si>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</si>
  <si>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</si>
  <si>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</si>
  <si>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</si>
  <si>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</si>
  <si>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</si>
  <si>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</si>
  <si>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</si>
  <si>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</si>
  <si>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</si>
  <si>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</si>
  <si>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</si>
  <si>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</si>
  <si>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</si>
  <si>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</si>
  <si>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</si>
  <si>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</si>
  <si>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</si>
  <si>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</si>
  <si>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</si>
  <si>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</si>
  <si>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</si>
  <si>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</si>
  <si>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</si>
  <si>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</si>
  <si>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</si>
  <si>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</si>
  <si>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</si>
  <si>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</si>
  <si>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</si>
  <si>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</si>
  <si>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</si>
  <si>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</si>
  <si>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</si>
  <si>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</si>
  <si>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</si>
  <si>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</si>
  <si>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</si>
  <si>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</si>
  <si>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</si>
  <si>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</si>
  <si>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</si>
  <si>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</si>
  <si>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</si>
  <si>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</si>
  <si>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</si>
  <si>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</si>
  <si>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</si>
  <si>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</si>
  <si>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</si>
  <si>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</si>
  <si>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</si>
  <si>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</si>
  <si>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</si>
  <si>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</si>
  <si>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</si>
  <si>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</si>
  <si>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</si>
  <si>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</si>
  <si>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</si>
  <si>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</si>
  <si>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</si>
  <si>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</si>
  <si>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</si>
  <si>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</si>
  <si>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</si>
  <si>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</si>
  <si>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</si>
  <si>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</si>
  <si>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</si>
  <si>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</si>
  <si>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</si>
  <si>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</si>
  <si>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</si>
  <si>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</si>
  <si>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</si>
  <si>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</si>
  <si>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</si>
  <si>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</si>
  <si>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</si>
  <si>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</si>
  <si>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</si>
  <si>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</si>
  <si>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</si>
  <si>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</si>
  <si>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</si>
  <si>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</si>
  <si>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</si>
  <si>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</si>
  <si>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</si>
  <si>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</si>
  <si>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</si>
  <si>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</si>
  <si>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</si>
  <si>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</si>
  <si>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</si>
  <si>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</si>
  <si>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</si>
  <si>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</si>
  <si>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</si>
  <si>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</si>
  <si>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</si>
  <si>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</si>
  <si>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</si>
  <si>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</si>
  <si>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</si>
  <si>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</si>
  <si>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</si>
  <si>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</si>
  <si>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</si>
  <si>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</si>
  <si>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</si>
  <si>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</si>
  <si>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</si>
  <si>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</si>
  <si>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</si>
  <si>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</si>
  <si>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</si>
  <si>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</si>
  <si>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</si>
  <si>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</si>
  <si>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</si>
  <si>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</si>
  <si>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</si>
  <si>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</si>
  <si>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</si>
  <si>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</si>
  <si>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</si>
  <si>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</si>
  <si>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</si>
  <si>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</si>
  <si>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</si>
  <si>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</si>
  <si>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</si>
  <si>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</si>
  <si>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</si>
  <si>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</si>
  <si>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</si>
  <si>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</si>
  <si>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</si>
  <si>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</si>
  <si>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</si>
  <si>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</si>
  <si>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</si>
  <si>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</si>
  <si>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</si>
  <si>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</si>
  <si>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</si>
  <si>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</si>
  <si>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</si>
  <si>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</si>
  <si>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</si>
  <si>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</si>
  <si>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</si>
  <si>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</si>
  <si>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</si>
  <si>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</si>
  <si>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</si>
  <si>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</si>
  <si>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</si>
  <si>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</si>
  <si>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</si>
  <si>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</si>
  <si>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</si>
  <si>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</si>
  <si>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</si>
  <si>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</si>
  <si>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</si>
  <si>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</si>
  <si>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</si>
  <si>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</si>
  <si>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</si>
  <si>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</si>
  <si>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</si>
  <si>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</si>
  <si>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</si>
  <si>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</si>
  <si>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</si>
  <si>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</si>
  <si>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</si>
  <si>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</si>
  <si>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</si>
  <si>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</si>
  <si>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</si>
  <si>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</si>
  <si>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</si>
  <si>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</si>
  <si>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</si>
  <si>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</si>
  <si>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</si>
  <si>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</si>
  <si>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</si>
  <si>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</si>
  <si>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</si>
  <si>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</si>
  <si>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</si>
  <si>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</si>
  <si>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</si>
  <si>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</si>
  <si>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</si>
  <si>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</si>
  <si>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</si>
  <si>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</si>
  <si>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</si>
  <si>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</si>
  <si>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</si>
  <si>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</si>
  <si>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</si>
  <si>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</si>
  <si>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</si>
  <si>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</si>
  <si>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</si>
  <si>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</si>
  <si>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</si>
  <si>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</si>
  <si>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</si>
  <si>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</si>
  <si>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</si>
  <si>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</si>
  <si>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</si>
  <si>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</si>
  <si>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</si>
  <si>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</si>
  <si>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</si>
  <si>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</si>
  <si>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</si>
  <si>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</si>
  <si>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</si>
  <si>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</si>
  <si>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</si>
  <si>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</si>
  <si>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</si>
  <si>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</si>
  <si>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</si>
  <si>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</si>
  <si>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</si>
  <si>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</si>
  <si>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</si>
  <si>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</si>
  <si>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</si>
  <si>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</si>
  <si>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</si>
  <si>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</si>
  <si>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</si>
  <si>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</si>
  <si>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</si>
  <si>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</si>
  <si>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</si>
  <si>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</si>
  <si>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</si>
  <si>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</si>
  <si>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</si>
  <si>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</si>
  <si>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</si>
  <si>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</si>
  <si>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</si>
  <si>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</si>
  <si>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</si>
  <si>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</si>
  <si>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</si>
  <si>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</si>
  <si>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</si>
  <si>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</si>
  <si>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</si>
  <si>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</si>
  <si>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</si>
  <si>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</si>
  <si>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</si>
  <si>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</si>
  <si>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</si>
  <si>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</si>
  <si>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</si>
  <si>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</si>
  <si>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</si>
  <si>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</si>
  <si>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</si>
  <si>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</si>
  <si>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</si>
  <si>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</si>
  <si>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</si>
  <si>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</si>
  <si>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</si>
  <si>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</si>
  <si>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</si>
  <si>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</si>
  <si>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</si>
  <si>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</si>
  <si>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</si>
  <si>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</si>
  <si>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</si>
  <si>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</si>
  <si>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</si>
  <si>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</si>
  <si>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</si>
  <si>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</si>
  <si>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</si>
  <si>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</si>
  <si>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</si>
  <si>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</si>
  <si>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</si>
  <si>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</si>
  <si>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</si>
  <si>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</si>
  <si>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</si>
  <si>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</si>
  <si>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</si>
  <si>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</si>
  <si>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</si>
  <si>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</si>
  <si>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</si>
  <si>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</si>
  <si>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</si>
  <si>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</si>
  <si>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</si>
  <si>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</si>
  <si>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</si>
  <si>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</si>
  <si>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</si>
  <si>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</si>
  <si>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</si>
  <si>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</si>
  <si>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</si>
  <si>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</si>
  <si>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</si>
  <si>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</si>
  <si>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</si>
  <si>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</si>
  <si>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</si>
  <si>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</si>
  <si>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</si>
  <si>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</si>
  <si>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</si>
  <si>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</si>
  <si>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</si>
  <si>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</si>
  <si>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</si>
  <si>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</si>
  <si>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</si>
  <si>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</si>
  <si>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</si>
  <si>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</si>
  <si>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</si>
  <si>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</si>
  <si>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</si>
  <si>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</si>
  <si>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</si>
  <si>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</si>
  <si>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</si>
  <si>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</si>
  <si>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</si>
  <si>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</si>
  <si>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</si>
  <si>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</si>
  <si>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</si>
  <si>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</si>
  <si>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</si>
  <si>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</si>
  <si>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</si>
  <si>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</si>
  <si>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</si>
  <si>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</si>
  <si>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</si>
  <si>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</si>
  <si>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</si>
  <si>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</si>
  <si>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</si>
  <si>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</si>
  <si>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</si>
  <si>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</si>
  <si>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</si>
  <si>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</si>
  <si>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</si>
  <si>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</si>
  <si>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</si>
  <si>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</si>
  <si>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</si>
  <si>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</si>
  <si>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</si>
  <si>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</si>
  <si>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</si>
  <si>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</si>
  <si>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</si>
  <si>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</si>
  <si>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</si>
  <si>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</si>
  <si>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</si>
  <si>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</si>
  <si>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</si>
  <si>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</si>
  <si>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</si>
  <si>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</si>
  <si>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</si>
  <si>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</si>
  <si>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</si>
  <si>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</si>
  <si>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</si>
  <si>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</si>
  <si>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</si>
  <si>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</si>
  <si>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</si>
  <si>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</si>
  <si>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</si>
  <si>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</si>
  <si>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</si>
  <si>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</si>
  <si>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</si>
  <si>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</si>
  <si>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</si>
  <si>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</si>
  <si>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</si>
  <si>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</si>
  <si>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</si>
  <si>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</si>
  <si>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</si>
  <si>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</si>
  <si>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</si>
  <si>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</si>
  <si>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</si>
  <si>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</si>
  <si>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</si>
  <si>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</si>
  <si>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</si>
  <si>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</si>
  <si>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</si>
  <si>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</si>
  <si>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</si>
  <si>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</si>
  <si>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</si>
  <si>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</si>
  <si>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</si>
  <si>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</si>
  <si>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</si>
  <si>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</si>
  <si>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</si>
  <si>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</si>
  <si>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</si>
  <si>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</si>
  <si>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</si>
  <si>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</si>
  <si>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</si>
  <si>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</si>
  <si>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</si>
  <si>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</si>
  <si>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</si>
  <si>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</si>
  <si>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</si>
  <si>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</si>
  <si>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</si>
  <si>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</si>
  <si>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</si>
  <si>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</si>
  <si>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</si>
  <si>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</si>
  <si>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</si>
  <si>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</si>
  <si>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</si>
  <si>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</si>
  <si>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</si>
  <si>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</si>
  <si>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</si>
  <si>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</si>
  <si>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</si>
  <si>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</si>
  <si>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</si>
  <si>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</si>
  <si>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</si>
  <si>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</si>
  <si>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</si>
  <si>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</si>
  <si>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</si>
  <si>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</si>
  <si>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</si>
  <si>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</si>
  <si>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</si>
  <si>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</si>
  <si>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</si>
  <si>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</si>
  <si>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</si>
  <si>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</si>
  <si>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</si>
  <si>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</si>
  <si>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</si>
  <si>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</si>
  <si>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</si>
  <si>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</si>
  <si>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</si>
  <si>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</si>
  <si>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</si>
  <si>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</si>
  <si>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</si>
  <si>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</si>
  <si>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</si>
  <si>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</si>
  <si>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</si>
  <si>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</si>
  <si>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</si>
  <si>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</si>
  <si>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</si>
  <si>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</si>
  <si>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</si>
  <si>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</si>
  <si>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</si>
  <si>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</si>
  <si>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</si>
  <si>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</si>
  <si>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</si>
  <si>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</si>
  <si>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</si>
  <si>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</si>
  <si>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</si>
  <si>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</si>
  <si>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</si>
  <si>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</si>
  <si>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</si>
  <si>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</si>
  <si>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</si>
  <si>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</si>
  <si>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</si>
  <si>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</si>
  <si>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</si>
  <si>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</si>
  <si>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</si>
  <si>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</si>
  <si>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</si>
  <si>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</si>
  <si>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</si>
  <si>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</si>
  <si>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</si>
  <si>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</si>
  <si>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</si>
  <si>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</si>
  <si>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</si>
  <si>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</si>
  <si>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</si>
  <si>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</si>
  <si>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</si>
  <si>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</si>
  <si>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</si>
  <si>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</si>
  <si>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</si>
  <si>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</si>
  <si>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</si>
  <si>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</si>
  <si>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</si>
  <si>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</si>
  <si>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</si>
  <si>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</si>
  <si>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</si>
  <si>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</si>
  <si>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</si>
  <si>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</si>
  <si>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</si>
  <si>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</si>
  <si>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</si>
  <si>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</si>
  <si>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</si>
  <si>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</si>
  <si>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</si>
  <si>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</si>
  <si>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</si>
  <si>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</si>
  <si>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</si>
  <si>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</si>
  <si>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</si>
  <si>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</si>
  <si>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</si>
  <si>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</si>
  <si>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</si>
  <si>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</si>
  <si>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</si>
  <si>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</si>
  <si>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</si>
  <si>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</si>
  <si>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</si>
  <si>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</si>
  <si>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</si>
  <si>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</si>
  <si>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</si>
  <si>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</si>
  <si>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</si>
  <si>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</si>
  <si>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</si>
  <si>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</si>
  <si>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</si>
  <si>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</si>
  <si>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</si>
  <si>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</si>
  <si>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</si>
  <si>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</si>
  <si>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</si>
  <si>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</si>
  <si>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</si>
  <si>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</si>
  <si>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</si>
  <si>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</si>
  <si>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</si>
  <si>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</si>
  <si>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</si>
  <si>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</si>
  <si>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</si>
  <si>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</si>
  <si>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</si>
  <si>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</si>
  <si>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</si>
  <si>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</si>
  <si>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</si>
  <si>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</si>
  <si>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</si>
  <si>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</si>
  <si>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</si>
  <si>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</si>
  <si>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</si>
  <si>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</si>
  <si>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</si>
  <si>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</si>
  <si>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</si>
  <si>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</si>
  <si>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</si>
  <si>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</si>
  <si>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</si>
  <si>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</si>
  <si>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</si>
  <si>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</si>
  <si>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</si>
  <si>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</si>
  <si>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</si>
  <si>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</si>
  <si>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</si>
  <si>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</si>
  <si>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</si>
  <si>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</si>
  <si>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</si>
  <si>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</si>
  <si>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</si>
  <si>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</si>
  <si>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</si>
  <si>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</si>
  <si>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</si>
  <si>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</si>
  <si>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</si>
  <si>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</si>
  <si>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</si>
  <si>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</si>
  <si>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</si>
  <si>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</si>
  <si>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</si>
  <si>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</si>
  <si>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</si>
  <si>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</si>
  <si>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</si>
  <si>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</si>
  <si>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</si>
  <si>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</si>
  <si>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</si>
  <si>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</si>
  <si>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</si>
  <si>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</si>
  <si>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</si>
  <si>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</si>
  <si>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</si>
  <si>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</si>
  <si>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</si>
  <si>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</si>
  <si>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</si>
  <si>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</si>
  <si>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</si>
  <si>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</si>
  <si>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</si>
  <si>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</si>
  <si>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</si>
  <si>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</si>
  <si>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</si>
  <si>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</si>
  <si>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</si>
  <si>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</si>
  <si>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</si>
  <si>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</si>
  <si>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</si>
  <si>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</si>
  <si>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</si>
  <si>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</si>
  <si>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</si>
  <si>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</si>
  <si>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</si>
  <si>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</si>
  <si>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</si>
  <si>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</si>
  <si>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</si>
  <si>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</si>
  <si>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</si>
  <si>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</si>
  <si>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</si>
  <si>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</si>
  <si>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</si>
  <si>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</si>
  <si>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</si>
  <si>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</si>
  <si>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</si>
  <si>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</si>
  <si>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</si>
  <si>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</si>
  <si>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</si>
  <si>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</si>
  <si>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</si>
  <si>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</si>
  <si>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</si>
  <si>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</si>
  <si>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</si>
  <si>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</si>
  <si>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</si>
  <si>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</si>
  <si>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</si>
  <si>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</si>
  <si>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</si>
  <si>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</si>
  <si>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</si>
  <si>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</si>
  <si>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</si>
  <si>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</si>
  <si>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</si>
  <si>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</si>
  <si>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</si>
  <si>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</si>
  <si>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</si>
  <si>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</si>
  <si>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</si>
  <si>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</si>
  <si>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</si>
  <si>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</si>
  <si>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</si>
  <si>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</si>
  <si>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</si>
  <si>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</si>
  <si>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</si>
  <si>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</si>
  <si>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</si>
  <si>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</si>
  <si>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</si>
  <si>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</si>
  <si>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</si>
  <si>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</si>
  <si>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</si>
  <si>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</si>
  <si>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</si>
  <si>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</si>
  <si>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</si>
  <si>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</si>
  <si>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</si>
  <si>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</si>
  <si>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</si>
  <si>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</si>
  <si>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</si>
  <si>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</si>
  <si>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</si>
  <si>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</si>
  <si>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</si>
  <si>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</si>
  <si>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</si>
  <si>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</si>
  <si>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</si>
  <si>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</si>
  <si>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</si>
  <si>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</si>
  <si>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</si>
  <si>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</si>
  <si>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</si>
  <si>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</si>
  <si>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</si>
  <si>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</si>
  <si>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</si>
  <si>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</si>
  <si>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</si>
  <si>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</si>
  <si>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</si>
  <si>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</si>
  <si>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</si>
  <si>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</si>
  <si>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</si>
  <si>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</si>
  <si>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</si>
  <si>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</si>
  <si>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</si>
  <si>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</si>
  <si>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</si>
  <si>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</si>
  <si>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</si>
  <si>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</si>
  <si>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</si>
  <si>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</si>
  <si>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</si>
  <si>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</si>
  <si>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</si>
  <si>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</si>
  <si>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</si>
  <si>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</si>
  <si>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</si>
  <si>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</si>
  <si>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</si>
  <si>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</si>
  <si>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</si>
  <si>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</si>
  <si>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</si>
  <si>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</si>
  <si>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</si>
  <si>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</si>
  <si>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</si>
  <si>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</si>
  <si>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</si>
  <si>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</si>
  <si>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</si>
  <si>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</si>
  <si>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</si>
  <si>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</si>
  <si>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</si>
  <si>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</si>
  <si>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</si>
  <si>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</si>
  <si>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</si>
  <si>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</si>
  <si>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</si>
  <si>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</si>
  <si>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</si>
  <si>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</si>
  <si>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</si>
  <si>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</si>
  <si>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</si>
  <si>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</si>
  <si>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</si>
  <si>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</si>
  <si>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</si>
  <si>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</si>
  <si>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</si>
  <si>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</si>
  <si>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</si>
  <si>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</si>
  <si>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</si>
  <si>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</si>
  <si>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</si>
  <si>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</si>
  <si>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</si>
  <si>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</si>
  <si>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</si>
  <si>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</si>
  <si>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</si>
  <si>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</si>
  <si>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</si>
  <si>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</si>
  <si>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</si>
  <si>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</si>
  <si>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</si>
  <si>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</si>
  <si>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</si>
  <si>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</si>
  <si>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</si>
  <si>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</si>
  <si>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</si>
  <si>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</si>
  <si>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</si>
  <si>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</si>
  <si>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</si>
  <si>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</si>
  <si>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</si>
  <si>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</si>
  <si>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</si>
  <si>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</si>
  <si>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</si>
  <si>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</si>
  <si>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</si>
  <si>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</si>
  <si>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</si>
  <si>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</si>
  <si>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</si>
  <si>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</si>
  <si>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</si>
  <si>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</si>
  <si>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</si>
  <si>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</si>
  <si>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</si>
  <si>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</si>
  <si>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</si>
  <si>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</si>
  <si>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</si>
  <si>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</si>
  <si>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</si>
  <si>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</si>
  <si>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</si>
  <si>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</si>
  <si>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</si>
  <si>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</si>
  <si>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</si>
  <si>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</si>
  <si>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</si>
  <si>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</si>
  <si>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</si>
  <si>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</si>
  <si>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</si>
  <si>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</si>
  <si>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</si>
  <si>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</si>
  <si>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</si>
  <si>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</si>
  <si>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</si>
  <si>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</si>
  <si>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</si>
  <si>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</si>
  <si>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</si>
  <si>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</si>
  <si>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</si>
  <si>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</si>
  <si>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</si>
  <si>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</si>
  <si>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</si>
  <si>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</si>
  <si>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</si>
  <si>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</si>
  <si>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</si>
  <si>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</si>
  <si>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</si>
  <si>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</si>
  <si>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</si>
  <si>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</si>
  <si>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</si>
  <si>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</si>
  <si>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</si>
  <si>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</si>
  <si>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OK</t>
  </si>
  <si>
    <t>2 uds</t>
  </si>
  <si>
    <t>NO</t>
  </si>
  <si>
    <t>DC3 - cálculo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</si>
</sst>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E22" sqref="E2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20250132</v>
      </c>
      <c r="G7" s="8">
        <f ca="1">TODAY()</f>
        <v>45996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1455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295</v>
      </c>
      <c r="C13" s="77" t="str">
        <f>IFERROR(VLOOKUP($B13,Tarifa_all_20240711!$A$2:$G$660,2,FALSE()),"-")</f>
        <v>CASC.DOBLE GUIA DESM.LAC.BLANCO MATE 9003-6 MTS</v>
      </c>
      <c r="D13" s="77"/>
      <c r="E13" s="17">
        <v>1</v>
      </c>
      <c r="F13" s="18">
        <f>IFERROR(VLOOKUP($B13,Tarifa_all_20240711!$A$2:$G$660,5,FALSE()),"-")</f>
        <v>346.30500000000001</v>
      </c>
      <c r="G13" s="18">
        <f t="shared" ref="G13:G30" si="0">IFERROR(E13*F13,"-")</f>
        <v>346.30500000000001</v>
      </c>
      <c r="H13" s="10">
        <v>5</v>
      </c>
    </row>
    <row r="14" spans="1:12" x14ac:dyDescent="0.25">
      <c r="A14" t="s">
        <v>15</v>
      </c>
      <c r="B14" s="16" t="s">
        <v>279</v>
      </c>
      <c r="C14" s="77" t="str">
        <f>IFERROR(VLOOKUP($B14,Tarifa_all_20240711!$A$2:$G$660,2,FALSE()),"-")</f>
        <v>GUIA SKY PLUS DESMONT.LAC.BLANCO MATE 9003-6 MTS</v>
      </c>
      <c r="D14" s="77"/>
      <c r="E14" s="17">
        <v>2</v>
      </c>
      <c r="F14" s="18">
        <f>IFERROR(VLOOKUP($B14,Tarifa_all_20240711!$A$2:$G$660,5,FALSE()),"-")</f>
        <v>130.64999999999998</v>
      </c>
      <c r="G14" s="18">
        <f t="shared" si="0"/>
        <v>261.29999999999995</v>
      </c>
      <c r="H14" s="10" t="s">
        <v>1454</v>
      </c>
    </row>
    <row r="15" spans="1:12" x14ac:dyDescent="0.25">
      <c r="A15" t="s">
        <v>16</v>
      </c>
      <c r="B15" s="16" t="s">
        <v>297</v>
      </c>
      <c r="C15" s="77" t="str">
        <f>IFERROR(VLOOKUP($B15,Tarifa_all_20240711!$A$2:$G$660,2,FALSE()),"-")</f>
        <v>KIT ANCLAJE TECHO PARA GUIA PLADUR PLUS DEMONTABLE</v>
      </c>
      <c r="D15" s="77"/>
      <c r="E15" s="17">
        <v>15</v>
      </c>
      <c r="F15" s="18">
        <f>IFERROR(VLOOKUP($B15,Tarifa_all_20240711!$A$2:$G$660,5,FALSE()),"-")</f>
        <v>11.737500000000001</v>
      </c>
      <c r="G15" s="18">
        <f t="shared" si="0"/>
        <v>176.0625</v>
      </c>
      <c r="H15" s="10"/>
    </row>
    <row r="16" spans="1:12" x14ac:dyDescent="0.25">
      <c r="A16" t="s">
        <v>17</v>
      </c>
      <c r="B16" s="16" t="s">
        <v>566</v>
      </c>
      <c r="C16" s="77" t="str">
        <f>IFERROR(VLOOKUP($B16,Tarifa_all_20240711!$A$2:$G$660,2,FALSE()),"-")</f>
        <v>KIT AMORTIGUADOR SKY GUIA DESMONT. BIDIRECCIONAL 60KG</v>
      </c>
      <c r="D16" s="77"/>
      <c r="E16" s="17">
        <v>4</v>
      </c>
      <c r="F16" s="18">
        <f>IFERROR(VLOOKUP($B16,Tarifa_all_20240711!$A$2:$G$660,5,FALSE()),"-")</f>
        <v>30.599999999999998</v>
      </c>
      <c r="G16" s="18">
        <f t="shared" si="0"/>
        <v>122.39999999999999</v>
      </c>
      <c r="H16" s="10">
        <v>35040</v>
      </c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4</v>
      </c>
      <c r="F17" s="18">
        <f>IFERROR(VLOOKUP($B17,Tarifa_all_20240711!$A$2:$G$660,5,FALSE()),"-")</f>
        <v>215.65500000000003</v>
      </c>
      <c r="G17" s="18">
        <f t="shared" si="0"/>
        <v>862.62000000000012</v>
      </c>
      <c r="H17" s="10" t="s">
        <v>1452</v>
      </c>
    </row>
    <row r="18" spans="1:8" x14ac:dyDescent="0.25">
      <c r="A18" t="s">
        <v>19</v>
      </c>
      <c r="B18" s="16" t="s">
        <v>335</v>
      </c>
      <c r="C18" s="77" t="str">
        <f>IFERROR(VLOOKUP($B18,Tarifa_all_20240711!$A$2:$G$660,2,FALSE()),"-")</f>
        <v>CARRO SKY MADERA 60KG</v>
      </c>
      <c r="D18" s="77"/>
      <c r="E18" s="17">
        <v>4</v>
      </c>
      <c r="F18" s="18">
        <f>IFERROR(VLOOKUP($B18,Tarifa_all_20240711!$A$2:$G$660,5,FALSE()),"-")</f>
        <v>16.634999999999998</v>
      </c>
      <c r="G18" s="18">
        <f t="shared" si="0"/>
        <v>66.539999999999992</v>
      </c>
      <c r="H18" s="10">
        <v>35037</v>
      </c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0" t="s">
        <v>1453</v>
      </c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4</v>
      </c>
      <c r="F20" s="18">
        <f>IFERROR(VLOOKUP($B20,Tarifa_all_20240711!$A$2:$G$660,5,FALSE()),"-")</f>
        <v>8.61</v>
      </c>
      <c r="G20" s="18">
        <f t="shared" si="0"/>
        <v>34.44</v>
      </c>
      <c r="H20" s="10" t="s">
        <v>1452</v>
      </c>
    </row>
    <row r="21" spans="1:8" x14ac:dyDescent="0.25">
      <c r="A21" t="s">
        <v>22</v>
      </c>
      <c r="B21" s="16"/>
      <c r="C21" s="77" t="str">
        <f>IFERROR(VLOOKUP($B21,Tarifa_all_20240711!$A$2:$G$660,2,FALSE()),"-")</f>
        <v>-</v>
      </c>
      <c r="D21" s="77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 t="s">
        <v>328</v>
      </c>
      <c r="C22" s="77" t="str">
        <f>IFERROR(VLOOKUP($B22,Tarifa_all_20240711!$A$2:$G$660,2,FALSE()),"-")</f>
        <v>ARRASTRE PUERTA PA DCHA LAC.NEGRO MATE</v>
      </c>
      <c r="D22" s="77"/>
      <c r="E22" s="17">
        <v>1</v>
      </c>
      <c r="F22" s="18">
        <f>IFERROR(VLOOKUP($B22,Tarifa_all_20240711!$A$2:$G$660,5,FALSE()),"-")</f>
        <v>13.86</v>
      </c>
      <c r="G22" s="18">
        <f t="shared" si="0"/>
        <v>13.86</v>
      </c>
      <c r="H22" s="1"/>
    </row>
    <row r="23" spans="1:8" x14ac:dyDescent="0.25">
      <c r="B23" s="16" t="s">
        <v>333</v>
      </c>
      <c r="C23" s="77" t="str">
        <f>IFERROR(VLOOKUP($B23,Tarifa_all_20240711!$A$2:$G$660,2,FALSE()),"-")</f>
        <v>ARRASTRE PUERTA PA IZQ LAC.NEGRO MATE</v>
      </c>
      <c r="D23" s="77"/>
      <c r="E23" s="17">
        <v>1</v>
      </c>
      <c r="F23" s="18">
        <f>IFERROR(VLOOKUP($B23,Tarifa_all_20240711!$A$2:$G$660,5,FALSE()),"-")</f>
        <v>13.86</v>
      </c>
      <c r="G23" s="18">
        <f t="shared" si="0"/>
        <v>13.86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2015.6324999999997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45996</v>
      </c>
    </row>
    <row r="10" spans="1:7" x14ac:dyDescent="0.25">
      <c r="A10" s="3" t="s">
        <v>82</v>
      </c>
      <c r="B10" s="11" t="str">
        <f>'DESPIECE (MATANALYSIS)'!C9</f>
        <v>DC3 - cálculo 2</v>
      </c>
      <c r="C10" s="45"/>
      <c r="D10" s="45"/>
      <c r="E10" s="46"/>
      <c r="F10" s="47" t="s">
        <v>83</v>
      </c>
      <c r="G10" s="7">
        <f>'DESPIECE (MATANALYSIS)'!C7</f>
        <v>20250132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2015.6324999999997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2025-12-04T16:47:55Z</cp:lastPrinted>
  <dcterms:created xsi:type="dcterms:W3CDTF">2024-04-15T12:43:19Z</dcterms:created>
  <dcterms:modified xsi:type="dcterms:W3CDTF">2025-12-05T11:46:29Z</dcterms:modified>
  <dc:language>es-ES</dc:language>
</cp:coreProperties>
</file>