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D789D0F9-AE3F-4BCE-9EAF-D286863FC751}" xr6:coauthVersionLast="47" xr6:coauthVersionMax="47" xr10:uidLastSave="{00000000-0000-0000-0000-000000000000}"/>
  <bookViews>
    <workbookView xWindow="7695" yWindow="630" windowWidth="19335" windowHeight="1389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(MATANALYSIS)'!$B$16:$B$34</definedName>
    <definedName name="_35010NE2">#REF!</definedName>
    <definedName name="_xlnm.Print_Area" localSheetId="1">'DESCRIPCIÓN (VALVENTN)'!$A$1:$G$45</definedName>
    <definedName name="_xlnm.Print_Area" localSheetId="0">'DESPIECE (MATANALYSIS)'!$B$1:$G$41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0" l="1"/>
  <c r="F30" i="10"/>
  <c r="C32" i="10"/>
  <c r="C31" i="10"/>
  <c r="C29" i="10"/>
  <c r="F34" i="10"/>
  <c r="C34" i="10"/>
  <c r="F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4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5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<sst xmlns="http://schemas.openxmlformats.org/spreadsheetml/2006/main" count="5407" uniqueCount="1454">
  <si>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</si>
  <si>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</si>
  <si>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</si>
  <si>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</si>
  <si>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</si>
  <si>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</si>
  <si>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</si>
  <si>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</si>
  <si>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</si>
  <si>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</si>
  <si>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</si>
  <si>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</si>
  <si>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</si>
  <si>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</si>
  <si>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</si>
  <si>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</si>
  <si>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</si>
  <si>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</si>
  <si>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</si>
  <si>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</si>
  <si>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</si>
  <si>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</si>
  <si>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</si>
  <si>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</si>
  <si>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</si>
  <si>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</si>
  <si>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</si>
  <si>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</si>
  <si>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</si>
  <si>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</si>
  <si>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</si>
  <si>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</si>
  <si>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</si>
  <si>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</si>
  <si>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</si>
  <si>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</si>
  <si>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</si>
  <si>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</si>
  <si>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</si>
  <si>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</si>
  <si>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</si>
  <si>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</si>
  <si>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</si>
  <si>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</si>
  <si>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</si>
  <si>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</si>
  <si>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</si>
  <si>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</si>
  <si>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</si>
  <si>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</si>
  <si>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</si>
  <si>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</si>
  <si>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</si>
  <si>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</si>
  <si>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</si>
  <si>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</si>
  <si>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</si>
  <si>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</si>
  <si>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</si>
  <si>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</si>
  <si>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</si>
  <si>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</si>
  <si>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</si>
  <si>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</si>
  <si>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</si>
  <si>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</si>
  <si>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</si>
  <si>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</si>
  <si>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</si>
  <si>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</si>
  <si>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</si>
  <si>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</si>
  <si>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</si>
  <si>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</si>
  <si>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</si>
  <si>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</si>
  <si>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</si>
  <si>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</si>
  <si>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</si>
  <si>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</si>
  <si>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</si>
  <si>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</si>
  <si>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</si>
  <si>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</si>
  <si>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</si>
  <si>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</si>
  <si>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</si>
  <si>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</si>
  <si>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</si>
  <si>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</si>
  <si>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</si>
  <si>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</si>
  <si>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</si>
  <si>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</si>
  <si>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</si>
  <si>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</si>
  <si>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</si>
  <si>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</si>
  <si>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</si>
  <si>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</si>
  <si>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</si>
  <si>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</si>
  <si>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</si>
  <si>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</si>
  <si>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</si>
  <si>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</si>
  <si>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</si>
  <si>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</si>
  <si>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</si>
  <si>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</si>
  <si>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</si>
  <si>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</si>
  <si>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</si>
  <si>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</si>
  <si>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</si>
  <si>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</si>
  <si>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</si>
  <si>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</si>
  <si>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</si>
  <si>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</si>
  <si>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</si>
  <si>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</si>
  <si>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</si>
  <si>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</si>
  <si>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</si>
  <si>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</si>
  <si>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</si>
  <si>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</si>
  <si>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</si>
  <si>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</si>
  <si>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</si>
  <si>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</si>
  <si>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</si>
  <si>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</si>
  <si>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</si>
  <si>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</si>
  <si>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</si>
  <si>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</si>
  <si>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</si>
  <si>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</si>
  <si>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</si>
  <si>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</si>
  <si>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</si>
  <si>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</si>
  <si>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</si>
  <si>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</si>
  <si>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</si>
  <si>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</si>
  <si>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</si>
  <si>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</si>
  <si>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</si>
  <si>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</si>
  <si>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</si>
  <si>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</si>
  <si>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</si>
  <si>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</si>
  <si>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</si>
  <si>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</si>
  <si>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</si>
  <si>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</si>
  <si>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</si>
  <si>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</si>
  <si>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</si>
  <si>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</si>
  <si>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</si>
  <si>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</si>
  <si>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</si>
  <si>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</si>
  <si>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</si>
  <si>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</si>
  <si>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</si>
  <si>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</si>
  <si>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</si>
  <si>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</si>
  <si>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</si>
  <si>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</si>
  <si>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</si>
  <si>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</si>
  <si>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</si>
  <si>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</si>
  <si>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</si>
  <si>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</si>
  <si>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</si>
  <si>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</si>
  <si>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</si>
  <si>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</si>
  <si>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</si>
  <si>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</si>
  <si>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</si>
  <si>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</si>
  <si>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</si>
  <si>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</si>
  <si>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</si>
  <si>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</si>
  <si>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</si>
  <si>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</si>
  <si>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</si>
  <si>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</si>
  <si>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</si>
  <si>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</si>
  <si>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</si>
  <si>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</si>
  <si>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</si>
  <si>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</si>
  <si>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</si>
  <si>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</si>
  <si>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</si>
  <si>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</si>
  <si>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</si>
  <si>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</si>
  <si>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</si>
  <si>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</si>
  <si>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</si>
  <si>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</si>
  <si>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</si>
  <si>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</si>
  <si>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</si>
  <si>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</si>
  <si>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</si>
  <si>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</si>
  <si>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</si>
  <si>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</si>
  <si>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</si>
  <si>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</si>
  <si>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</si>
  <si>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</si>
  <si>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</si>
  <si>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</si>
  <si>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</si>
  <si>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</si>
  <si>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</si>
  <si>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</si>
  <si>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</si>
  <si>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</si>
  <si>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</si>
  <si>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</si>
  <si>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</si>
  <si>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</si>
  <si>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</si>
  <si>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</si>
  <si>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</si>
  <si>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</si>
  <si>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</si>
  <si>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</si>
  <si>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</si>
  <si>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</si>
  <si>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</si>
  <si>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</si>
  <si>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</si>
  <si>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</si>
  <si>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</si>
  <si>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</si>
  <si>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</si>
  <si>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</si>
  <si>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</si>
  <si>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</si>
  <si>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</si>
  <si>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</si>
  <si>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</si>
  <si>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</si>
  <si>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</si>
  <si>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</si>
  <si>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</si>
  <si>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</si>
  <si>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</si>
  <si>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</si>
  <si>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</si>
  <si>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</si>
  <si>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</si>
  <si>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</si>
  <si>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</si>
  <si>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</si>
  <si>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</si>
  <si>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</si>
  <si>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</si>
  <si>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</si>
  <si>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</si>
  <si>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</si>
  <si>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</si>
  <si>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</si>
  <si>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</si>
  <si>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</si>
  <si>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</si>
  <si>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</si>
  <si>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</si>
  <si>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</si>
  <si>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</si>
  <si>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</si>
  <si>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</si>
  <si>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</si>
  <si>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</si>
  <si>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</si>
  <si>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</si>
  <si>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</si>
  <si>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</si>
  <si>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</si>
  <si>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</si>
  <si>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</si>
  <si>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</si>
  <si>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</si>
  <si>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</si>
  <si>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</si>
  <si>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</si>
  <si>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</si>
  <si>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</si>
  <si>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</si>
  <si>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</si>
  <si>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</si>
  <si>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</si>
  <si>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</si>
  <si>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</si>
  <si>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</si>
  <si>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</si>
  <si>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</si>
  <si>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</si>
  <si>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</si>
  <si>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</si>
  <si>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</si>
  <si>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</si>
  <si>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</si>
  <si>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</si>
  <si>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</si>
  <si>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</si>
  <si>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</si>
  <si>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</si>
  <si>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</si>
  <si>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</si>
  <si>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</si>
  <si>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</si>
  <si>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</si>
  <si>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</si>
  <si>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</si>
  <si>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</si>
  <si>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</si>
  <si>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</si>
  <si>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</si>
  <si>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</si>
  <si>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</si>
  <si>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</si>
  <si>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</si>
  <si>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</si>
  <si>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</si>
  <si>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</si>
  <si>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</si>
  <si>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</si>
  <si>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</si>
  <si>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</si>
  <si>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</si>
  <si>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</si>
  <si>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</si>
  <si>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</si>
  <si>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</si>
  <si>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</si>
  <si>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</si>
  <si>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</si>
  <si>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</si>
  <si>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</si>
  <si>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</si>
  <si>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</si>
  <si>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</si>
  <si>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</si>
  <si>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</si>
  <si>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</si>
  <si>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</si>
  <si>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</si>
  <si>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</si>
  <si>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</si>
  <si>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</si>
  <si>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</si>
  <si>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</si>
  <si>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</si>
  <si>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</si>
  <si>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</si>
  <si>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</si>
  <si>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</si>
  <si>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</si>
  <si>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</si>
  <si>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</si>
  <si>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</si>
  <si>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</si>
  <si>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</si>
  <si>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</si>
  <si>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</si>
  <si>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</si>
  <si>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</si>
  <si>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</si>
  <si>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</si>
  <si>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</si>
  <si>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</si>
  <si>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</si>
  <si>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</si>
  <si>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</si>
  <si>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</si>
  <si>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</si>
  <si>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</si>
  <si>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</si>
  <si>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</si>
  <si>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</si>
  <si>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</si>
  <si>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</si>
  <si>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</si>
  <si>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</si>
  <si>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</si>
  <si>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</si>
  <si>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</si>
  <si>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</si>
  <si>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</si>
  <si>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</si>
  <si>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</si>
  <si>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</si>
  <si>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</si>
  <si>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</si>
  <si>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</si>
  <si>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</si>
  <si>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</si>
  <si>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</si>
  <si>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</si>
  <si>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</si>
  <si>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</si>
  <si>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</si>
  <si>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</si>
  <si>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</si>
  <si>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</si>
  <si>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</si>
  <si>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</si>
  <si>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</si>
  <si>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</si>
  <si>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</si>
  <si>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</si>
  <si>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</si>
  <si>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</si>
  <si>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</si>
  <si>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</si>
  <si>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</si>
  <si>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</si>
  <si>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</si>
  <si>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</si>
  <si>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</si>
  <si>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</si>
  <si>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</si>
  <si>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</si>
  <si>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</si>
  <si>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</si>
  <si>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</si>
  <si>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</si>
  <si>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</si>
  <si>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</si>
  <si>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</si>
  <si>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</si>
  <si>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</si>
  <si>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</si>
  <si>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</si>
  <si>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</si>
  <si>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</si>
  <si>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</si>
  <si>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</si>
  <si>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</si>
  <si>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</si>
  <si>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</si>
  <si>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</si>
  <si>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</si>
  <si>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</si>
  <si>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</si>
  <si>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</si>
  <si>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</si>
  <si>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</si>
  <si>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</si>
  <si>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</si>
  <si>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</si>
  <si>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</si>
  <si>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</si>
  <si>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</si>
  <si>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</si>
  <si>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</si>
  <si>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</si>
  <si>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</si>
  <si>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</si>
  <si>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</si>
  <si>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</si>
  <si>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</si>
  <si>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</si>
  <si>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</si>
  <si>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</si>
  <si>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</si>
  <si>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</si>
  <si>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</si>
  <si>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</si>
  <si>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</si>
  <si>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</si>
  <si>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</si>
  <si>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</si>
  <si>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</si>
  <si>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</si>
  <si>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</si>
  <si>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</si>
  <si>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</si>
  <si>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</si>
  <si>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</si>
  <si>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</si>
  <si>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</si>
  <si>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</si>
  <si>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</si>
  <si>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</si>
  <si>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</si>
  <si>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</si>
  <si>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</si>
  <si>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</si>
  <si>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</si>
  <si>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</si>
  <si>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</si>
  <si>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</si>
  <si>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</si>
  <si>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</si>
  <si>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</si>
  <si>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</si>
  <si>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</si>
  <si>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</si>
  <si>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</si>
  <si>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</si>
  <si>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</si>
  <si>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</si>
  <si>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</si>
  <si>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</si>
  <si>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</si>
  <si>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</si>
  <si>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</si>
  <si>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</si>
  <si>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</si>
  <si>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</si>
  <si>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</si>
  <si>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</si>
  <si>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</si>
  <si>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</si>
  <si>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</si>
  <si>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</si>
  <si>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</si>
  <si>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</si>
  <si>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</si>
  <si>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</si>
  <si>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</si>
  <si>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</si>
  <si>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</si>
  <si>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</si>
  <si>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</si>
  <si>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</si>
  <si>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</si>
  <si>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</si>
  <si>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</si>
  <si>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</si>
  <si>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</si>
  <si>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</si>
  <si>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</si>
  <si>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</si>
  <si>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</si>
  <si>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</si>
  <si>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</si>
  <si>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</si>
  <si>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</si>
  <si>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</si>
  <si>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</si>
  <si>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</si>
  <si>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</si>
  <si>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</si>
  <si>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</si>
  <si>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</si>
  <si>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</si>
  <si>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</si>
  <si>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</si>
  <si>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</si>
  <si>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</si>
  <si>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</si>
  <si>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</si>
  <si>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</si>
  <si>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</si>
  <si>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</si>
  <si>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</si>
  <si>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</si>
  <si>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</si>
  <si>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</si>
  <si>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</si>
  <si>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</si>
  <si>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</si>
  <si>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</si>
  <si>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</si>
  <si>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</si>
  <si>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</si>
  <si>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</si>
  <si>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</si>
  <si>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</si>
  <si>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</si>
  <si>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</si>
  <si>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</si>
  <si>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</si>
  <si>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</si>
  <si>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</si>
  <si>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</si>
  <si>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</si>
  <si>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</si>
  <si>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</si>
  <si>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</si>
  <si>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</si>
  <si>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</si>
  <si>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</si>
  <si>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</si>
  <si>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</si>
  <si>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</si>
  <si>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</si>
  <si>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</si>
  <si>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</si>
  <si>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</si>
  <si>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</si>
  <si>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</si>
  <si>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</si>
  <si>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</si>
  <si>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</si>
  <si>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</si>
  <si>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</si>
  <si>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</si>
  <si>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</si>
  <si>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</si>
  <si>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</si>
  <si>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</si>
  <si>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</si>
  <si>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</si>
  <si>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</si>
  <si>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</si>
  <si>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</si>
  <si>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</si>
  <si>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</si>
  <si>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</si>
  <si>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</si>
  <si>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</si>
  <si>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</si>
  <si>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</si>
  <si>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</si>
  <si>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</si>
  <si>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</si>
  <si>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</si>
  <si>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</si>
  <si>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</si>
  <si>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</si>
  <si>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</si>
  <si>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</si>
  <si>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</si>
  <si>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</si>
  <si>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</si>
  <si>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</si>
  <si>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</si>
  <si>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</si>
  <si>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</si>
  <si>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</si>
  <si>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</si>
  <si>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</si>
  <si>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</si>
  <si>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</si>
  <si>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</si>
  <si>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</si>
  <si>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</si>
  <si>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</si>
  <si>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</si>
  <si>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</si>
  <si>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</si>
  <si>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</si>
  <si>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</si>
  <si>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</si>
  <si>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</si>
  <si>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</si>
  <si>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</si>
  <si>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</si>
  <si>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</si>
  <si>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</si>
  <si>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</si>
  <si>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</si>
  <si>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</si>
  <si>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</si>
  <si>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</si>
  <si>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</si>
  <si>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</si>
  <si>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</si>
  <si>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</si>
  <si>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</si>
  <si>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</si>
  <si>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</si>
  <si>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</si>
  <si>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</si>
  <si>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</si>
  <si>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</si>
  <si>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</si>
  <si>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</si>
  <si>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</si>
  <si>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</si>
  <si>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</si>
  <si>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</si>
  <si>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</si>
  <si>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</si>
  <si>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</si>
  <si>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</si>
  <si>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</si>
  <si>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</si>
  <si>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</si>
  <si>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</si>
  <si>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</si>
  <si>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</si>
  <si>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</si>
  <si>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</si>
  <si>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</si>
  <si>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</si>
  <si>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</si>
  <si>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</si>
  <si>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</si>
  <si>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</si>
  <si>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</si>
  <si>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</si>
  <si>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</si>
  <si>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</si>
  <si>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</si>
  <si>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</si>
  <si>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</si>
  <si>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</si>
  <si>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</si>
  <si>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</si>
  <si>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</si>
  <si>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</si>
  <si>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</si>
  <si>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</si>
  <si>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</si>
  <si>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</si>
  <si>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</si>
  <si>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</si>
  <si>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</si>
  <si>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</si>
  <si>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</si>
  <si>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</si>
  <si>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</si>
  <si>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</si>
  <si>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</si>
  <si>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</si>
  <si>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</si>
  <si>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</si>
  <si>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</si>
  <si>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</si>
  <si>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</si>
  <si>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</si>
  <si>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</si>
  <si>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</si>
  <si>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</si>
  <si>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</si>
  <si>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</si>
  <si>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</si>
  <si>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</si>
  <si>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</si>
  <si>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</si>
  <si>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</si>
  <si>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</si>
  <si>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</si>
  <si>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</si>
  <si>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</si>
  <si>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</si>
  <si>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</si>
  <si>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</si>
  <si>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</si>
  <si>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</si>
  <si>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</si>
  <si>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</si>
  <si>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</si>
  <si>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</si>
  <si>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</si>
  <si>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</si>
  <si>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</si>
  <si>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</si>
  <si>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</si>
  <si>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</si>
  <si>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</si>
  <si>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</si>
  <si>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</si>
  <si>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</si>
  <si>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</si>
  <si>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</si>
  <si>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</si>
  <si>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</si>
  <si>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</si>
  <si>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</si>
  <si>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</si>
  <si>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</si>
  <si>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</si>
  <si>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</si>
  <si>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</si>
  <si>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</si>
  <si>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</si>
  <si>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</si>
  <si>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</si>
  <si>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</si>
  <si>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</si>
  <si>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</si>
  <si>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</si>
  <si>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</si>
  <si>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</si>
  <si>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</si>
  <si>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</si>
  <si>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</si>
  <si>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</si>
  <si>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</si>
  <si>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</si>
  <si>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</si>
  <si>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</si>
  <si>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</si>
  <si>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</si>
  <si>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</si>
  <si>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</si>
  <si>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</si>
  <si>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</si>
  <si>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</si>
  <si>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</si>
  <si>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</si>
  <si>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</si>
  <si>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</si>
  <si>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</si>
  <si>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</si>
  <si>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</si>
  <si>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</si>
  <si>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</si>
  <si>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</si>
  <si>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</si>
  <si>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</si>
  <si>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</si>
  <si>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</si>
  <si>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</si>
  <si>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</si>
  <si>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</si>
  <si>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</si>
  <si>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</si>
  <si>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</si>
  <si>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</si>
  <si>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</si>
  <si>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</si>
  <si>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</si>
  <si>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</si>
  <si>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</si>
  <si>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</si>
  <si>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</si>
  <si>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</si>
  <si>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</si>
  <si>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</si>
  <si>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</si>
  <si>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</si>
  <si>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</si>
  <si>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</si>
  <si>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</si>
  <si>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</si>
  <si>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</si>
  <si>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</si>
  <si>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</si>
  <si>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</si>
  <si>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</si>
  <si>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</si>
  <si>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</si>
  <si>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</si>
  <si>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</si>
  <si>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</si>
  <si>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</si>
  <si>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</si>
  <si>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</si>
  <si>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</si>
  <si>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</si>
  <si>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</si>
  <si>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</si>
  <si>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</si>
  <si>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</si>
  <si>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</si>
  <si>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</si>
  <si>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</si>
  <si>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</si>
  <si>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</si>
  <si>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</si>
  <si>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</si>
  <si>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</si>
  <si>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</si>
  <si>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</si>
  <si>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</si>
  <si>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</si>
  <si>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</si>
  <si>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</si>
  <si>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</si>
  <si>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</si>
  <si>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</si>
  <si>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</si>
  <si>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</si>
  <si>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</si>
  <si>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</si>
  <si>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</si>
  <si>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</si>
  <si>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</si>
  <si>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</si>
  <si>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</si>
  <si>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</si>
  <si>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</si>
  <si>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</si>
  <si>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</si>
  <si>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</si>
  <si>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</si>
  <si>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</si>
  <si>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</si>
  <si>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</si>
  <si>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</si>
  <si>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</si>
  <si>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</si>
  <si>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</si>
  <si>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</si>
  <si>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</si>
  <si>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</si>
  <si>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</si>
  <si>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</si>
  <si>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</si>
  <si>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</si>
  <si>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</si>
  <si>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</si>
  <si>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</si>
  <si>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</si>
  <si>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</si>
  <si>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</si>
  <si>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</si>
  <si>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</si>
  <si>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</si>
  <si>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</si>
  <si>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</si>
  <si>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</si>
  <si>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</si>
  <si>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</si>
  <si>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</si>
  <si>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</si>
  <si>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</si>
  <si>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</si>
  <si>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</si>
  <si>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</si>
  <si>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</si>
  <si>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</si>
  <si>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</si>
  <si>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</si>
  <si>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</si>
  <si>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</si>
  <si>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</si>
  <si>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</si>
  <si>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</si>
  <si>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</si>
  <si>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</si>
  <si>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</si>
  <si>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</si>
  <si>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</si>
  <si>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</si>
  <si>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</si>
  <si>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</si>
  <si>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</si>
  <si>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</si>
  <si>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</si>
  <si>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</si>
  <si>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</si>
  <si>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</si>
  <si>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</si>
  <si>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</si>
  <si>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</si>
  <si>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</si>
  <si>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</si>
  <si>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</si>
  <si>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</si>
  <si>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</si>
  <si>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</si>
  <si>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</si>
  <si>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</si>
  <si>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</si>
  <si>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</si>
  <si>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</si>
  <si>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</si>
  <si>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</si>
  <si>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</si>
  <si>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</si>
  <si>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</si>
  <si>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</si>
  <si>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</si>
  <si>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</si>
  <si>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</si>
  <si>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</si>
  <si>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</si>
  <si>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</si>
  <si>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</si>
  <si>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</si>
  <si>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</si>
  <si>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</si>
  <si>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</si>
  <si>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</si>
  <si>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</si>
  <si>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</si>
  <si>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</si>
  <si>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</si>
  <si>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</si>
  <si>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</si>
  <si>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</si>
  <si>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</si>
  <si>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</si>
  <si>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</si>
  <si>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</si>
  <si>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</si>
  <si>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</si>
  <si>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</si>
  <si>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</si>
  <si>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</si>
  <si>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</si>
  <si>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</si>
  <si>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</si>
  <si>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</si>
  <si>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</si>
  <si>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</si>
  <si>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</si>
  <si>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</si>
  <si>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</si>
  <si>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</si>
  <si>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</si>
  <si>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</si>
  <si>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</si>
  <si>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</si>
  <si>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</si>
  <si>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</si>
  <si>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</si>
  <si>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</si>
  <si>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</si>
  <si>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</si>
  <si>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</si>
  <si>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</si>
  <si>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</si>
  <si>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</si>
  <si>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</si>
  <si>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</si>
  <si>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</si>
  <si>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</si>
  <si>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</si>
  <si>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</si>
  <si>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</si>
  <si>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</si>
  <si>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</si>
  <si>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</si>
  <si>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</si>
  <si>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</si>
  <si>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</si>
  <si>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</si>
  <si>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</si>
  <si>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</si>
  <si>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</si>
  <si>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</si>
  <si>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</si>
  <si>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</si>
  <si>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</si>
  <si>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</si>
  <si>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</si>
  <si>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</si>
  <si>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</si>
  <si>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</si>
  <si>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</si>
  <si>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</si>
  <si>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</si>
  <si>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</si>
  <si>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</si>
  <si>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</si>
  <si>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</si>
  <si>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</si>
  <si>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</si>
  <si>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</si>
  <si>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</si>
  <si>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</si>
  <si>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</si>
  <si>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</si>
  <si>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</si>
  <si>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</si>
  <si>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</si>
  <si>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</si>
  <si>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</si>
  <si>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</si>
  <si>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</si>
  <si>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</si>
  <si>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</si>
  <si>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</si>
  <si>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</si>
  <si>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</si>
  <si>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</si>
  <si>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</si>
  <si>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</si>
  <si>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</si>
  <si>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</si>
  <si>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</si>
  <si>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</si>
  <si>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</si>
  <si>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</si>
  <si>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</si>
  <si>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</si>
  <si>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</si>
  <si>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</si>
  <si>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</si>
  <si>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</si>
  <si>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</si>
  <si>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</si>
  <si>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</si>
  <si>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</si>
  <si>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</si>
  <si>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</si>
  <si>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</si>
  <si>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</si>
  <si>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</si>
  <si>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</si>
  <si>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</si>
  <si>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</si>
  <si>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</si>
  <si>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</si>
  <si>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</si>
  <si>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</si>
  <si>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</si>
  <si>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</si>
  <si>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</si>
  <si>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</si>
  <si>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</si>
  <si>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</si>
  <si>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</si>
  <si>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</si>
  <si>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</si>
  <si>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</si>
  <si>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</si>
  <si>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</si>
  <si>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</si>
  <si>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</si>
  <si>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</si>
  <si>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</si>
  <si>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</si>
  <si>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</si>
  <si>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</si>
  <si>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</si>
  <si>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</si>
  <si>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</si>
  <si>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</si>
  <si>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</si>
  <si>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</si>
  <si>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</si>
  <si>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</si>
  <si>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</si>
  <si>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</si>
  <si>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</si>
  <si>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</si>
  <si>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</si>
  <si>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</si>
  <si>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</si>
  <si>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</si>
  <si>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</si>
  <si>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</si>
  <si>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</si>
  <si>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</si>
  <si>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</si>
  <si>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</si>
  <si>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</si>
  <si>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</si>
  <si>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</si>
  <si>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</si>
  <si>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</si>
  <si>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</si>
  <si>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</si>
  <si>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</si>
  <si>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</si>
  <si>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</si>
  <si>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</si>
  <si>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</si>
  <si>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</si>
  <si>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</si>
  <si>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</si>
  <si>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</si>
  <si>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</si>
  <si>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</si>
  <si>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</si>
  <si>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</si>
  <si>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</si>
  <si>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</si>
  <si>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</si>
  <si>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</si>
  <si>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</si>
  <si>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</si>
  <si>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</si>
  <si>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</si>
  <si>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</si>
  <si>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</si>
  <si>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</si>
  <si>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</si>
  <si>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</si>
  <si>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</si>
  <si>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</si>
  <si>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</si>
  <si>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</si>
  <si>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</si>
  <si>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</si>
  <si>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</si>
  <si>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</si>
  <si>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</si>
  <si>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</si>
  <si>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</si>
  <si>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</si>
  <si>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</si>
  <si>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</si>
  <si>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</si>
  <si>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</si>
  <si>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</si>
  <si>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</si>
  <si>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</si>
  <si>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</si>
  <si>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</si>
  <si>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</si>
  <si>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</si>
  <si>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</si>
  <si>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</si>
  <si>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</si>
  <si>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</si>
  <si>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</si>
  <si>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</si>
  <si>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</si>
  <si>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</si>
  <si>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</si>
  <si>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</si>
  <si>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</si>
  <si>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</si>
  <si>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</si>
  <si>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</si>
  <si>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</si>
  <si>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</si>
  <si>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</si>
  <si>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</si>
  <si>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</si>
  <si>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</si>
  <si>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</si>
  <si>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</si>
  <si>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</si>
  <si>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</si>
  <si>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</si>
  <si>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</si>
  <si>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</si>
  <si>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</si>
  <si>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</si>
  <si>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</si>
  <si>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</si>
  <si>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</si>
  <si>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</si>
  <si>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</si>
  <si>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</si>
  <si>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</si>
  <si>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</si>
  <si>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</si>
  <si>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</si>
  <si>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</si>
  <si>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</si>
  <si>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</si>
  <si>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</si>
  <si>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</si>
  <si>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</si>
  <si>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</si>
  <si>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</si>
  <si>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</si>
  <si>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</si>
  <si>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</si>
  <si>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</si>
  <si>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</si>
  <si>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</si>
  <si>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</si>
  <si>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</si>
  <si>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</si>
  <si>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</si>
  <si>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</si>
  <si>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</si>
  <si>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</si>
  <si>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</si>
  <si>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</si>
  <si>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</si>
  <si>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</si>
  <si>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</si>
  <si>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</si>
  <si>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</si>
  <si>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</si>
  <si>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</si>
  <si>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</si>
  <si>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</si>
  <si>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</si>
  <si>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</si>
  <si>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</si>
  <si>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</si>
  <si>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</si>
  <si>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</si>
  <si>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</si>
  <si>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</si>
  <si>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</si>
  <si>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</si>
  <si>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</si>
  <si>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</si>
  <si>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</si>
  <si>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</si>
  <si>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</si>
  <si>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</si>
  <si>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</si>
  <si>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</si>
  <si>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</si>
  <si>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</si>
  <si>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</si>
  <si>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</si>
  <si>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</si>
  <si>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</si>
  <si>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</si>
  <si>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</si>
  <si>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</si>
  <si>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</si>
  <si>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</si>
  <si>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</si>
  <si>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</si>
  <si>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</si>
  <si>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</si>
  <si>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</si>
  <si>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</si>
  <si>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</si>
  <si>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</si>
  <si>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</si>
  <si>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</si>
  <si>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</si>
  <si>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</si>
  <si>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</si>
  <si>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</si>
  <si>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</si>
  <si>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</si>
  <si>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</si>
  <si>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</si>
  <si>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</si>
  <si>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</si>
  <si>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</si>
  <si>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</si>
  <si>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</si>
  <si>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</si>
  <si>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</si>
  <si>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</si>
  <si>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</si>
  <si>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</si>
  <si>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</si>
  <si>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</si>
  <si>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</si>
  <si>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</si>
  <si>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</si>
  <si>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</si>
  <si>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</si>
  <si>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</si>
  <si>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</si>
  <si>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</si>
  <si>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</si>
  <si>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</si>
  <si>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</si>
  <si>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</si>
  <si>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</si>
  <si>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</si>
  <si>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</si>
  <si>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</si>
  <si>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</si>
  <si>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</si>
  <si>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</si>
  <si>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</si>
  <si>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</si>
  <si>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</si>
  <si>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</si>
  <si>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</si>
  <si>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</si>
  <si>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</si>
  <si>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</si>
  <si>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</si>
  <si>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</si>
  <si>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</si>
  <si>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</si>
  <si>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</si>
  <si>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</si>
  <si>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</si>
  <si>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</si>
  <si>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</si>
  <si>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</si>
  <si>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</si>
  <si>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</si>
  <si>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</si>
  <si>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</si>
  <si>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</si>
  <si>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</si>
  <si>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</si>
  <si>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</si>
  <si>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</si>
  <si>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</si>
  <si>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</si>
  <si>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</si>
  <si>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</si>
  <si>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</si>
  <si>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</si>
  <si>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</si>
  <si>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</si>
  <si>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</si>
  <si>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</si>
  <si>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</si>
  <si>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</si>
  <si>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</si>
  <si>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</si>
  <si>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</si>
  <si>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</si>
  <si>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</si>
  <si>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</si>
  <si>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</si>
  <si>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</si>
  <si>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</si>
  <si>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</si>
  <si>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</si>
  <si>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</si>
  <si>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</si>
  <si>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</si>
  <si>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</si>
  <si>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</si>
  <si>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</si>
  <si>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</si>
  <si>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</si>
  <si>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</si>
  <si>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</si>
  <si>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</si>
  <si>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</si>
  <si>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</si>
  <si>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</si>
  <si>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</si>
  <si>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</si>
  <si>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</si>
  <si>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</si>
  <si>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</si>
  <si>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</si>
  <si>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</si>
  <si>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</si>
  <si>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</si>
  <si>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</si>
  <si>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</si>
  <si>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</si>
  <si>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</si>
  <si>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</si>
  <si>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</si>
  <si>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</si>
  <si>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</si>
  <si>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</si>
  <si>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</si>
  <si>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</si>
  <si>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</si>
  <si>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</si>
  <si>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</si>
  <si>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</si>
  <si>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</si>
  <si>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</si>
  <si>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</si>
  <si>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</si>
  <si>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</si>
  <si>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Espaglass</t>
  </si>
  <si>
    <t>Cifre</t>
  </si>
  <si>
    <t>TUBO 46x46x1,3; BARRAS 6,5 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</si>
</sst>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80:C83" totalsRowShown="0">
  <autoFilter ref="C80:C83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3"/>
  <sheetViews>
    <sheetView tabSelected="1" view="pageBreakPreview" zoomScale="60" zoomScaleNormal="95" workbookViewId="0">
      <selection activeCell="F30" sqref="F3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20250109</v>
      </c>
      <c r="G7" s="8">
        <f ca="1">TODAY()</f>
        <v>45791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145</v>
      </c>
      <c r="C13" s="78" t="str">
        <f>IFERROR(VLOOKUP($B13,Tarifa_all_20240711!$A$2:$G$660,2,FALSE()),"-")</f>
        <v>GUIA SUP TECHO PLUS LAC.BLANCO MATE 9003-2 MTS</v>
      </c>
      <c r="D13" s="78"/>
      <c r="E13" s="17">
        <v>1</v>
      </c>
      <c r="F13" s="18">
        <f>IFERROR(VLOOKUP($B13,Tarifa_all_20240711!$A$2:$G$660,5,FALSE()),"-")</f>
        <v>43.462500000000006</v>
      </c>
      <c r="G13" s="18">
        <f t="shared" ref="G13:G34" si="0">IFERROR(E13*F13,"-")</f>
        <v>43.462500000000006</v>
      </c>
      <c r="H13" s="10"/>
    </row>
    <row r="14" spans="1:12" x14ac:dyDescent="0.25">
      <c r="A14" t="s">
        <v>15</v>
      </c>
      <c r="B14" s="16"/>
      <c r="C14" s="78" t="str">
        <f>IFERROR(VLOOKUP($B14,Tarifa_all_20240711!$A$2:$G$660,2,FALSE()),"-")</f>
        <v>-</v>
      </c>
      <c r="D14" s="78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0"/>
    </row>
    <row r="15" spans="1:12" x14ac:dyDescent="0.25">
      <c r="A15" t="s">
        <v>16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0"/>
    </row>
    <row r="16" spans="1:12" x14ac:dyDescent="0.25">
      <c r="A16" t="s">
        <v>17</v>
      </c>
      <c r="B16" s="16" t="s">
        <v>341</v>
      </c>
      <c r="C16" s="78" t="str">
        <f>IFERROR(VLOOKUP($B16,Tarifa_all_20240711!$A$2:$G$660,2,FALSE()),"-")</f>
        <v>KIT AMORTIGUADOR SKY BIDIRECCIONAL 60KG</v>
      </c>
      <c r="D16" s="78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0"/>
    </row>
    <row r="17" spans="1:10" x14ac:dyDescent="0.25">
      <c r="A17" t="s">
        <v>18</v>
      </c>
      <c r="B17" s="16" t="s">
        <v>129</v>
      </c>
      <c r="C17" s="78" t="str">
        <f>IFERROR(VLOOKUP($B17,Tarifa_all_20240711!$A$2:$G$660,2,FALSE()),"-")</f>
        <v>KIT PUERTA PA CORREDERA LAC.BLANCO MATE 9003</v>
      </c>
      <c r="D17" s="78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0"/>
    </row>
    <row r="18" spans="1:10" x14ac:dyDescent="0.25">
      <c r="A18" t="s">
        <v>19</v>
      </c>
      <c r="B18" s="16" t="s">
        <v>335</v>
      </c>
      <c r="C18" s="78" t="str">
        <f>IFERROR(VLOOKUP($B18,Tarifa_all_20240711!$A$2:$G$660,2,FALSE()),"-")</f>
        <v>CARRO SKY MADERA 60KG</v>
      </c>
      <c r="D18" s="78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0"/>
    </row>
    <row r="19" spans="1:10" x14ac:dyDescent="0.25">
      <c r="A19" t="s">
        <v>20</v>
      </c>
      <c r="B19" s="16" t="s">
        <v>375</v>
      </c>
      <c r="C19" s="78" t="str">
        <f>IFERROR(VLOOKUP($B19,Tarifa_all_20240711!$A$2:$G$660,2,FALSE()),"-")</f>
        <v>TIRADOR RECT.ADH CAVE LAC.BLANCO MATE 9003: 2 UDS</v>
      </c>
      <c r="D19" s="78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0"/>
    </row>
    <row r="20" spans="1:10" x14ac:dyDescent="0.25">
      <c r="A20" t="s">
        <v>21</v>
      </c>
      <c r="B20" s="16" t="s">
        <v>322</v>
      </c>
      <c r="C20" s="78" t="str">
        <f>IFERROR(VLOOKUP($B20,Tarifa_all_20240711!$A$2:$G$660,2,FALSE()),"-")</f>
        <v>GUIADOR FIJO PA LAC.BLANCO MATE 9003</v>
      </c>
      <c r="D20" s="78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0"/>
    </row>
    <row r="21" spans="1:10" x14ac:dyDescent="0.25">
      <c r="A21" t="s">
        <v>22</v>
      </c>
      <c r="B21" s="16"/>
      <c r="C21" s="78" t="str">
        <f>IFERROR(VLOOKUP($B21,Tarifa_all_20240711!$A$2:$G$660,2,FALSE()),"-")</f>
        <v>-</v>
      </c>
      <c r="D21" s="78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0"/>
    </row>
    <row r="22" spans="1:10" x14ac:dyDescent="0.25">
      <c r="B22" s="16" t="s">
        <v>464</v>
      </c>
      <c r="C22" s="78" t="str">
        <f>IFERROR(VLOOKUP($B22,Tarifa_all_20240711!$A$2:$G$660,2,FALSE()),"-")</f>
        <v>MARCO FIJOS 35MM D-DECOR FIJO BLANCO 9003 M 6,5 MT</v>
      </c>
      <c r="D22" s="78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0"/>
    </row>
    <row r="23" spans="1:10" x14ac:dyDescent="0.25">
      <c r="B23" s="16" t="s">
        <v>444</v>
      </c>
      <c r="C23" s="78" t="str">
        <f>IFERROR(VLOOKUP($B23,Tarifa_all_20240711!$A$2:$G$660,2,FALSE()),"-")</f>
        <v>ANCLAJE TAPA 35MM D-DECOR FIJO BLAN 9003 M 6,5 MT</v>
      </c>
      <c r="D23" s="78"/>
      <c r="E23" s="17">
        <v>1</v>
      </c>
      <c r="F23" s="18">
        <f>IFERROR(VLOOKUP($B23,Tarifa_all_20240711!$A$2:$G$660,5,FALSE()),"-")</f>
        <v>29.0625</v>
      </c>
      <c r="G23" s="18">
        <f t="shared" si="0"/>
        <v>29.0625</v>
      </c>
      <c r="H23" s="10"/>
    </row>
    <row r="24" spans="1:10" x14ac:dyDescent="0.25">
      <c r="B24" s="16" t="s">
        <v>484</v>
      </c>
      <c r="C24" s="78" t="str">
        <f>IFERROR(VLOOKUP($B24,Tarifa_all_20240711!$A$2:$G$660,2,FALSE()),"-")</f>
        <v>TAPA MARCO 35MM D-DECOR FIJO BLANCO 9003 M. 6,5 MT</v>
      </c>
      <c r="D24" s="78"/>
      <c r="E24" s="17">
        <v>1</v>
      </c>
      <c r="F24" s="18">
        <f>IFERROR(VLOOKUP($B24,Tarifa_all_20240711!$A$2:$G$660,5,FALSE()),"-")</f>
        <v>24.487499999999997</v>
      </c>
      <c r="G24" s="18">
        <f t="shared" si="0"/>
        <v>24.487499999999997</v>
      </c>
      <c r="H24" s="10"/>
    </row>
    <row r="25" spans="1:10" x14ac:dyDescent="0.25">
      <c r="B25" s="16" t="s">
        <v>452</v>
      </c>
      <c r="C25" s="78" t="str">
        <f>IFERROR(VLOOKUP($B25,Tarifa_all_20240711!$A$2:$G$660,2,FALSE()),"-")</f>
        <v>PERFIL MINIMALISTA D-DECOR FIJO BLANCO 9003 M 3 MT</v>
      </c>
      <c r="D25" s="78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0"/>
    </row>
    <row r="26" spans="1:10" x14ac:dyDescent="0.25">
      <c r="B26" s="16" t="s">
        <v>494</v>
      </c>
      <c r="C26" s="78" t="str">
        <f>IFERROR(VLOOKUP($B26,Tarifa_all_20240711!$A$2:$G$660,2,FALSE()),"-")</f>
        <v>COMPLEMENTO D-DECOR FIJO BLANCO 9003 MATE 6,5 MTS</v>
      </c>
      <c r="D26" s="78"/>
      <c r="E26" s="17">
        <v>1</v>
      </c>
      <c r="F26" s="18">
        <f>IFERROR(VLOOKUP($B26,Tarifa_all_20240711!$A$2:$G$660,5,FALSE()),"-")</f>
        <v>46.387500000000003</v>
      </c>
      <c r="G26" s="18">
        <f t="shared" si="0"/>
        <v>46.387500000000003</v>
      </c>
      <c r="H26" s="10"/>
    </row>
    <row r="27" spans="1:10" x14ac:dyDescent="0.25">
      <c r="B27" s="16" t="s">
        <v>298</v>
      </c>
      <c r="C27" s="78" t="str">
        <f>IFERROR(VLOOKUP($B27,Tarifa_all_20240711!$A$2:$G$660,2,FALSE()),"-")</f>
        <v>Tope Domo Decor</v>
      </c>
      <c r="D27" s="78"/>
      <c r="E27" s="17">
        <v>5</v>
      </c>
      <c r="F27" s="18">
        <f>IFERROR(VLOOKUP($B27,Tarifa_all_20240711!$A$2:$G$660,5,FALSE()),"-")</f>
        <v>1.4175</v>
      </c>
      <c r="G27" s="18">
        <f t="shared" si="0"/>
        <v>7.0875000000000004</v>
      </c>
      <c r="H27" s="10"/>
    </row>
    <row r="28" spans="1:10" x14ac:dyDescent="0.25">
      <c r="B28" s="16" t="s">
        <v>300</v>
      </c>
      <c r="C28" s="78" t="str">
        <f>IFERROR(VLOOKUP($B28,Tarifa_all_20240711!$A$2:$G$660,2,FALSE()),"-")</f>
        <v>PERFIL 3 MTS REDUCTOR PARA VIDRIO 6mm</v>
      </c>
      <c r="D28" s="78"/>
      <c r="E28" s="17">
        <v>3</v>
      </c>
      <c r="F28" s="18">
        <f>IFERROR(VLOOKUP($B28,Tarifa_all_20240711!$A$2:$G$660,5,FALSE()),"-")</f>
        <v>3.4275000000000002</v>
      </c>
      <c r="G28" s="18">
        <f t="shared" si="0"/>
        <v>10.282500000000001</v>
      </c>
      <c r="H28" s="10"/>
    </row>
    <row r="29" spans="1:10" x14ac:dyDescent="0.25">
      <c r="B29" s="16">
        <v>31229</v>
      </c>
      <c r="C29" s="78" t="str">
        <f>IFERROR(VLOOKUP($B29,Tarifa_all_20240711!$A$2:$G$660,2,FALSE()),"-")</f>
        <v>COMPLEMENTO FIJACION DOMO DECOR: BARRAS 3 MTS</v>
      </c>
      <c r="D29" s="78"/>
      <c r="E29" s="17">
        <v>2</v>
      </c>
      <c r="F29" s="18">
        <f>IFERROR(VLOOKUP($B29,Tarifa_all_20240711!$A$2:$G$660,5,FALSE()),"-")</f>
        <v>11.317499999999999</v>
      </c>
      <c r="G29" s="18">
        <f t="shared" si="0"/>
        <v>22.634999999999998</v>
      </c>
      <c r="H29" s="10"/>
    </row>
    <row r="30" spans="1:10" x14ac:dyDescent="0.25">
      <c r="B30" s="16">
        <v>746</v>
      </c>
      <c r="C30" s="78" t="s">
        <v>1453</v>
      </c>
      <c r="D30" s="78"/>
      <c r="E30" s="17">
        <v>1</v>
      </c>
      <c r="F30" s="18">
        <f>I30*J30</f>
        <v>44.524999999999999</v>
      </c>
      <c r="G30" s="18">
        <f t="shared" si="0"/>
        <v>44.524999999999999</v>
      </c>
      <c r="H30" s="10"/>
      <c r="I30">
        <v>6.85</v>
      </c>
      <c r="J30">
        <v>6.5</v>
      </c>
    </row>
    <row r="31" spans="1:10" x14ac:dyDescent="0.25">
      <c r="B31" s="16"/>
      <c r="C31" s="78" t="str">
        <f>IFERROR(VLOOKUP($B31,Tarifa_all_20240711!$A$2:$G$660,2,FALSE()),"-")</f>
        <v>-</v>
      </c>
      <c r="D31" s="78"/>
      <c r="E31" s="17"/>
      <c r="F31" s="18"/>
      <c r="G31" s="18"/>
      <c r="H31" s="10"/>
    </row>
    <row r="32" spans="1:10" x14ac:dyDescent="0.25">
      <c r="B32" s="16"/>
      <c r="C32" s="78" t="str">
        <f>IFERROR(VLOOKUP($B32,Tarifa_all_20240711!$A$2:$G$660,2,FALSE()),"-")</f>
        <v>-</v>
      </c>
      <c r="D32" s="78"/>
      <c r="E32" s="17"/>
      <c r="F32" s="18"/>
      <c r="G32" s="18"/>
      <c r="H32" s="10"/>
    </row>
    <row r="33" spans="2:8" x14ac:dyDescent="0.25">
      <c r="B33" s="16"/>
      <c r="C33" s="76"/>
      <c r="D33" s="76"/>
      <c r="E33" s="17"/>
      <c r="F33" s="18"/>
      <c r="G33" s="18"/>
      <c r="H33" s="10"/>
    </row>
    <row r="34" spans="2:8" x14ac:dyDescent="0.25">
      <c r="B34" s="16"/>
      <c r="C34" s="78" t="str">
        <f>IFERROR(VLOOKUP($B34,Tarifa_all_20240711!$A$2:$G$660,2,FALSE()),"-")</f>
        <v>-</v>
      </c>
      <c r="D34" s="78"/>
      <c r="E34" s="17"/>
      <c r="F34" s="18" t="str">
        <f>IFERROR(VLOOKUP($B34,Tarifa_all_20240711!$A$2:$G$660,5,FALSE()),"-")</f>
        <v>-</v>
      </c>
      <c r="G34" s="18" t="str">
        <f t="shared" si="0"/>
        <v>-</v>
      </c>
      <c r="H34" s="10"/>
    </row>
    <row r="35" spans="2:8" x14ac:dyDescent="0.25">
      <c r="B35" s="19"/>
      <c r="C35" s="19"/>
      <c r="D35" s="19"/>
      <c r="E35" s="19"/>
      <c r="F35" s="20"/>
      <c r="G35" s="21">
        <f>SUM(G13:G34)</f>
        <v>655.31750000000011</v>
      </c>
    </row>
    <row r="36" spans="2:8" x14ac:dyDescent="0.25">
      <c r="B36" s="19"/>
      <c r="C36" s="19"/>
      <c r="D36" s="19"/>
      <c r="E36" s="19"/>
      <c r="F36" s="20"/>
      <c r="G36" s="20"/>
    </row>
    <row r="37" spans="2:8" x14ac:dyDescent="0.25">
      <c r="B37" s="22" t="s">
        <v>23</v>
      </c>
      <c r="C37" s="23"/>
      <c r="D37" s="23"/>
      <c r="E37" s="23"/>
      <c r="F37" s="23"/>
      <c r="G37" s="24"/>
    </row>
    <row r="38" spans="2:8" ht="15" customHeight="1" x14ac:dyDescent="0.25">
      <c r="B38" s="25" t="s">
        <v>24</v>
      </c>
      <c r="C38" s="26" t="s">
        <v>74</v>
      </c>
      <c r="D38" s="26"/>
      <c r="E38" s="26"/>
      <c r="F38" s="26"/>
      <c r="G38" s="24"/>
    </row>
    <row r="39" spans="2:8" x14ac:dyDescent="0.25">
      <c r="B39" s="27" t="s">
        <v>25</v>
      </c>
      <c r="C39" s="26"/>
      <c r="D39" s="26"/>
      <c r="E39" s="26"/>
      <c r="F39" s="26"/>
      <c r="G39" s="24"/>
    </row>
    <row r="40" spans="2:8" x14ac:dyDescent="0.25">
      <c r="B40" s="28" t="s">
        <v>1450</v>
      </c>
      <c r="C40" s="29"/>
      <c r="D40" s="29"/>
      <c r="E40" s="29"/>
      <c r="F40" s="29"/>
      <c r="G40" s="24"/>
    </row>
    <row r="41" spans="2:8" x14ac:dyDescent="0.25">
      <c r="B41" s="27"/>
      <c r="C41" s="26"/>
      <c r="D41" s="26"/>
      <c r="E41" s="26"/>
      <c r="F41" s="26"/>
      <c r="G41" s="20"/>
    </row>
    <row r="42" spans="2:8" x14ac:dyDescent="0.25">
      <c r="B42" s="27"/>
      <c r="C42" s="26"/>
      <c r="D42" s="26"/>
      <c r="E42" s="26"/>
      <c r="F42" s="26"/>
      <c r="G42" s="24"/>
    </row>
    <row r="43" spans="2:8" x14ac:dyDescent="0.25">
      <c r="B43" s="30"/>
      <c r="C43" s="31"/>
      <c r="D43" s="31"/>
      <c r="E43" s="31"/>
      <c r="F43" s="31"/>
      <c r="G43" s="24"/>
    </row>
    <row r="44" spans="2:8" x14ac:dyDescent="0.25">
      <c r="B44" s="27"/>
      <c r="C44" s="31"/>
      <c r="D44" s="31"/>
      <c r="E44" s="31"/>
      <c r="F44" s="31"/>
      <c r="G44" s="24"/>
    </row>
    <row r="45" spans="2:8" x14ac:dyDescent="0.25">
      <c r="B45" s="26"/>
      <c r="C45" s="26"/>
      <c r="D45" s="26"/>
      <c r="E45" s="26"/>
      <c r="F45" s="26"/>
      <c r="G45" s="24"/>
    </row>
    <row r="46" spans="2:8" x14ac:dyDescent="0.25">
      <c r="B46" s="32"/>
      <c r="D46" s="32"/>
      <c r="E46" s="32"/>
      <c r="F46" s="32"/>
    </row>
    <row r="47" spans="2:8" x14ac:dyDescent="0.25">
      <c r="C47" s="33" t="s">
        <v>26</v>
      </c>
      <c r="D47" s="34" t="s">
        <v>27</v>
      </c>
      <c r="E47" s="34"/>
      <c r="F47" s="34"/>
    </row>
    <row r="48" spans="2:8" x14ac:dyDescent="0.25">
      <c r="C48" s="35" t="s">
        <v>28</v>
      </c>
      <c r="D48" s="23" t="s">
        <v>28</v>
      </c>
      <c r="E48" s="23"/>
      <c r="F48" s="23"/>
    </row>
    <row r="49" spans="3:6" x14ac:dyDescent="0.25">
      <c r="C49" s="35" t="s">
        <v>29</v>
      </c>
      <c r="D49" s="23" t="s">
        <v>29</v>
      </c>
      <c r="E49" s="23"/>
      <c r="F49" s="23"/>
    </row>
    <row r="50" spans="3:6" x14ac:dyDescent="0.25">
      <c r="C50" s="35" t="s">
        <v>30</v>
      </c>
      <c r="D50" s="23" t="s">
        <v>31</v>
      </c>
      <c r="E50" s="23"/>
      <c r="F50" s="23"/>
    </row>
    <row r="51" spans="3:6" x14ac:dyDescent="0.25">
      <c r="C51" s="35" t="s">
        <v>32</v>
      </c>
      <c r="D51" s="23" t="s">
        <v>30</v>
      </c>
      <c r="E51" s="23"/>
      <c r="F51" s="23"/>
    </row>
    <row r="52" spans="3:6" x14ac:dyDescent="0.25">
      <c r="C52" s="35" t="s">
        <v>33</v>
      </c>
      <c r="D52" s="23" t="s">
        <v>34</v>
      </c>
      <c r="E52" s="23"/>
      <c r="F52" s="23"/>
    </row>
    <row r="53" spans="3:6" x14ac:dyDescent="0.25">
      <c r="C53" s="35" t="s">
        <v>35</v>
      </c>
      <c r="D53" s="23" t="s">
        <v>36</v>
      </c>
      <c r="E53" s="23"/>
      <c r="F53" s="23"/>
    </row>
    <row r="54" spans="3:6" x14ac:dyDescent="0.25">
      <c r="C54" s="35" t="s">
        <v>37</v>
      </c>
      <c r="D54" s="23" t="s">
        <v>37</v>
      </c>
      <c r="E54" s="23"/>
      <c r="F54" s="23"/>
    </row>
    <row r="55" spans="3:6" x14ac:dyDescent="0.25">
      <c r="C55" s="35" t="s">
        <v>38</v>
      </c>
      <c r="D55" s="23" t="s">
        <v>39</v>
      </c>
      <c r="E55" s="23"/>
      <c r="F55" s="23"/>
    </row>
    <row r="56" spans="3:6" x14ac:dyDescent="0.25">
      <c r="C56" s="35" t="s">
        <v>40</v>
      </c>
      <c r="D56" s="77"/>
      <c r="E56" s="77"/>
      <c r="F56" s="77"/>
    </row>
    <row r="59" spans="3:6" ht="30" x14ac:dyDescent="0.25">
      <c r="C59" s="36" t="s">
        <v>8</v>
      </c>
      <c r="D59" s="37" t="s">
        <v>41</v>
      </c>
    </row>
    <row r="60" spans="3:6" x14ac:dyDescent="0.25">
      <c r="C60" s="38" t="s">
        <v>42</v>
      </c>
      <c r="D60" s="39"/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40" t="s">
        <v>49</v>
      </c>
      <c r="D64" s="41" t="s">
        <v>50</v>
      </c>
    </row>
    <row r="65" spans="3:4" x14ac:dyDescent="0.25">
      <c r="C65" s="40" t="s">
        <v>51</v>
      </c>
      <c r="D65" s="41" t="s">
        <v>52</v>
      </c>
    </row>
    <row r="66" spans="3:4" x14ac:dyDescent="0.25">
      <c r="C66" s="40" t="s">
        <v>53</v>
      </c>
      <c r="D66" s="41" t="s">
        <v>54</v>
      </c>
    </row>
    <row r="67" spans="3:4" x14ac:dyDescent="0.25">
      <c r="C67" s="40" t="s">
        <v>55</v>
      </c>
      <c r="D67" s="41" t="s">
        <v>56</v>
      </c>
    </row>
    <row r="68" spans="3:4" x14ac:dyDescent="0.25">
      <c r="C68" s="38" t="s">
        <v>57</v>
      </c>
      <c r="D68" s="39"/>
    </row>
    <row r="69" spans="3:4" x14ac:dyDescent="0.25">
      <c r="C69" s="40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3" spans="3:4" x14ac:dyDescent="0.25">
      <c r="C73" s="42" t="s">
        <v>66</v>
      </c>
      <c r="D73" s="41" t="s">
        <v>67</v>
      </c>
    </row>
    <row r="74" spans="3:4" x14ac:dyDescent="0.25">
      <c r="C74" s="42" t="s">
        <v>68</v>
      </c>
      <c r="D74" s="41" t="s">
        <v>69</v>
      </c>
    </row>
    <row r="75" spans="3:4" x14ac:dyDescent="0.25">
      <c r="C75" s="42" t="s">
        <v>70</v>
      </c>
      <c r="D75" s="41" t="s">
        <v>71</v>
      </c>
    </row>
    <row r="76" spans="3:4" x14ac:dyDescent="0.25">
      <c r="C76" s="42" t="s">
        <v>72</v>
      </c>
      <c r="D76" s="41" t="s">
        <v>73</v>
      </c>
    </row>
    <row r="80" spans="3:4" x14ac:dyDescent="0.25">
      <c r="C80" t="s">
        <v>74</v>
      </c>
    </row>
    <row r="81" spans="3:3" x14ac:dyDescent="0.25">
      <c r="C81" t="s">
        <v>75</v>
      </c>
    </row>
    <row r="82" spans="3:3" x14ac:dyDescent="0.25">
      <c r="C82" t="s">
        <v>76</v>
      </c>
    </row>
    <row r="83" spans="3:3" x14ac:dyDescent="0.25">
      <c r="C83" t="s">
        <v>77</v>
      </c>
    </row>
  </sheetData>
  <mergeCells count="25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4:D34"/>
    <mergeCell ref="C30:D30"/>
    <mergeCell ref="C31:D31"/>
    <mergeCell ref="C32:D32"/>
    <mergeCell ref="D56:F56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Espaglass</v>
      </c>
      <c r="C9" s="87"/>
      <c r="D9" s="87"/>
      <c r="F9" s="3" t="s">
        <v>81</v>
      </c>
      <c r="G9" s="44">
        <f ca="1">TODAY()</f>
        <v>45791</v>
      </c>
    </row>
    <row r="10" spans="1:7" x14ac:dyDescent="0.25">
      <c r="A10" s="3" t="s">
        <v>82</v>
      </c>
      <c r="B10" s="11" t="str">
        <f>'DESPIECE (MATANALYSIS)'!C9</f>
        <v>Cifre</v>
      </c>
      <c r="C10" s="45"/>
      <c r="D10" s="45"/>
      <c r="E10" s="46"/>
      <c r="F10" s="47" t="s">
        <v>83</v>
      </c>
      <c r="G10" s="7">
        <f>'DESPIECE (MATANALYSIS)'!C7</f>
        <v>20250109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(MATANALYSIS)'!C38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2"/>
      <c r="B46" s="82"/>
      <c r="C46" s="71"/>
      <c r="D46" s="71"/>
      <c r="E46" s="71"/>
      <c r="F46" s="72"/>
      <c r="G46" s="73"/>
    </row>
    <row r="47" spans="1:7" ht="22.7" customHeight="1" x14ac:dyDescent="0.25">
      <c r="A47" s="83" t="s">
        <v>99</v>
      </c>
      <c r="B47" s="83"/>
      <c r="C47" s="59"/>
      <c r="D47" s="59"/>
      <c r="E47" s="59"/>
      <c r="F47" s="84">
        <f>'DESPIECE (MATANALYSIS)'!G35</f>
        <v>655.31750000000011</v>
      </c>
      <c r="G47" s="84"/>
    </row>
    <row r="48" spans="1:7" s="1" customFormat="1" ht="22.7" customHeight="1" x14ac:dyDescent="0.25">
      <c r="A48" s="85" t="s">
        <v>100</v>
      </c>
      <c r="B48" s="85"/>
      <c r="C48" s="85"/>
      <c r="D48" s="85"/>
      <c r="E48" s="85"/>
      <c r="F48" s="85"/>
      <c r="G48" s="85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2025-05-14T11:33:50Z</dcterms:modified>
  <dc:language>es-ES</dc:language>
</cp:coreProperties>
</file>