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9\calculos\1\"/>
    </mc:Choice>
  </mc:AlternateContent>
  <xr:revisionPtr revIDLastSave="0" documentId="13_ncr:1_{13075D93-A54D-4C24-B4CF-C312A8DF19F2}" xr6:coauthVersionLast="47" xr6:coauthVersionMax="47" xr10:uidLastSave="{00000000-0000-0000-0000-000000000000}"/>
  <bookViews>
    <workbookView xWindow="-28845" yWindow="765" windowWidth="19140" windowHeight="142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<sst xmlns="http://schemas.openxmlformats.org/spreadsheetml/2006/main" count="5408" uniqueCount="1453">
  <si>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</si>
  <si>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</si>
  <si>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</si>
  <si>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</si>
  <si>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</si>
  <si>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</si>
  <si>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</si>
  <si>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</si>
  <si>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</si>
  <si>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</si>
  <si>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</si>
  <si>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</si>
  <si>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</si>
  <si>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</si>
  <si>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</si>
  <si>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</si>
  <si>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</si>
  <si>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</si>
  <si>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</si>
  <si>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</si>
  <si>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</si>
  <si>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</si>
  <si>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</si>
  <si>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</si>
  <si>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</si>
  <si>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</si>
  <si>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</si>
  <si>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</si>
  <si>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</si>
  <si>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</si>
  <si>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</si>
  <si>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</si>
  <si>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</si>
  <si>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</si>
  <si>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</si>
  <si>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</si>
  <si>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</si>
  <si>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</si>
  <si>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</si>
  <si>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</si>
  <si>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</si>
  <si>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</si>
  <si>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</si>
  <si>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</si>
  <si>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</si>
  <si>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</si>
  <si>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</si>
  <si>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</si>
  <si>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</si>
  <si>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</si>
  <si>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</si>
  <si>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</si>
  <si>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</si>
  <si>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</si>
  <si>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</si>
  <si>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</si>
  <si>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</si>
  <si>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</si>
  <si>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</si>
  <si>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</si>
  <si>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</si>
  <si>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</si>
  <si>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</si>
  <si>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</si>
  <si>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</si>
  <si>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</si>
  <si>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</si>
  <si>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</si>
  <si>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</si>
  <si>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</si>
  <si>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</si>
  <si>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</si>
  <si>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</si>
  <si>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</si>
  <si>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</si>
  <si>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</si>
  <si>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</si>
  <si>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</si>
  <si>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</si>
  <si>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</si>
  <si>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</si>
  <si>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</si>
  <si>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</si>
  <si>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</si>
  <si>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</si>
  <si>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</si>
  <si>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</si>
  <si>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</si>
  <si>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</si>
  <si>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</si>
  <si>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</si>
  <si>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</si>
  <si>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</si>
  <si>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</si>
  <si>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</si>
  <si>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</si>
  <si>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</si>
  <si>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</si>
  <si>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</si>
  <si>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</si>
  <si>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</si>
  <si>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</si>
  <si>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</si>
  <si>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</si>
  <si>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</si>
  <si>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</si>
  <si>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</si>
  <si>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</si>
  <si>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</si>
  <si>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</si>
  <si>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</si>
  <si>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</si>
  <si>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</si>
  <si>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</si>
  <si>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</si>
  <si>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</si>
  <si>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</si>
  <si>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</si>
  <si>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</si>
  <si>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</si>
  <si>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</si>
  <si>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</si>
  <si>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</si>
  <si>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</si>
  <si>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</si>
  <si>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</si>
  <si>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</si>
  <si>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</si>
  <si>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</si>
  <si>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</si>
  <si>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</si>
  <si>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</si>
  <si>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</si>
  <si>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</si>
  <si>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</si>
  <si>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</si>
  <si>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</si>
  <si>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</si>
  <si>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</si>
  <si>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</si>
  <si>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</si>
  <si>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</si>
  <si>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</si>
  <si>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</si>
  <si>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</si>
  <si>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</si>
  <si>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</si>
  <si>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</si>
  <si>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</si>
  <si>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</si>
  <si>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</si>
  <si>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</si>
  <si>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</si>
  <si>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</si>
  <si>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</si>
  <si>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</si>
  <si>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</si>
  <si>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</si>
  <si>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</si>
  <si>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</si>
  <si>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</si>
  <si>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</si>
  <si>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</si>
  <si>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</si>
  <si>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</si>
  <si>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</si>
  <si>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</si>
  <si>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</si>
  <si>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</si>
  <si>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</si>
  <si>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</si>
  <si>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</si>
  <si>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</si>
  <si>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</si>
  <si>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</si>
  <si>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</si>
  <si>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</si>
  <si>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</si>
  <si>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</si>
  <si>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</si>
  <si>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</si>
  <si>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</si>
  <si>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</si>
  <si>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</si>
  <si>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</si>
  <si>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</si>
  <si>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</si>
  <si>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</si>
  <si>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</si>
  <si>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</si>
  <si>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</si>
  <si>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</si>
  <si>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</si>
  <si>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</si>
  <si>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</si>
  <si>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</si>
  <si>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</si>
  <si>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</si>
  <si>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</si>
  <si>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</si>
  <si>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</si>
  <si>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</si>
  <si>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</si>
  <si>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</si>
  <si>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</si>
  <si>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</si>
  <si>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</si>
  <si>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</si>
  <si>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</si>
  <si>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</si>
  <si>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</si>
  <si>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</si>
  <si>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</si>
  <si>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</si>
  <si>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</si>
  <si>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</si>
  <si>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</si>
  <si>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</si>
  <si>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</si>
  <si>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</si>
  <si>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</si>
  <si>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</si>
  <si>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</si>
  <si>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</si>
  <si>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</si>
  <si>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</si>
  <si>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</si>
  <si>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</si>
  <si>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</si>
  <si>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</si>
  <si>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</si>
  <si>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</si>
  <si>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</si>
  <si>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</si>
  <si>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</si>
  <si>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</si>
  <si>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</si>
  <si>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</si>
  <si>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</si>
  <si>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</si>
  <si>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</si>
  <si>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</si>
  <si>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</si>
  <si>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</si>
  <si>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</si>
  <si>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</si>
  <si>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</si>
  <si>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</si>
  <si>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</si>
  <si>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</si>
  <si>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</si>
  <si>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</si>
  <si>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</si>
  <si>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</si>
  <si>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</si>
  <si>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</si>
  <si>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</si>
  <si>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</si>
  <si>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</si>
  <si>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</si>
  <si>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</si>
  <si>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</si>
  <si>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</si>
  <si>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</si>
  <si>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</si>
  <si>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</si>
  <si>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</si>
  <si>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</si>
  <si>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</si>
  <si>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</si>
  <si>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</si>
  <si>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</si>
  <si>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</si>
  <si>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</si>
  <si>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</si>
  <si>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</si>
  <si>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</si>
  <si>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</si>
  <si>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</si>
  <si>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</si>
  <si>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</si>
  <si>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</si>
  <si>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</si>
  <si>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</si>
  <si>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</si>
  <si>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</si>
  <si>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</si>
  <si>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</si>
  <si>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</si>
  <si>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</si>
  <si>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</si>
  <si>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</si>
  <si>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</si>
  <si>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</si>
  <si>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</si>
  <si>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</si>
  <si>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</si>
  <si>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</si>
  <si>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</si>
  <si>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</si>
  <si>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</si>
  <si>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</si>
  <si>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</si>
  <si>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</si>
  <si>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</si>
  <si>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</si>
  <si>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</si>
  <si>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</si>
  <si>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</si>
  <si>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</si>
  <si>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</si>
  <si>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</si>
  <si>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</si>
  <si>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</si>
  <si>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</si>
  <si>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</si>
  <si>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</si>
  <si>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</si>
  <si>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</si>
  <si>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</si>
  <si>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</si>
  <si>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</si>
  <si>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</si>
  <si>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</si>
  <si>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</si>
  <si>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</si>
  <si>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</si>
  <si>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</si>
  <si>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</si>
  <si>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</si>
  <si>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</si>
  <si>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</si>
  <si>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</si>
  <si>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</si>
  <si>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</si>
  <si>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</si>
  <si>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</si>
  <si>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</si>
  <si>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</si>
  <si>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</si>
  <si>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</si>
  <si>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</si>
  <si>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</si>
  <si>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</si>
  <si>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</si>
  <si>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</si>
  <si>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</si>
  <si>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</si>
  <si>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</si>
  <si>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</si>
  <si>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</si>
  <si>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</si>
  <si>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</si>
  <si>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</si>
  <si>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</si>
  <si>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</si>
  <si>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</si>
  <si>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</si>
  <si>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</si>
  <si>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</si>
  <si>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</si>
  <si>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</si>
  <si>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</si>
  <si>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</si>
  <si>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</si>
  <si>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</si>
  <si>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</si>
  <si>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</si>
  <si>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</si>
  <si>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</si>
  <si>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</si>
  <si>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</si>
  <si>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</si>
  <si>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</si>
  <si>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</si>
  <si>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</si>
  <si>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</si>
  <si>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</si>
  <si>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</si>
  <si>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</si>
  <si>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</si>
  <si>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</si>
  <si>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</si>
  <si>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</si>
  <si>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</si>
  <si>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</si>
  <si>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</si>
  <si>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</si>
  <si>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</si>
  <si>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</si>
  <si>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</si>
  <si>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</si>
  <si>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</si>
  <si>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</si>
  <si>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</si>
  <si>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</si>
  <si>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</si>
  <si>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</si>
  <si>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</si>
  <si>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</si>
  <si>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</si>
  <si>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</si>
  <si>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</si>
  <si>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</si>
  <si>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</si>
  <si>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</si>
  <si>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</si>
  <si>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</si>
  <si>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</si>
  <si>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</si>
  <si>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</si>
  <si>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</si>
  <si>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</si>
  <si>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</si>
  <si>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</si>
  <si>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</si>
  <si>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</si>
  <si>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</si>
  <si>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</si>
  <si>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</si>
  <si>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</si>
  <si>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</si>
  <si>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</si>
  <si>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</si>
  <si>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</si>
  <si>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</si>
  <si>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</si>
  <si>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</si>
  <si>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</si>
  <si>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</si>
  <si>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</si>
  <si>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</si>
  <si>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</si>
  <si>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</si>
  <si>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</si>
  <si>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</si>
  <si>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</si>
  <si>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</si>
  <si>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</si>
  <si>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</si>
  <si>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</si>
  <si>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</si>
  <si>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</si>
  <si>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</si>
  <si>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</si>
  <si>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</si>
  <si>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</si>
  <si>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</si>
  <si>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</si>
  <si>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</si>
  <si>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</si>
  <si>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</si>
  <si>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</si>
  <si>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</si>
  <si>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</si>
  <si>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</si>
  <si>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</si>
  <si>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</si>
  <si>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</si>
  <si>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</si>
  <si>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</si>
  <si>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</si>
  <si>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</si>
  <si>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</si>
  <si>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</si>
  <si>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</si>
  <si>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</si>
  <si>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</si>
  <si>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</si>
  <si>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</si>
  <si>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</si>
  <si>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</si>
  <si>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</si>
  <si>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</si>
  <si>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</si>
  <si>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</si>
  <si>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</si>
  <si>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</si>
  <si>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</si>
  <si>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</si>
  <si>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</si>
  <si>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</si>
  <si>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</si>
  <si>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</si>
  <si>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</si>
  <si>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</si>
  <si>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</si>
  <si>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</si>
  <si>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</si>
  <si>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</si>
  <si>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</si>
  <si>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</si>
  <si>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</si>
  <si>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</si>
  <si>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</si>
  <si>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</si>
  <si>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</si>
  <si>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</si>
  <si>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</si>
  <si>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</si>
  <si>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</si>
  <si>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</si>
  <si>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</si>
  <si>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</si>
  <si>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</si>
  <si>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</si>
  <si>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</si>
  <si>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</si>
  <si>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</si>
  <si>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</si>
  <si>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</si>
  <si>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</si>
  <si>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</si>
  <si>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</si>
  <si>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</si>
  <si>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</si>
  <si>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</si>
  <si>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</si>
  <si>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</si>
  <si>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</si>
  <si>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</si>
  <si>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</si>
  <si>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</si>
  <si>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</si>
  <si>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</si>
  <si>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</si>
  <si>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</si>
  <si>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</si>
  <si>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</si>
  <si>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</si>
  <si>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</si>
  <si>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</si>
  <si>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</si>
  <si>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</si>
  <si>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</si>
  <si>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</si>
  <si>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</si>
  <si>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</si>
  <si>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</si>
  <si>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</si>
  <si>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</si>
  <si>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</si>
  <si>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</si>
  <si>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</si>
  <si>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</si>
  <si>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</si>
  <si>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</si>
  <si>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</si>
  <si>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</si>
  <si>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</si>
  <si>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</si>
  <si>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</si>
  <si>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</si>
  <si>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</si>
  <si>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</si>
  <si>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</si>
  <si>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</si>
  <si>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</si>
  <si>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</si>
  <si>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</si>
  <si>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</si>
  <si>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</si>
  <si>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</si>
  <si>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</si>
  <si>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</si>
  <si>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</si>
  <si>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</si>
  <si>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</si>
  <si>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</si>
  <si>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</si>
  <si>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</si>
  <si>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</si>
  <si>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</si>
  <si>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</si>
  <si>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</si>
  <si>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</si>
  <si>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</si>
  <si>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</si>
  <si>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</si>
  <si>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</si>
  <si>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</si>
  <si>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</si>
  <si>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</si>
  <si>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</si>
  <si>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</si>
  <si>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</si>
  <si>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</si>
  <si>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</si>
  <si>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</si>
  <si>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</si>
  <si>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</si>
  <si>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</si>
  <si>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</si>
  <si>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</si>
  <si>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</si>
  <si>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</si>
  <si>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</si>
  <si>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</si>
  <si>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</si>
  <si>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</si>
  <si>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</si>
  <si>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</si>
  <si>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</si>
  <si>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</si>
  <si>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</si>
  <si>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</si>
  <si>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</si>
  <si>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</si>
  <si>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</si>
  <si>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</si>
  <si>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</si>
  <si>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</si>
  <si>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</si>
  <si>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</si>
  <si>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</si>
  <si>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</si>
  <si>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</si>
  <si>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</si>
  <si>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</si>
  <si>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</si>
  <si>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</si>
  <si>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</si>
  <si>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</si>
  <si>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</si>
  <si>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</si>
  <si>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</si>
  <si>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</si>
  <si>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</si>
  <si>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</si>
  <si>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</si>
  <si>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</si>
  <si>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</si>
  <si>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</si>
  <si>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</si>
  <si>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</si>
  <si>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</si>
  <si>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</si>
  <si>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</si>
  <si>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</si>
  <si>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</si>
  <si>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</si>
  <si>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</si>
  <si>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</si>
  <si>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</si>
  <si>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</si>
  <si>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</si>
  <si>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</si>
  <si>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</si>
  <si>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</si>
  <si>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</si>
  <si>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</si>
  <si>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</si>
  <si>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</si>
  <si>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</si>
  <si>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</si>
  <si>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</si>
  <si>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</si>
  <si>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</si>
  <si>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</si>
  <si>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</si>
  <si>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</si>
  <si>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</si>
  <si>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</si>
  <si>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</si>
  <si>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</si>
  <si>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</si>
  <si>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</si>
  <si>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</si>
  <si>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</si>
  <si>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</si>
  <si>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</si>
  <si>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</si>
  <si>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</si>
  <si>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</si>
  <si>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</si>
  <si>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</si>
  <si>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</si>
  <si>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</si>
  <si>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</si>
  <si>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</si>
  <si>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</si>
  <si>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</si>
  <si>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</si>
  <si>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</si>
  <si>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</si>
  <si>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</si>
  <si>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</si>
  <si>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</si>
  <si>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</si>
  <si>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</si>
  <si>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</si>
  <si>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</si>
  <si>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</si>
  <si>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</si>
  <si>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</si>
  <si>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</si>
  <si>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</si>
  <si>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</si>
  <si>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</si>
  <si>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</si>
  <si>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</si>
  <si>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</si>
  <si>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</si>
  <si>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</si>
  <si>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</si>
  <si>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</si>
  <si>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</si>
  <si>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</si>
  <si>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</si>
  <si>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</si>
  <si>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</si>
  <si>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</si>
  <si>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</si>
  <si>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</si>
  <si>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</si>
  <si>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</si>
  <si>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</si>
  <si>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</si>
  <si>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</si>
  <si>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</si>
  <si>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</si>
  <si>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</si>
  <si>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</si>
  <si>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</si>
  <si>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</si>
  <si>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</si>
  <si>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</si>
  <si>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</si>
  <si>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</si>
  <si>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</si>
  <si>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</si>
  <si>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</si>
  <si>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</si>
  <si>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</si>
  <si>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</si>
  <si>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</si>
  <si>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</si>
  <si>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</si>
  <si>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</si>
  <si>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</si>
  <si>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</si>
  <si>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</si>
  <si>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</si>
  <si>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</si>
  <si>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</si>
  <si>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</si>
  <si>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</si>
  <si>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</si>
  <si>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</si>
  <si>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</si>
  <si>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</si>
  <si>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</si>
  <si>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</si>
  <si>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</si>
  <si>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</si>
  <si>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</si>
  <si>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</si>
  <si>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</si>
  <si>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</si>
  <si>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</si>
  <si>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</si>
  <si>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</si>
  <si>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</si>
  <si>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</si>
  <si>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</si>
  <si>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</si>
  <si>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</si>
  <si>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</si>
  <si>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</si>
  <si>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</si>
  <si>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</si>
  <si>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</si>
  <si>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</si>
  <si>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</si>
  <si>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</si>
  <si>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</si>
  <si>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</si>
  <si>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</si>
  <si>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</si>
  <si>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</si>
  <si>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</si>
  <si>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</si>
  <si>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</si>
  <si>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</si>
  <si>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</si>
  <si>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</si>
  <si>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</si>
  <si>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</si>
  <si>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</si>
  <si>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</si>
  <si>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</si>
  <si>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</si>
  <si>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</si>
  <si>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</si>
  <si>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</si>
  <si>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</si>
  <si>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</si>
  <si>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</si>
  <si>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</si>
  <si>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</si>
  <si>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</si>
  <si>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</si>
  <si>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</si>
  <si>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</si>
  <si>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</si>
  <si>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</si>
  <si>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</si>
  <si>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</si>
  <si>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</si>
  <si>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</si>
  <si>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</si>
  <si>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</si>
  <si>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</si>
  <si>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</si>
  <si>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</si>
  <si>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</si>
  <si>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</si>
  <si>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</si>
  <si>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</si>
  <si>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</si>
  <si>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</si>
  <si>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</si>
  <si>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</si>
  <si>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</si>
  <si>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</si>
  <si>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</si>
  <si>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</si>
  <si>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</si>
  <si>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</si>
  <si>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</si>
  <si>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</si>
  <si>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</si>
  <si>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</si>
  <si>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</si>
  <si>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</si>
  <si>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</si>
  <si>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</si>
  <si>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</si>
  <si>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</si>
  <si>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</si>
  <si>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</si>
  <si>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</si>
  <si>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</si>
  <si>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</si>
  <si>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</si>
  <si>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</si>
  <si>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</si>
  <si>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</si>
  <si>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</si>
  <si>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</si>
  <si>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</si>
  <si>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</si>
  <si>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</si>
  <si>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</si>
  <si>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</si>
  <si>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</si>
  <si>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</si>
  <si>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</si>
  <si>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</si>
  <si>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</si>
  <si>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</si>
  <si>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</si>
  <si>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</si>
  <si>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</si>
  <si>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</si>
  <si>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</si>
  <si>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</si>
  <si>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</si>
  <si>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</si>
  <si>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</si>
  <si>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</si>
  <si>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</si>
  <si>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</si>
  <si>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</si>
  <si>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</si>
  <si>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</si>
  <si>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</si>
  <si>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</si>
  <si>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</si>
  <si>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</si>
  <si>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</si>
  <si>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</si>
  <si>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</si>
  <si>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</si>
  <si>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</si>
  <si>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</si>
  <si>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</si>
  <si>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</si>
  <si>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</si>
  <si>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</si>
  <si>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</si>
  <si>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</si>
  <si>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</si>
  <si>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</si>
  <si>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</si>
  <si>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</si>
  <si>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</si>
  <si>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</si>
  <si>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</si>
  <si>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</si>
  <si>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</si>
  <si>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</si>
  <si>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</si>
  <si>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</si>
  <si>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</si>
  <si>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</si>
  <si>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</si>
  <si>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</si>
  <si>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</si>
  <si>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</si>
  <si>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</si>
  <si>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</si>
  <si>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</si>
  <si>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</si>
  <si>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</si>
  <si>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</si>
  <si>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</si>
  <si>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</si>
  <si>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</si>
  <si>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</si>
  <si>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</si>
  <si>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</si>
  <si>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</si>
  <si>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</si>
  <si>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</si>
  <si>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</si>
  <si>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</si>
  <si>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</si>
  <si>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</si>
  <si>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</si>
  <si>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</si>
  <si>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</si>
  <si>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</si>
  <si>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</si>
  <si>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</si>
  <si>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</si>
  <si>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</si>
  <si>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</si>
  <si>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</si>
  <si>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</si>
  <si>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</si>
  <si>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</si>
  <si>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</si>
  <si>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</si>
  <si>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</si>
  <si>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</si>
  <si>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</si>
  <si>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</si>
  <si>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</si>
  <si>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</si>
  <si>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</si>
  <si>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</si>
  <si>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</si>
  <si>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</si>
  <si>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</si>
  <si>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</si>
  <si>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</si>
  <si>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</si>
  <si>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</si>
  <si>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</si>
  <si>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</si>
  <si>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</si>
  <si>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</si>
  <si>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</si>
  <si>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</si>
  <si>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</si>
  <si>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</si>
  <si>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</si>
  <si>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</si>
  <si>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</si>
  <si>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</si>
  <si>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</si>
  <si>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</si>
  <si>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</si>
  <si>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</si>
  <si>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</si>
  <si>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</si>
  <si>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</si>
  <si>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</si>
  <si>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</si>
  <si>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</si>
  <si>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</si>
  <si>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</si>
  <si>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</si>
  <si>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</si>
  <si>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</si>
  <si>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</si>
  <si>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</si>
  <si>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</si>
  <si>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</si>
  <si>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</si>
  <si>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</si>
  <si>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</si>
  <si>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</si>
  <si>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</si>
  <si>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</si>
  <si>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</si>
  <si>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</si>
  <si>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</si>
  <si>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</si>
  <si>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</si>
  <si>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</si>
  <si>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</si>
  <si>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</si>
  <si>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</si>
  <si>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</si>
  <si>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</si>
  <si>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</si>
  <si>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</si>
  <si>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</si>
  <si>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</si>
  <si>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</si>
  <si>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</si>
  <si>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</si>
  <si>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</si>
  <si>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</si>
  <si>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</si>
  <si>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</si>
  <si>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</si>
  <si>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</si>
  <si>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</si>
  <si>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</si>
  <si>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</si>
  <si>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</si>
  <si>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</si>
  <si>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</si>
  <si>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</si>
  <si>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</si>
  <si>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</si>
  <si>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</si>
  <si>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</si>
  <si>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</si>
  <si>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</si>
  <si>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</si>
  <si>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</si>
  <si>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</si>
  <si>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</si>
  <si>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</si>
  <si>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</si>
  <si>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</si>
  <si>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</si>
  <si>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</si>
  <si>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</si>
  <si>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</si>
  <si>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</si>
  <si>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</si>
  <si>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</si>
  <si>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</si>
  <si>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</si>
  <si>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</si>
  <si>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</si>
  <si>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</si>
  <si>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</si>
  <si>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</si>
  <si>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</si>
  <si>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</si>
  <si>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</si>
  <si>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</si>
  <si>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</si>
  <si>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</si>
  <si>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</si>
  <si>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</si>
  <si>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</si>
  <si>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</si>
  <si>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</si>
  <si>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</si>
  <si>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</si>
  <si>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</si>
  <si>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</si>
  <si>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</si>
  <si>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</si>
  <si>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</si>
  <si>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</si>
  <si>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</si>
  <si>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</si>
  <si>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</si>
  <si>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</si>
  <si>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</si>
  <si>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</si>
  <si>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</si>
  <si>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</si>
  <si>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</si>
  <si>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</si>
  <si>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</si>
  <si>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</si>
  <si>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</si>
  <si>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</si>
  <si>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</si>
  <si>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</si>
  <si>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</si>
  <si>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</si>
  <si>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</si>
  <si>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</si>
  <si>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</si>
  <si>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</si>
  <si>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</si>
  <si>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</si>
  <si>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</si>
  <si>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</si>
  <si>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</si>
  <si>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</si>
  <si>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</si>
  <si>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</si>
  <si>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</si>
  <si>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</si>
  <si>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</si>
  <si>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</si>
  <si>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</si>
  <si>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</si>
  <si>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</si>
  <si>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</si>
  <si>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</si>
  <si>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</si>
  <si>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</si>
  <si>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</si>
  <si>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</si>
  <si>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</si>
  <si>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</si>
  <si>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</si>
  <si>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</si>
  <si>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</si>
  <si>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</si>
  <si>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</si>
  <si>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</si>
  <si>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</si>
  <si>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</si>
  <si>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</si>
  <si>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</si>
  <si>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</si>
  <si>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</si>
  <si>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</si>
  <si>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</si>
  <si>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</si>
  <si>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</si>
  <si>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</si>
  <si>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</si>
  <si>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</si>
  <si>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</si>
  <si>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</si>
  <si>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</si>
  <si>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</si>
  <si>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</si>
  <si>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</si>
  <si>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</si>
  <si>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</si>
  <si>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</si>
  <si>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</si>
  <si>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</si>
  <si>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</si>
  <si>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</si>
  <si>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</si>
  <si>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</si>
  <si>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</si>
  <si>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</si>
  <si>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</si>
  <si>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</si>
  <si>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</si>
  <si>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</si>
  <si>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</si>
  <si>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</si>
  <si>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</si>
  <si>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</si>
  <si>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</si>
  <si>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</si>
  <si>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</si>
  <si>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</si>
  <si>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</si>
  <si>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</si>
  <si>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</si>
  <si>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</si>
  <si>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</si>
  <si>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</si>
  <si>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</si>
  <si>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</si>
  <si>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</si>
  <si>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</si>
  <si>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</si>
  <si>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</si>
  <si>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</si>
  <si>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</si>
  <si>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</si>
  <si>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</si>
  <si>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</si>
  <si>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</si>
  <si>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</si>
  <si>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</si>
  <si>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</si>
  <si>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</si>
  <si>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</si>
  <si>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</si>
  <si>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</si>
  <si>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</si>
  <si>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</si>
  <si>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</si>
  <si>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</si>
  <si>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</si>
  <si>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</si>
  <si>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</si>
  <si>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</si>
  <si>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</si>
  <si>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</si>
  <si>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</si>
  <si>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</si>
  <si>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</si>
  <si>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</si>
  <si>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</si>
  <si>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</si>
  <si>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</si>
  <si>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</si>
  <si>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</si>
  <si>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</si>
  <si>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</si>
  <si>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</si>
  <si>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</si>
  <si>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</si>
  <si>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</si>
  <si>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</si>
  <si>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</si>
  <si>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</si>
  <si>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</si>
  <si>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</si>
  <si>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</si>
  <si>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</si>
  <si>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</si>
  <si>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</si>
  <si>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</si>
  <si>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</si>
  <si>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</si>
  <si>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</si>
  <si>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</si>
  <si>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</si>
  <si>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</si>
  <si>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</si>
  <si>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</si>
  <si>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</si>
  <si>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</si>
  <si>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</si>
  <si>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</si>
  <si>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</si>
  <si>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</si>
  <si>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</si>
  <si>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</si>
  <si>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</si>
  <si>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</si>
  <si>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</si>
  <si>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</si>
  <si>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</si>
  <si>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</si>
  <si>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</si>
  <si>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</si>
  <si>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</si>
  <si>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</si>
  <si>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</si>
  <si>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</si>
  <si>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</si>
  <si>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</si>
  <si>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</si>
  <si>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</si>
  <si>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</si>
  <si>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</si>
  <si>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</si>
  <si>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</si>
  <si>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</si>
  <si>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</si>
  <si>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</si>
  <si>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</si>
  <si>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</si>
  <si>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</si>
  <si>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</si>
  <si>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</si>
  <si>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</si>
  <si>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</si>
  <si>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</si>
  <si>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</si>
  <si>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</si>
  <si>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</si>
  <si>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</si>
  <si>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</si>
  <si>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</si>
  <si>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</si>
  <si>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</si>
  <si>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</si>
  <si>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</si>
  <si>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</si>
  <si>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</si>
  <si>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</si>
  <si>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</si>
  <si>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</si>
  <si>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</si>
  <si>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</si>
  <si>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</si>
  <si>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</si>
  <si>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</si>
  <si>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</si>
  <si>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</si>
  <si>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</si>
  <si>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</si>
  <si>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</si>
  <si>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</si>
  <si>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</si>
  <si>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</si>
  <si>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</si>
  <si>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</si>
  <si>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</si>
  <si>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</si>
  <si>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</si>
  <si>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</si>
  <si>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</si>
  <si>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</si>
  <si>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</si>
  <si>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</si>
  <si>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</si>
  <si>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</si>
  <si>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</si>
  <si>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</si>
  <si>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</si>
  <si>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</si>
  <si>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</si>
  <si>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</si>
  <si>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</si>
  <si>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</si>
  <si>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</si>
  <si>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</si>
  <si>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</si>
  <si>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</si>
  <si>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</si>
  <si>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</si>
  <si>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</si>
  <si>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</si>
  <si>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</si>
  <si>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</si>
  <si>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</si>
  <si>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</si>
  <si>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</si>
  <si>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</si>
  <si>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</si>
  <si>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</si>
  <si>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</si>
  <si>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</si>
  <si>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</si>
  <si>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</si>
  <si>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</si>
  <si>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</si>
  <si>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</si>
  <si>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</si>
  <si>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</si>
  <si>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</si>
  <si>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</si>
  <si>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</si>
  <si>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</si>
  <si>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</si>
  <si>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</si>
  <si>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</si>
  <si>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</si>
  <si>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</si>
  <si>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</si>
  <si>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</si>
  <si>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</si>
  <si>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</si>
  <si>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</si>
  <si>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</si>
  <si>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</si>
  <si>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</si>
  <si>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</si>
  <si>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</si>
  <si>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</si>
  <si>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</si>
  <si>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</si>
  <si>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</si>
  <si>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</si>
  <si>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</si>
  <si>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</si>
  <si>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</si>
  <si>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</si>
  <si>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</si>
  <si>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</si>
  <si>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</si>
  <si>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</si>
  <si>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</si>
  <si>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</si>
  <si>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</si>
  <si>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</si>
  <si>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</si>
  <si>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</si>
  <si>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</si>
  <si>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</si>
  <si>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</si>
  <si>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</si>
  <si>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</si>
  <si>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</si>
  <si>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</si>
  <si>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</si>
  <si>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</si>
  <si>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</si>
  <si>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</si>
  <si>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</si>
  <si>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</si>
  <si>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</si>
  <si>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</si>
  <si>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</si>
  <si>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</si>
  <si>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</si>
  <si>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</si>
  <si>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</si>
  <si>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</si>
  <si>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</si>
  <si>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</si>
  <si>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</si>
  <si>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</si>
  <si>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</si>
  <si>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</si>
  <si>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</si>
  <si>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</si>
  <si>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</si>
  <si>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</si>
  <si>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</si>
  <si>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</si>
  <si>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</si>
  <si>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</si>
  <si>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</si>
  <si>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</si>
  <si>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</si>
  <si>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</si>
  <si>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</si>
  <si>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</si>
  <si>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</si>
  <si>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</si>
  <si>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</si>
  <si>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</si>
  <si>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</si>
  <si>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</si>
  <si>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</si>
  <si>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</si>
  <si>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</si>
  <si>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</si>
  <si>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</si>
  <si>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</si>
  <si>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</si>
  <si>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</si>
  <si>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</si>
  <si>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</si>
  <si>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</si>
  <si>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</si>
  <si>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</si>
  <si>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</si>
  <si>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</si>
  <si>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</si>
  <si>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</si>
  <si>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</si>
  <si>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</si>
  <si>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</si>
  <si>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</si>
  <si>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Madre Jorge Bahamas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</si>
</sst>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19" zoomScale="95" zoomScaleNormal="95" workbookViewId="0">
      <selection activeCell="G13" sqref="G13:G2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20250119</v>
      </c>
      <c r="G7" s="8">
        <f ca="1">TODAY()</f>
        <v>45803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143</v>
      </c>
      <c r="C21" s="88" t="str">
        <f>IFERROR(VLOOKUP($B21,Tarifa_all_20240711!$A$2:$G$660,2,FALSE()),"-")</f>
        <v>PERFIL EMBELL.HORIZ. ADH LAC.NEGRO TEXTURADO</v>
      </c>
      <c r="D21" s="88"/>
      <c r="E21" s="89">
        <v>8</v>
      </c>
      <c r="F21" s="90">
        <f>IFERROR(VLOOKUP($B21,Tarifa_all_20240711!$A$2:$G$660,5,FALSE()),"-")</f>
        <v>21.794999999999998</v>
      </c>
      <c r="G21" s="90">
        <f t="shared" si="0"/>
        <v>174.35999999999999</v>
      </c>
      <c r="H21" s="1"/>
    </row>
    <row r="22" spans="1:8" x14ac:dyDescent="0.25">
      <c r="B22" s="16" t="s">
        <v>461</v>
      </c>
      <c r="C22" s="79" t="str">
        <f>IFERROR(VLOOKUP($B22,Tarifa_all_20240711!$A$2:$G$660,2,FALSE()),"-")</f>
        <v>MARCO FIJOS 35MM D-DECOR FIJO NEGRO TEXT 6,5 MTS</v>
      </c>
      <c r="D22" s="79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481</v>
      </c>
      <c r="C23" s="79" t="str">
        <f>IFERROR(VLOOKUP($B23,Tarifa_all_20240711!$A$2:$G$660,2,FALSE()),"-")</f>
        <v>TAPA MARCO 35MM D-DECOR FIJO NEGRO TEXT 6,5 MTS</v>
      </c>
      <c r="D23" s="79"/>
      <c r="E23" s="17">
        <v>1</v>
      </c>
      <c r="F23" s="18">
        <f>IFERROR(VLOOKUP($B23,Tarifa_all_20240711!$A$2:$G$660,5,FALSE()),"-")</f>
        <v>24.487499999999997</v>
      </c>
      <c r="G23" s="18">
        <f t="shared" si="0"/>
        <v>24.487499999999997</v>
      </c>
      <c r="H23" s="1"/>
    </row>
    <row r="24" spans="1:8" x14ac:dyDescent="0.25">
      <c r="B24" s="16" t="s">
        <v>441</v>
      </c>
      <c r="C24" s="79" t="str">
        <f>IFERROR(VLOOKUP($B24,Tarifa_all_20240711!$A$2:$G$660,2,FALSE()),"-")</f>
        <v>ANCLAJE TAPA 35MM D-DECOR FIJO NEGRO TEXT 6,5 MTS</v>
      </c>
      <c r="D24" s="79"/>
      <c r="E24" s="17">
        <v>1</v>
      </c>
      <c r="F24" s="18">
        <f>IFERROR(VLOOKUP($B24,Tarifa_all_20240711!$A$2:$G$660,5,FALSE()),"-")</f>
        <v>29.0625</v>
      </c>
      <c r="G24" s="18">
        <f t="shared" si="0"/>
        <v>29.0625</v>
      </c>
      <c r="H24" s="1"/>
    </row>
    <row r="25" spans="1:8" x14ac:dyDescent="0.25">
      <c r="B25" s="16" t="s">
        <v>298</v>
      </c>
      <c r="C25" s="79" t="str">
        <f>IFERROR(VLOOKUP($B25,Tarifa_all_20240711!$A$2:$G$660,2,FALSE()),"-")</f>
        <v>Tope Domo Decor</v>
      </c>
      <c r="D25" s="79"/>
      <c r="E25" s="17">
        <v>4</v>
      </c>
      <c r="F25" s="18">
        <f>IFERROR(VLOOKUP($B25,Tarifa_all_20240711!$A$2:$G$660,5,FALSE()),"-")</f>
        <v>1.4175</v>
      </c>
      <c r="G25" s="18">
        <f t="shared" si="0"/>
        <v>5.67</v>
      </c>
      <c r="H25" s="1"/>
    </row>
    <row r="26" spans="1:8" x14ac:dyDescent="0.25">
      <c r="B26" s="16" t="s">
        <v>300</v>
      </c>
      <c r="C26" s="79" t="str">
        <f>IFERROR(VLOOKUP($B26,Tarifa_all_20240711!$A$2:$G$660,2,FALSE()),"-")</f>
        <v>PERFIL 3 MTS REDUCTOR PARA VIDRIO 6mm</v>
      </c>
      <c r="D26" s="79"/>
      <c r="E26" s="17">
        <v>3</v>
      </c>
      <c r="F26" s="18">
        <f>IFERROR(VLOOKUP($B26,Tarifa_all_20240711!$A$2:$G$660,5,FALSE()),"-")</f>
        <v>3.4275000000000002</v>
      </c>
      <c r="G26" s="18">
        <f t="shared" si="0"/>
        <v>10.282500000000001</v>
      </c>
      <c r="H26" s="1"/>
    </row>
    <row r="27" spans="1:8" x14ac:dyDescent="0.25">
      <c r="B27" s="16">
        <v>31229</v>
      </c>
      <c r="C27" s="79" t="str">
        <f>IFERROR(VLOOKUP($B27,Tarifa_all_20240711!$A$2:$G$660,2,FALSE()),"-")</f>
        <v>COMPLEMENTO FIJACION DOMO DECOR: BARRAS 3 MTS</v>
      </c>
      <c r="D27" s="79"/>
      <c r="E27" s="17">
        <v>3</v>
      </c>
      <c r="F27" s="18">
        <f>IFERROR(VLOOKUP($B27,Tarifa_all_20240711!$A$2:$G$660,5,FALSE()),"-")</f>
        <v>11.317499999999999</v>
      </c>
      <c r="G27" s="18">
        <f t="shared" si="0"/>
        <v>33.952500000000001</v>
      </c>
      <c r="H27" s="1"/>
    </row>
    <row r="28" spans="1:8" x14ac:dyDescent="0.25">
      <c r="B28" s="16" t="s">
        <v>450</v>
      </c>
      <c r="C28" s="79" t="str">
        <f>IFERROR(VLOOKUP($B28,Tarifa_all_20240711!$A$2:$G$660,2,FALSE()),"-")</f>
        <v>PERFIL MINIMALISTA D-DECOR FIJO NEGRO TEXT 3 MTS</v>
      </c>
      <c r="D28" s="79"/>
      <c r="E28" s="17">
        <v>1</v>
      </c>
      <c r="F28" s="18">
        <f>IFERROR(VLOOKUP($B28,Tarifa_all_20240711!$A$2:$G$660,5,FALSE()),"-")</f>
        <v>36.72</v>
      </c>
      <c r="G28" s="18">
        <f t="shared" si="0"/>
        <v>36.72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875.84249999999997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45803</v>
      </c>
    </row>
    <row r="10" spans="1:7" x14ac:dyDescent="0.25">
      <c r="A10" s="3" t="s">
        <v>82</v>
      </c>
      <c r="B10" s="11" t="str">
        <f>'DESPIECE (MATANALYSIS)'!C9</f>
        <v>Madre Jorge Bahamas</v>
      </c>
      <c r="C10" s="45"/>
      <c r="D10" s="45"/>
      <c r="E10" s="46"/>
      <c r="F10" s="47" t="s">
        <v>83</v>
      </c>
      <c r="G10" s="7">
        <f>'DESPIECE (MATANALYSIS)'!C7</f>
        <v>20250119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875.84249999999997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2025-05-26T14:55:01Z</dcterms:modified>
  <dc:language>es-ES</dc:language>
</cp:coreProperties>
</file>