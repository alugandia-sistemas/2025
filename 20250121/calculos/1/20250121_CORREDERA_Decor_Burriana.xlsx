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21\calculos\1\"/>
    </mc:Choice>
  </mc:AlternateContent>
  <xr:revisionPtr revIDLastSave="0" documentId="13_ncr:1_{AD254C1D-7C9A-4630-BC26-6F1C840580F6}" xr6:coauthVersionLast="47" xr6:coauthVersionMax="47" xr10:uidLastSave="{00000000-0000-0000-0000-000000000000}"/>
  <bookViews>
    <workbookView xWindow="-17355" yWindow="510" windowWidth="16350" windowHeight="1471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<sst xmlns="http://schemas.openxmlformats.org/spreadsheetml/2006/main" count="5409" uniqueCount="1453">
  <si>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</si>
  <si>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</si>
  <si>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</si>
  <si>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</si>
  <si>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</si>
  <si>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</si>
  <si>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</si>
  <si>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</si>
  <si>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</si>
  <si>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</si>
  <si>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</si>
  <si>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</si>
  <si>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</si>
  <si>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</si>
  <si>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</si>
  <si>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</si>
  <si>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</si>
  <si>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</si>
  <si>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</si>
  <si>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</si>
  <si>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</si>
  <si>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</si>
  <si>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</si>
  <si>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</si>
  <si>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</si>
  <si>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</si>
  <si>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</si>
  <si>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</si>
  <si>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</si>
  <si>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</si>
  <si>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</si>
  <si>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</si>
  <si>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</si>
  <si>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</si>
  <si>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</si>
  <si>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</si>
  <si>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</si>
  <si>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</si>
  <si>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</si>
  <si>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</si>
  <si>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</si>
  <si>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</si>
  <si>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</si>
  <si>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</si>
  <si>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</si>
  <si>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</si>
  <si>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</si>
  <si>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</si>
  <si>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</si>
  <si>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</si>
  <si>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</si>
  <si>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</si>
  <si>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</si>
  <si>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</si>
  <si>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</si>
  <si>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</si>
  <si>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</si>
  <si>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</si>
  <si>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</si>
  <si>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</si>
  <si>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</si>
  <si>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</si>
  <si>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</si>
  <si>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</si>
  <si>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</si>
  <si>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</si>
  <si>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</si>
  <si>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</si>
  <si>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</si>
  <si>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</si>
  <si>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</si>
  <si>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</si>
  <si>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</si>
  <si>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</si>
  <si>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</si>
  <si>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</si>
  <si>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</si>
  <si>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</si>
  <si>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</si>
  <si>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</si>
  <si>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</si>
  <si>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</si>
  <si>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</si>
  <si>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</si>
  <si>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</si>
  <si>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</si>
  <si>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</si>
  <si>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</si>
  <si>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</si>
  <si>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</si>
  <si>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</si>
  <si>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</si>
  <si>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</si>
  <si>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</si>
  <si>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</si>
  <si>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</si>
  <si>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</si>
  <si>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</si>
  <si>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</si>
  <si>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</si>
  <si>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</si>
  <si>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</si>
  <si>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</si>
  <si>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</si>
  <si>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</si>
  <si>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</si>
  <si>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</si>
  <si>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</si>
  <si>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</si>
  <si>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</si>
  <si>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</si>
  <si>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</si>
  <si>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</si>
  <si>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</si>
  <si>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</si>
  <si>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</si>
  <si>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</si>
  <si>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</si>
  <si>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</si>
  <si>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</si>
  <si>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</si>
  <si>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</si>
  <si>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</si>
  <si>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</si>
  <si>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</si>
  <si>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</si>
  <si>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</si>
  <si>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</si>
  <si>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</si>
  <si>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</si>
  <si>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</si>
  <si>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</si>
  <si>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</si>
  <si>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</si>
  <si>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</si>
  <si>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</si>
  <si>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</si>
  <si>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</si>
  <si>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</si>
  <si>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</si>
  <si>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</si>
  <si>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</si>
  <si>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</si>
  <si>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</si>
  <si>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</si>
  <si>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</si>
  <si>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</si>
  <si>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</si>
  <si>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</si>
  <si>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</si>
  <si>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</si>
  <si>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</si>
  <si>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</si>
  <si>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</si>
  <si>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</si>
  <si>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</si>
  <si>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</si>
  <si>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</si>
  <si>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</si>
  <si>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</si>
  <si>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</si>
  <si>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</si>
  <si>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</si>
  <si>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</si>
  <si>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</si>
  <si>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</si>
  <si>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</si>
  <si>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</si>
  <si>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</si>
  <si>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</si>
  <si>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</si>
  <si>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</si>
  <si>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</si>
  <si>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</si>
  <si>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</si>
  <si>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</si>
  <si>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</si>
  <si>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</si>
  <si>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</si>
  <si>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</si>
  <si>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</si>
  <si>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</si>
  <si>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</si>
  <si>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</si>
  <si>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</si>
  <si>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</si>
  <si>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</si>
  <si>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</si>
  <si>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</si>
  <si>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</si>
  <si>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</si>
  <si>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</si>
  <si>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</si>
  <si>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</si>
  <si>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</si>
  <si>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</si>
  <si>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</si>
  <si>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</si>
  <si>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</si>
  <si>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</si>
  <si>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</si>
  <si>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</si>
  <si>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</si>
  <si>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</si>
  <si>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</si>
  <si>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</si>
  <si>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</si>
  <si>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</si>
  <si>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</si>
  <si>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</si>
  <si>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</si>
  <si>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</si>
  <si>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</si>
  <si>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</si>
  <si>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</si>
  <si>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</si>
  <si>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</si>
  <si>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</si>
  <si>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</si>
  <si>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</si>
  <si>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</si>
  <si>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</si>
  <si>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</si>
  <si>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</si>
  <si>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</si>
  <si>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</si>
  <si>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</si>
  <si>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</si>
  <si>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</si>
  <si>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</si>
  <si>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</si>
  <si>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</si>
  <si>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</si>
  <si>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</si>
  <si>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</si>
  <si>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</si>
  <si>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</si>
  <si>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</si>
  <si>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</si>
  <si>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</si>
  <si>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</si>
  <si>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</si>
  <si>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</si>
  <si>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</si>
  <si>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</si>
  <si>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</si>
  <si>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</si>
  <si>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</si>
  <si>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</si>
  <si>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</si>
  <si>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</si>
  <si>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</si>
  <si>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</si>
  <si>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</si>
  <si>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</si>
  <si>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</si>
  <si>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</si>
  <si>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</si>
  <si>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</si>
  <si>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</si>
  <si>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</si>
  <si>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</si>
  <si>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</si>
  <si>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</si>
  <si>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</si>
  <si>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</si>
  <si>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</si>
  <si>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</si>
  <si>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</si>
  <si>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</si>
  <si>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</si>
  <si>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</si>
  <si>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</si>
  <si>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</si>
  <si>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</si>
  <si>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</si>
  <si>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</si>
  <si>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</si>
  <si>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</si>
  <si>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</si>
  <si>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</si>
  <si>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</si>
  <si>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</si>
  <si>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</si>
  <si>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</si>
  <si>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</si>
  <si>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</si>
  <si>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</si>
  <si>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</si>
  <si>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</si>
  <si>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</si>
  <si>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</si>
  <si>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</si>
  <si>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</si>
  <si>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</si>
  <si>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</si>
  <si>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</si>
  <si>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</si>
  <si>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</si>
  <si>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</si>
  <si>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</si>
  <si>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</si>
  <si>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</si>
  <si>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</si>
  <si>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</si>
  <si>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</si>
  <si>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</si>
  <si>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</si>
  <si>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</si>
  <si>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</si>
  <si>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</si>
  <si>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</si>
  <si>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</si>
  <si>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</si>
  <si>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</si>
  <si>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</si>
  <si>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</si>
  <si>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</si>
  <si>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</si>
  <si>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</si>
  <si>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</si>
  <si>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</si>
  <si>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</si>
  <si>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</si>
  <si>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</si>
  <si>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</si>
  <si>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</si>
  <si>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</si>
  <si>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</si>
  <si>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</si>
  <si>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</si>
  <si>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</si>
  <si>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</si>
  <si>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</si>
  <si>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</si>
  <si>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</si>
  <si>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</si>
  <si>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</si>
  <si>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</si>
  <si>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</si>
  <si>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</si>
  <si>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</si>
  <si>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</si>
  <si>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</si>
  <si>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</si>
  <si>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</si>
  <si>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</si>
  <si>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</si>
  <si>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</si>
  <si>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</si>
  <si>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</si>
  <si>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</si>
  <si>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</si>
  <si>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</si>
  <si>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</si>
  <si>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</si>
  <si>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</si>
  <si>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</si>
  <si>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</si>
  <si>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</si>
  <si>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</si>
  <si>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</si>
  <si>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</si>
  <si>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</si>
  <si>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</si>
  <si>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</si>
  <si>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</si>
  <si>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</si>
  <si>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</si>
  <si>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</si>
  <si>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</si>
  <si>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</si>
  <si>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</si>
  <si>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</si>
  <si>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</si>
  <si>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</si>
  <si>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</si>
  <si>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</si>
  <si>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</si>
  <si>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</si>
  <si>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</si>
  <si>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</si>
  <si>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</si>
  <si>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</si>
  <si>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</si>
  <si>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</si>
  <si>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</si>
  <si>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</si>
  <si>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</si>
  <si>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</si>
  <si>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</si>
  <si>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</si>
  <si>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</si>
  <si>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</si>
  <si>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</si>
  <si>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</si>
  <si>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</si>
  <si>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</si>
  <si>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</si>
  <si>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</si>
  <si>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</si>
  <si>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</si>
  <si>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</si>
  <si>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</si>
  <si>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</si>
  <si>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</si>
  <si>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</si>
  <si>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</si>
  <si>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</si>
  <si>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</si>
  <si>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</si>
  <si>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</si>
  <si>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</si>
  <si>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</si>
  <si>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</si>
  <si>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</si>
  <si>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</si>
  <si>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</si>
  <si>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</si>
  <si>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</si>
  <si>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</si>
  <si>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</si>
  <si>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</si>
  <si>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</si>
  <si>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</si>
  <si>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</si>
  <si>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</si>
  <si>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</si>
  <si>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</si>
  <si>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</si>
  <si>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</si>
  <si>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</si>
  <si>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</si>
  <si>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</si>
  <si>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</si>
  <si>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</si>
  <si>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</si>
  <si>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</si>
  <si>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</si>
  <si>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</si>
  <si>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</si>
  <si>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</si>
  <si>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</si>
  <si>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</si>
  <si>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</si>
  <si>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</si>
  <si>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</si>
  <si>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</si>
  <si>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</si>
  <si>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</si>
  <si>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</si>
  <si>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</si>
  <si>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</si>
  <si>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</si>
  <si>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</si>
  <si>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</si>
  <si>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</si>
  <si>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</si>
  <si>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</si>
  <si>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</si>
  <si>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</si>
  <si>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</si>
  <si>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</si>
  <si>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</si>
  <si>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</si>
  <si>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</si>
  <si>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</si>
  <si>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</si>
  <si>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</si>
  <si>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</si>
  <si>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</si>
  <si>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</si>
  <si>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</si>
  <si>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</si>
  <si>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</si>
  <si>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</si>
  <si>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</si>
  <si>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</si>
  <si>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</si>
  <si>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</si>
  <si>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</si>
  <si>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</si>
  <si>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</si>
  <si>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</si>
  <si>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</si>
  <si>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</si>
  <si>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</si>
  <si>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</si>
  <si>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</si>
  <si>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</si>
  <si>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</si>
  <si>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</si>
  <si>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</si>
  <si>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</si>
  <si>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</si>
  <si>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</si>
  <si>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</si>
  <si>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</si>
  <si>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</si>
  <si>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</si>
  <si>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</si>
  <si>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</si>
  <si>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</si>
  <si>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</si>
  <si>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</si>
  <si>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</si>
  <si>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</si>
  <si>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</si>
  <si>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</si>
  <si>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</si>
  <si>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</si>
  <si>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</si>
  <si>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</si>
  <si>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</si>
  <si>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</si>
  <si>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</si>
  <si>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</si>
  <si>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</si>
  <si>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</si>
  <si>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</si>
  <si>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</si>
  <si>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</si>
  <si>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</si>
  <si>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</si>
  <si>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</si>
  <si>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</si>
  <si>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</si>
  <si>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</si>
  <si>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</si>
  <si>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</si>
  <si>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</si>
  <si>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</si>
  <si>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</si>
  <si>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</si>
  <si>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</si>
  <si>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</si>
  <si>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</si>
  <si>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</si>
  <si>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</si>
  <si>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</si>
  <si>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</si>
  <si>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</si>
  <si>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</si>
  <si>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</si>
  <si>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</si>
  <si>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</si>
  <si>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</si>
  <si>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</si>
  <si>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</si>
  <si>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</si>
  <si>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</si>
  <si>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</si>
  <si>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</si>
  <si>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</si>
  <si>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</si>
  <si>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</si>
  <si>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</si>
  <si>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</si>
  <si>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</si>
  <si>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</si>
  <si>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</si>
  <si>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</si>
  <si>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</si>
  <si>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</si>
  <si>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</si>
  <si>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</si>
  <si>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</si>
  <si>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</si>
  <si>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</si>
  <si>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</si>
  <si>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</si>
  <si>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</si>
  <si>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</si>
  <si>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</si>
  <si>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</si>
  <si>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</si>
  <si>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</si>
  <si>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</si>
  <si>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</si>
  <si>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</si>
  <si>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</si>
  <si>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</si>
  <si>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</si>
  <si>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</si>
  <si>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</si>
  <si>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</si>
  <si>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</si>
  <si>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</si>
  <si>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</si>
  <si>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</si>
  <si>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</si>
  <si>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</si>
  <si>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</si>
  <si>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</si>
  <si>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</si>
  <si>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</si>
  <si>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</si>
  <si>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</si>
  <si>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</si>
  <si>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</si>
  <si>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</si>
  <si>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</si>
  <si>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</si>
  <si>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</si>
  <si>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</si>
  <si>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</si>
  <si>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</si>
  <si>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</si>
  <si>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</si>
  <si>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</si>
  <si>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</si>
  <si>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</si>
  <si>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</si>
  <si>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</si>
  <si>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</si>
  <si>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</si>
  <si>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</si>
  <si>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</si>
  <si>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</si>
  <si>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</si>
  <si>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</si>
  <si>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</si>
  <si>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</si>
  <si>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</si>
  <si>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</si>
  <si>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</si>
  <si>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</si>
  <si>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</si>
  <si>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</si>
  <si>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</si>
  <si>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</si>
  <si>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</si>
  <si>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</si>
  <si>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</si>
  <si>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</si>
  <si>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</si>
  <si>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</si>
  <si>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</si>
  <si>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</si>
  <si>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</si>
  <si>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</si>
  <si>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</si>
  <si>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</si>
  <si>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</si>
  <si>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</si>
  <si>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</si>
  <si>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</si>
  <si>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</si>
  <si>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</si>
  <si>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</si>
  <si>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</si>
  <si>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</si>
  <si>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</si>
  <si>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</si>
  <si>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</si>
  <si>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</si>
  <si>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</si>
  <si>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</si>
  <si>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</si>
  <si>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</si>
  <si>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</si>
  <si>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</si>
  <si>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</si>
  <si>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</si>
  <si>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</si>
  <si>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</si>
  <si>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</si>
  <si>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</si>
  <si>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</si>
  <si>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</si>
  <si>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</si>
  <si>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</si>
  <si>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</si>
  <si>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</si>
  <si>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</si>
  <si>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</si>
  <si>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</si>
  <si>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</si>
  <si>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</si>
  <si>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</si>
  <si>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</si>
  <si>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</si>
  <si>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</si>
  <si>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</si>
  <si>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</si>
  <si>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</si>
  <si>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</si>
  <si>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</si>
  <si>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</si>
  <si>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</si>
  <si>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</si>
  <si>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</si>
  <si>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</si>
  <si>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</si>
  <si>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</si>
  <si>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</si>
  <si>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</si>
  <si>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</si>
  <si>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</si>
  <si>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</si>
  <si>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</si>
  <si>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</si>
  <si>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</si>
  <si>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</si>
  <si>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</si>
  <si>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</si>
  <si>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</si>
  <si>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</si>
  <si>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</si>
  <si>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</si>
  <si>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</si>
  <si>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</si>
  <si>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</si>
  <si>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</si>
  <si>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</si>
  <si>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</si>
  <si>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</si>
  <si>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</si>
  <si>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</si>
  <si>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</si>
  <si>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</si>
  <si>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</si>
  <si>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</si>
  <si>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</si>
  <si>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</si>
  <si>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</si>
  <si>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</si>
  <si>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</si>
  <si>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</si>
  <si>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</si>
  <si>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</si>
  <si>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</si>
  <si>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</si>
  <si>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</si>
  <si>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</si>
  <si>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</si>
  <si>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</si>
  <si>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</si>
  <si>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</si>
  <si>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</si>
  <si>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</si>
  <si>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</si>
  <si>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</si>
  <si>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</si>
  <si>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</si>
  <si>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</si>
  <si>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</si>
  <si>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</si>
  <si>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</si>
  <si>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</si>
  <si>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</si>
  <si>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</si>
  <si>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</si>
  <si>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</si>
  <si>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</si>
  <si>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</si>
  <si>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</si>
  <si>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</si>
  <si>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</si>
  <si>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</si>
  <si>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</si>
  <si>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</si>
  <si>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</si>
  <si>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</si>
  <si>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</si>
  <si>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</si>
  <si>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</si>
  <si>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</si>
  <si>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</si>
  <si>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</si>
  <si>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</si>
  <si>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</si>
  <si>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</si>
  <si>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</si>
  <si>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</si>
  <si>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</si>
  <si>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</si>
  <si>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</si>
  <si>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</si>
  <si>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</si>
  <si>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</si>
  <si>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</si>
  <si>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</si>
  <si>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</si>
  <si>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</si>
  <si>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</si>
  <si>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</si>
  <si>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</si>
  <si>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</si>
  <si>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</si>
  <si>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</si>
  <si>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</si>
  <si>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</si>
  <si>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</si>
  <si>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</si>
  <si>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</si>
  <si>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</si>
  <si>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</si>
  <si>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</si>
  <si>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</si>
  <si>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</si>
  <si>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</si>
  <si>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</si>
  <si>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</si>
  <si>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</si>
  <si>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</si>
  <si>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</si>
  <si>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</si>
  <si>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</si>
  <si>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</si>
  <si>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</si>
  <si>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</si>
  <si>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</si>
  <si>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</si>
  <si>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</si>
  <si>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</si>
  <si>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</si>
  <si>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</si>
  <si>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</si>
  <si>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</si>
  <si>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</si>
  <si>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</si>
  <si>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</si>
  <si>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</si>
  <si>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</si>
  <si>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</si>
  <si>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</si>
  <si>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</si>
  <si>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</si>
  <si>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</si>
  <si>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</si>
  <si>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</si>
  <si>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</si>
  <si>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</si>
  <si>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</si>
  <si>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</si>
  <si>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</si>
  <si>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</si>
  <si>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</si>
  <si>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</si>
  <si>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</si>
  <si>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</si>
  <si>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</si>
  <si>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</si>
  <si>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</si>
  <si>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</si>
  <si>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</si>
  <si>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</si>
  <si>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</si>
  <si>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</si>
  <si>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</si>
  <si>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</si>
  <si>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</si>
  <si>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</si>
  <si>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</si>
  <si>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</si>
  <si>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</si>
  <si>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</si>
  <si>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</si>
  <si>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</si>
  <si>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</si>
  <si>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</si>
  <si>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</si>
  <si>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</si>
  <si>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</si>
  <si>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</si>
  <si>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</si>
  <si>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</si>
  <si>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</si>
  <si>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</si>
  <si>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</si>
  <si>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</si>
  <si>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</si>
  <si>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</si>
  <si>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</si>
  <si>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</si>
  <si>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</si>
  <si>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</si>
  <si>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</si>
  <si>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</si>
  <si>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</si>
  <si>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</si>
  <si>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</si>
  <si>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</si>
  <si>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</si>
  <si>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</si>
  <si>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</si>
  <si>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</si>
  <si>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</si>
  <si>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</si>
  <si>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</si>
  <si>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</si>
  <si>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</si>
  <si>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</si>
  <si>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</si>
  <si>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</si>
  <si>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</si>
  <si>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</si>
  <si>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</si>
  <si>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</si>
  <si>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</si>
  <si>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</si>
  <si>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</si>
  <si>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</si>
  <si>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</si>
  <si>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</si>
  <si>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</si>
  <si>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</si>
  <si>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</si>
  <si>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</si>
  <si>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</si>
  <si>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</si>
  <si>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</si>
  <si>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</si>
  <si>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</si>
  <si>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</si>
  <si>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</si>
  <si>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</si>
  <si>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</si>
  <si>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</si>
  <si>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</si>
  <si>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</si>
  <si>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</si>
  <si>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</si>
  <si>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</si>
  <si>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</si>
  <si>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</si>
  <si>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</si>
  <si>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</si>
  <si>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</si>
  <si>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</si>
  <si>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</si>
  <si>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</si>
  <si>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</si>
  <si>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</si>
  <si>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</si>
  <si>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</si>
  <si>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</si>
  <si>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</si>
  <si>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</si>
  <si>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</si>
  <si>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</si>
  <si>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</si>
  <si>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</si>
  <si>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</si>
  <si>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</si>
  <si>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</si>
  <si>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</si>
  <si>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</si>
  <si>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</si>
  <si>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</si>
  <si>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</si>
  <si>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</si>
  <si>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</si>
  <si>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</si>
  <si>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</si>
  <si>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</si>
  <si>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</si>
  <si>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</si>
  <si>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</si>
  <si>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</si>
  <si>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</si>
  <si>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</si>
  <si>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</si>
  <si>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</si>
  <si>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</si>
  <si>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</si>
  <si>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</si>
  <si>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</si>
  <si>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</si>
  <si>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</si>
  <si>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</si>
  <si>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</si>
  <si>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</si>
  <si>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</si>
  <si>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</si>
  <si>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</si>
  <si>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</si>
  <si>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</si>
  <si>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</si>
  <si>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</si>
  <si>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</si>
  <si>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</si>
  <si>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</si>
  <si>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</si>
  <si>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</si>
  <si>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</si>
  <si>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</si>
  <si>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</si>
  <si>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</si>
  <si>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</si>
  <si>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</si>
  <si>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</si>
  <si>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</si>
  <si>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</si>
  <si>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</si>
  <si>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</si>
  <si>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</si>
  <si>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</si>
  <si>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</si>
  <si>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</si>
  <si>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</si>
  <si>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</si>
  <si>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</si>
  <si>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</si>
  <si>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</si>
  <si>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</si>
  <si>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</si>
  <si>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</si>
  <si>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</si>
  <si>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</si>
  <si>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</si>
  <si>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</si>
  <si>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</si>
  <si>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</si>
  <si>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</si>
  <si>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</si>
  <si>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</si>
  <si>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</si>
  <si>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</si>
  <si>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</si>
  <si>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</si>
  <si>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</si>
  <si>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</si>
  <si>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</si>
  <si>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</si>
  <si>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</si>
  <si>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</si>
  <si>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</si>
  <si>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</si>
  <si>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</si>
  <si>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</si>
  <si>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</si>
  <si>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</si>
  <si>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</si>
  <si>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</si>
  <si>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</si>
  <si>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</si>
  <si>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</si>
  <si>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</si>
  <si>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</si>
  <si>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</si>
  <si>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</si>
  <si>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</si>
  <si>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</si>
  <si>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</si>
  <si>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</si>
  <si>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</si>
  <si>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</si>
  <si>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</si>
  <si>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</si>
  <si>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</si>
  <si>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</si>
  <si>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</si>
  <si>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</si>
  <si>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</si>
  <si>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</si>
  <si>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</si>
  <si>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</si>
  <si>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</si>
  <si>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</si>
  <si>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</si>
  <si>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</si>
  <si>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</si>
  <si>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</si>
  <si>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</si>
  <si>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</si>
  <si>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</si>
  <si>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</si>
  <si>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</si>
  <si>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</si>
  <si>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</si>
  <si>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</si>
  <si>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</si>
  <si>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</si>
  <si>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</si>
  <si>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</si>
  <si>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</si>
  <si>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</si>
  <si>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</si>
  <si>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</si>
  <si>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</si>
  <si>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</si>
  <si>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</si>
  <si>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</si>
  <si>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</si>
  <si>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</si>
  <si>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</si>
  <si>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</si>
  <si>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</si>
  <si>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</si>
  <si>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</si>
  <si>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</si>
  <si>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</si>
  <si>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</si>
  <si>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</si>
  <si>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</si>
  <si>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</si>
  <si>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</si>
  <si>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</si>
  <si>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</si>
  <si>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</si>
  <si>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</si>
  <si>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</si>
  <si>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</si>
  <si>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</si>
  <si>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</si>
  <si>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</si>
  <si>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</si>
  <si>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</si>
  <si>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</si>
  <si>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</si>
  <si>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</si>
  <si>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</si>
  <si>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</si>
  <si>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</si>
  <si>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</si>
  <si>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</si>
  <si>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</si>
  <si>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</si>
  <si>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</si>
  <si>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</si>
  <si>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</si>
  <si>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</si>
  <si>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</si>
  <si>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</si>
  <si>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</si>
  <si>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</si>
  <si>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</si>
  <si>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</si>
  <si>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</si>
  <si>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</si>
  <si>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</si>
  <si>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</si>
  <si>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</si>
  <si>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</si>
  <si>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</si>
  <si>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</si>
  <si>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</si>
  <si>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</si>
  <si>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</si>
  <si>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</si>
  <si>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</si>
  <si>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</si>
  <si>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</si>
  <si>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</si>
  <si>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</si>
  <si>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</si>
  <si>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</si>
  <si>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</si>
  <si>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</si>
  <si>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</si>
  <si>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</si>
  <si>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</si>
  <si>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</si>
  <si>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</si>
  <si>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</si>
  <si>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</si>
  <si>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</si>
  <si>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</si>
  <si>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</si>
  <si>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</si>
  <si>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</si>
  <si>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</si>
  <si>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</si>
  <si>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</si>
  <si>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</si>
  <si>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</si>
  <si>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</si>
  <si>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</si>
  <si>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</si>
  <si>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</si>
  <si>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</si>
  <si>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</si>
  <si>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</si>
  <si>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</si>
  <si>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</si>
  <si>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</si>
  <si>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</si>
  <si>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</si>
  <si>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</si>
  <si>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</si>
  <si>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</si>
  <si>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</si>
  <si>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</si>
  <si>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</si>
  <si>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</si>
  <si>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</si>
  <si>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</si>
  <si>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</si>
  <si>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</si>
  <si>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</si>
  <si>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</si>
  <si>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</si>
  <si>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</si>
  <si>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</si>
  <si>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</si>
  <si>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</si>
  <si>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</si>
  <si>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</si>
  <si>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</si>
  <si>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</si>
  <si>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</si>
  <si>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</si>
  <si>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</si>
  <si>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</si>
  <si>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</si>
  <si>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</si>
  <si>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</si>
  <si>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</si>
  <si>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</si>
  <si>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</si>
  <si>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</si>
  <si>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</si>
  <si>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</si>
  <si>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</si>
  <si>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</si>
  <si>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</si>
  <si>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</si>
  <si>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</si>
  <si>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</si>
  <si>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</si>
  <si>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</si>
  <si>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</si>
  <si>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</si>
  <si>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</si>
  <si>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</si>
  <si>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</si>
  <si>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</si>
  <si>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</si>
  <si>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</si>
  <si>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</si>
  <si>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</si>
  <si>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</si>
  <si>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</si>
  <si>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</si>
  <si>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</si>
  <si>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</si>
  <si>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</si>
  <si>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</si>
  <si>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</si>
  <si>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</si>
  <si>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</si>
  <si>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</si>
  <si>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</si>
  <si>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</si>
  <si>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</si>
  <si>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</si>
  <si>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</si>
  <si>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</si>
  <si>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</si>
  <si>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</si>
  <si>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</si>
  <si>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</si>
  <si>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</si>
  <si>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</si>
  <si>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</si>
  <si>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</si>
  <si>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</si>
  <si>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</si>
  <si>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</si>
  <si>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</si>
  <si>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</si>
  <si>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</si>
  <si>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</si>
  <si>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</si>
  <si>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</si>
  <si>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</si>
  <si>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</si>
  <si>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</si>
  <si>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</si>
  <si>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</si>
  <si>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</si>
  <si>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</si>
  <si>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</si>
  <si>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</si>
  <si>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</si>
  <si>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</si>
  <si>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</si>
  <si>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</si>
  <si>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</si>
  <si>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</si>
  <si>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</si>
  <si>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</si>
  <si>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</si>
  <si>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</si>
  <si>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</si>
  <si>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</si>
  <si>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</si>
  <si>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</si>
  <si>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</si>
  <si>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</si>
  <si>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</si>
  <si>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</si>
  <si>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</si>
  <si>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</si>
  <si>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</si>
  <si>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</si>
  <si>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</si>
  <si>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</si>
  <si>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</si>
  <si>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</si>
  <si>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</si>
  <si>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</si>
  <si>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</si>
  <si>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</si>
  <si>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</si>
  <si>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</si>
  <si>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</si>
  <si>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</si>
  <si>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</si>
  <si>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</si>
  <si>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</si>
  <si>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</si>
  <si>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</si>
  <si>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</si>
  <si>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</si>
  <si>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</si>
  <si>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</si>
  <si>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</si>
  <si>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</si>
  <si>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</si>
  <si>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</si>
  <si>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</si>
  <si>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</si>
  <si>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</si>
  <si>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</si>
  <si>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</si>
  <si>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</si>
  <si>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</si>
  <si>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</si>
  <si>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</si>
  <si>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</si>
  <si>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</si>
  <si>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</si>
  <si>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</si>
  <si>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</si>
  <si>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</si>
  <si>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</si>
  <si>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</si>
  <si>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</si>
  <si>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</si>
  <si>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</si>
  <si>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</si>
  <si>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</si>
  <si>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</si>
  <si>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</si>
  <si>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</si>
  <si>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</si>
  <si>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</si>
  <si>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</si>
  <si>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</si>
  <si>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</si>
  <si>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</si>
  <si>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</si>
  <si>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</si>
  <si>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</si>
  <si>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</si>
  <si>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</si>
  <si>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</si>
  <si>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</si>
  <si>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</si>
  <si>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</si>
  <si>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</si>
  <si>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</si>
  <si>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</si>
  <si>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</si>
  <si>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</si>
  <si>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</si>
  <si>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</si>
  <si>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</si>
  <si>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</si>
  <si>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</si>
  <si>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</si>
  <si>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</si>
  <si>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</si>
  <si>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</si>
  <si>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</si>
  <si>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</si>
  <si>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</si>
  <si>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</si>
  <si>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</si>
  <si>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</si>
  <si>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</si>
  <si>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</si>
  <si>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</si>
  <si>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</si>
  <si>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</si>
  <si>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</si>
  <si>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</si>
  <si>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</si>
  <si>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</si>
  <si>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</si>
  <si>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</si>
  <si>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</si>
  <si>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</si>
  <si>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</si>
  <si>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</si>
  <si>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</si>
  <si>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</si>
  <si>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</si>
  <si>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</si>
  <si>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</si>
  <si>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</si>
  <si>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</si>
  <si>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</si>
  <si>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</si>
  <si>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</si>
  <si>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</si>
  <si>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</si>
  <si>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</si>
  <si>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</si>
  <si>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</si>
  <si>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</si>
  <si>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</si>
  <si>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</si>
  <si>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</si>
  <si>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</si>
  <si>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</si>
  <si>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</si>
  <si>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</si>
  <si>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</si>
  <si>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</si>
  <si>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</si>
  <si>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</si>
  <si>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</si>
  <si>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</si>
  <si>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</si>
  <si>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</si>
  <si>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</si>
  <si>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</si>
  <si>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</si>
  <si>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</si>
  <si>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</si>
  <si>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</si>
  <si>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</si>
  <si>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</si>
  <si>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</si>
  <si>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</si>
  <si>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</si>
  <si>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</si>
  <si>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</si>
  <si>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</si>
  <si>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</si>
  <si>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</si>
  <si>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</si>
  <si>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</si>
  <si>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</si>
  <si>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</si>
  <si>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</si>
  <si>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</si>
  <si>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</si>
  <si>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Burriana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</si>
</sst>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85" zoomScaleNormal="85" zoomScaleSheetLayoutView="85" workbookViewId="0">
      <selection activeCell="G28" sqref="G13: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20250121</v>
      </c>
      <c r="G7" s="8">
        <f ca="1">TODAY()</f>
        <v>45812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173</v>
      </c>
      <c r="C13" s="80" t="str">
        <f>IFERROR(VLOOKUP($B13,Tarifa_all_20240711!$A$2:$G$660,2,FALSE()),"-")</f>
        <v>GUIA SUP TECHO PLUS LAC.NEGRO MATE-4 MTS</v>
      </c>
      <c r="D13" s="80"/>
      <c r="E13" s="17">
        <v>1</v>
      </c>
      <c r="F13" s="18">
        <f>IFERROR(VLOOKUP($B13,Tarifa_all_20240711!$A$2:$G$660,5,FALSE()),"-")</f>
        <v>86.925000000000011</v>
      </c>
      <c r="G13" s="18">
        <f t="shared" ref="G13:G30" si="0">IFERROR(E13*F13,"-")</f>
        <v>86.925000000000011</v>
      </c>
      <c r="H13" s="1"/>
    </row>
    <row r="14" spans="1:12" x14ac:dyDescent="0.25">
      <c r="A14" t="s">
        <v>15</v>
      </c>
      <c r="B14" s="16" t="s">
        <v>1443</v>
      </c>
      <c r="C14" s="80" t="str">
        <f>IFERROR(VLOOKUP($B14,Tarifa_all_20240711!$A$2:$G$660,2,FALSE()),"-")</f>
        <v>TAPETA LAT. GUIA TECHO NEGRO</v>
      </c>
      <c r="D14" s="80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343</v>
      </c>
      <c r="C16" s="80" t="str">
        <f>IFERROR(VLOOKUP($B16,Tarifa_all_20240711!$A$2:$G$660,2,FALSE()),"-")</f>
        <v>KIT AMORTIGUADOR SKY BIDIRECCIONAL 80KG</v>
      </c>
      <c r="D16" s="80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80" t="str">
        <f>IFERROR(VLOOKUP($B18,Tarifa_all_20240711!$A$2:$G$660,2,FALSE()),"-")</f>
        <v>CARRO SKY MADERA 120KG</v>
      </c>
      <c r="D18" s="80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80" t="str">
        <f>IFERROR(VLOOKUP($B21,Tarifa_all_20240711!$A$2:$G$660,2,FALSE()),"-")</f>
        <v>PERFIL EMBELL.HORIZ. ADH LAC.NEGRO TEXTURADO</v>
      </c>
      <c r="D21" s="80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16" t="s">
        <v>460</v>
      </c>
      <c r="C22" s="80" t="str">
        <f>IFERROR(VLOOKUP($B22,Tarifa_all_20240711!$A$2:$G$660,2,FALSE()),"-")</f>
        <v>MARCO FIJOS 35MM D-DECOR FIJO NEGRO TEXT 3 MTS</v>
      </c>
      <c r="D22" s="80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440</v>
      </c>
      <c r="C23" s="80" t="str">
        <f>IFERROR(VLOOKUP($B23,Tarifa_all_20240711!$A$2:$G$660,2,FALSE()),"-")</f>
        <v>ANCLAJE TAPA 35MM D-DECOR FIJO NEGRO TEXT 3 MTS</v>
      </c>
      <c r="D23" s="80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480</v>
      </c>
      <c r="C24" s="80" t="str">
        <f>IFERROR(VLOOKUP($B24,Tarifa_all_20240711!$A$2:$G$660,2,FALSE()),"-")</f>
        <v>TAPA MARCO 35MM D-DECOR FIJO NEGRO TEXT 3 MTS</v>
      </c>
      <c r="D24" s="80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450</v>
      </c>
      <c r="C25" s="80" t="str">
        <f>IFERROR(VLOOKUP($B25,Tarifa_all_20240711!$A$2:$G$660,2,FALSE()),"-")</f>
        <v>PERFIL MINIMALISTA D-DECOR FIJO NEGRO TEXT 3 MTS</v>
      </c>
      <c r="D25" s="80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298</v>
      </c>
      <c r="C26" s="80" t="str">
        <f>IFERROR(VLOOKUP($B26,Tarifa_all_20240711!$A$2:$G$660,2,FALSE()),"-")</f>
        <v>Tope Domo Decor</v>
      </c>
      <c r="D26" s="80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80" t="str">
        <f>IFERROR(VLOOKUP($B27,Tarifa_all_20240711!$A$2:$G$660,2,FALSE()),"-")</f>
        <v>PERFIL 3 MTS REDUCTOR PARA VIDRIO 6mm</v>
      </c>
      <c r="D27" s="80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80" t="str">
        <f>IFERROR(VLOOKUP($B28,Tarifa_all_20240711!$A$2:$G$660,2,FALSE()),"-")</f>
        <v>COMPLEMENTO FIJACION DOMO DECOR: BARRAS 3 MTS</v>
      </c>
      <c r="D28" s="80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76" t="s">
        <v>470</v>
      </c>
      <c r="C29" s="81" t="str">
        <f>IFERROR(VLOOKUP($B29,Tarifa_all_20240711!$A$2:$G$660,2,FALSE()),"-")</f>
        <v>TAPA GUIA 40MM D-DECOR FIJO NEGRO TEXT 3 MTS</v>
      </c>
      <c r="D29" s="81"/>
      <c r="E29" s="77">
        <v>1</v>
      </c>
      <c r="F29" s="78">
        <f>IFERROR(VLOOKUP($B29,Tarifa_all_20240711!$A$2:$G$660,5,FALSE()),"-")</f>
        <v>9.6524999999999999</v>
      </c>
      <c r="G29" s="78">
        <f t="shared" si="0"/>
        <v>9.6524999999999999</v>
      </c>
      <c r="H29" s="1"/>
    </row>
    <row r="30" spans="1:8" x14ac:dyDescent="0.25">
      <c r="B30" s="76" t="s">
        <v>490</v>
      </c>
      <c r="C30" s="81" t="str">
        <f>IFERROR(VLOOKUP($B30,Tarifa_all_20240711!$A$2:$G$660,2,FALSE()),"-")</f>
        <v>COMPLEMENTO D-DECOR FIJO NEGRO TEXT 3 MTS</v>
      </c>
      <c r="D30" s="81"/>
      <c r="E30" s="77">
        <v>1</v>
      </c>
      <c r="F30" s="78">
        <f>IFERROR(VLOOKUP($B30,Tarifa_all_20240711!$A$2:$G$660,5,FALSE()),"-")</f>
        <v>21.412500000000001</v>
      </c>
      <c r="G30" s="78">
        <f t="shared" si="0"/>
        <v>21.412500000000001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806.43000000000006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45812</v>
      </c>
    </row>
    <row r="10" spans="1:7" x14ac:dyDescent="0.25">
      <c r="A10" s="3" t="s">
        <v>82</v>
      </c>
      <c r="B10" s="11" t="str">
        <f>'DESPIECE (MATANALYSIS)'!C9</f>
        <v>Burriana</v>
      </c>
      <c r="C10" s="45"/>
      <c r="D10" s="45"/>
      <c r="E10" s="46"/>
      <c r="F10" s="47" t="s">
        <v>83</v>
      </c>
      <c r="G10" s="7">
        <f>'DESPIECE (MATANALYSIS)'!C7</f>
        <v>20250121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806.43000000000006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2025-06-03T16:28:50Z</cp:lastPrinted>
  <dcterms:created xsi:type="dcterms:W3CDTF">2024-04-15T12:43:19Z</dcterms:created>
  <dcterms:modified xsi:type="dcterms:W3CDTF">2025-06-04T10:08:34Z</dcterms:modified>
  <dc:language>es-ES</dc:language>
</cp:coreProperties>
</file>