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gom\Desktop\"/>
    </mc:Choice>
  </mc:AlternateContent>
  <xr:revisionPtr revIDLastSave="0" documentId="13_ncr:1_{A5B769A7-BA74-4CB8-A274-C9973BE3D74F}" xr6:coauthVersionLast="47" xr6:coauthVersionMax="47" xr10:uidLastSave="{00000000-0000-0000-0000-000000000000}"/>
  <bookViews>
    <workbookView xWindow="-1450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<sst xmlns="http://schemas.openxmlformats.org/spreadsheetml/2006/main" count="5402" uniqueCount="1453">
  <si>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</si>
  <si>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</si>
  <si>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</si>
  <si>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</si>
  <si>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</si>
  <si>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</si>
  <si>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</si>
  <si>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</si>
  <si>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</si>
  <si>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</si>
  <si>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</si>
  <si>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</si>
  <si>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</si>
  <si>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</si>
  <si>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</si>
  <si>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</si>
  <si>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</si>
  <si>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</si>
  <si>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</si>
  <si>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</si>
  <si>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</si>
  <si>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</si>
  <si>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</si>
  <si>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</si>
  <si>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</si>
  <si>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</si>
  <si>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</si>
  <si>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</si>
  <si>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</si>
  <si>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</si>
  <si>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</si>
  <si>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</si>
  <si>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</si>
  <si>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</si>
  <si>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</si>
  <si>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</si>
  <si>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</si>
  <si>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</si>
  <si>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</si>
  <si>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</si>
  <si>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</si>
  <si>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</si>
  <si>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</si>
  <si>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</si>
  <si>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</si>
  <si>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</si>
  <si>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</si>
  <si>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</si>
  <si>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</si>
  <si>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</si>
  <si>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</si>
  <si>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</si>
  <si>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</si>
  <si>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</si>
  <si>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</si>
  <si>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</si>
  <si>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</si>
  <si>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</si>
  <si>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</si>
  <si>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</si>
  <si>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</si>
  <si>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</si>
  <si>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</si>
  <si>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</si>
  <si>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</si>
  <si>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</si>
  <si>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</si>
  <si>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</si>
  <si>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</si>
  <si>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</si>
  <si>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</si>
  <si>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</si>
  <si>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</si>
  <si>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</si>
  <si>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</si>
  <si>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</si>
  <si>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</si>
  <si>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</si>
  <si>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</si>
  <si>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</si>
  <si>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</si>
  <si>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</si>
  <si>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</si>
  <si>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</si>
  <si>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</si>
  <si>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</si>
  <si>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</si>
  <si>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</si>
  <si>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</si>
  <si>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</si>
  <si>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</si>
  <si>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</si>
  <si>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</si>
  <si>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</si>
  <si>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</si>
  <si>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</si>
  <si>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</si>
  <si>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</si>
  <si>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</si>
  <si>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</si>
  <si>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</si>
  <si>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</si>
  <si>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</si>
  <si>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</si>
  <si>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</si>
  <si>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</si>
  <si>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</si>
  <si>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</si>
  <si>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</si>
  <si>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</si>
  <si>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</si>
  <si>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</si>
  <si>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</si>
  <si>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</si>
  <si>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</si>
  <si>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</si>
  <si>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</si>
  <si>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</si>
  <si>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</si>
  <si>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</si>
  <si>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</si>
  <si>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</si>
  <si>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</si>
  <si>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</si>
  <si>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</si>
  <si>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</si>
  <si>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</si>
  <si>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</si>
  <si>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</si>
  <si>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</si>
  <si>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</si>
  <si>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</si>
  <si>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</si>
  <si>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</si>
  <si>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</si>
  <si>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</si>
  <si>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</si>
  <si>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</si>
  <si>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</si>
  <si>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</si>
  <si>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</si>
  <si>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</si>
  <si>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</si>
  <si>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</si>
  <si>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</si>
  <si>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</si>
  <si>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</si>
  <si>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</si>
  <si>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</si>
  <si>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</si>
  <si>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</si>
  <si>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</si>
  <si>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</si>
  <si>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</si>
  <si>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</si>
  <si>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</si>
  <si>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</si>
  <si>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</si>
  <si>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</si>
  <si>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</si>
  <si>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</si>
  <si>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</si>
  <si>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</si>
  <si>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</si>
  <si>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</si>
  <si>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</si>
  <si>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</si>
  <si>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</si>
  <si>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</si>
  <si>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</si>
  <si>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</si>
  <si>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</si>
  <si>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</si>
  <si>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</si>
  <si>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</si>
  <si>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</si>
  <si>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</si>
  <si>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</si>
  <si>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</si>
  <si>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</si>
  <si>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</si>
  <si>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</si>
  <si>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</si>
  <si>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</si>
  <si>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</si>
  <si>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</si>
  <si>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</si>
  <si>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</si>
  <si>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</si>
  <si>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</si>
  <si>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</si>
  <si>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</si>
  <si>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</si>
  <si>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</si>
  <si>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</si>
  <si>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</si>
  <si>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</si>
  <si>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</si>
  <si>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</si>
  <si>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</si>
  <si>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</si>
  <si>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</si>
  <si>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</si>
  <si>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</si>
  <si>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</si>
  <si>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</si>
  <si>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</si>
  <si>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</si>
  <si>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</si>
  <si>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</si>
  <si>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</si>
  <si>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</si>
  <si>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</si>
  <si>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</si>
  <si>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</si>
  <si>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</si>
  <si>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</si>
  <si>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</si>
  <si>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</si>
  <si>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</si>
  <si>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</si>
  <si>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</si>
  <si>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</si>
  <si>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</si>
  <si>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</si>
  <si>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</si>
  <si>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</si>
  <si>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</si>
  <si>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</si>
  <si>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</si>
  <si>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</si>
  <si>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</si>
  <si>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</si>
  <si>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</si>
  <si>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</si>
  <si>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</si>
  <si>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</si>
  <si>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</si>
  <si>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</si>
  <si>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</si>
  <si>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</si>
  <si>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</si>
  <si>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</si>
  <si>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</si>
  <si>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</si>
  <si>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</si>
  <si>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</si>
  <si>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</si>
  <si>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</si>
  <si>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</si>
  <si>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</si>
  <si>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</si>
  <si>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</si>
  <si>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</si>
  <si>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</si>
  <si>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</si>
  <si>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</si>
  <si>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</si>
  <si>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</si>
  <si>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</si>
  <si>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</si>
  <si>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</si>
  <si>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</si>
  <si>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</si>
  <si>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</si>
  <si>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</si>
  <si>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</si>
  <si>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</si>
  <si>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</si>
  <si>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</si>
  <si>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</si>
  <si>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</si>
  <si>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</si>
  <si>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</si>
  <si>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</si>
  <si>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</si>
  <si>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</si>
  <si>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</si>
  <si>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</si>
  <si>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</si>
  <si>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</si>
  <si>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</si>
  <si>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</si>
  <si>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</si>
  <si>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</si>
  <si>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</si>
  <si>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</si>
  <si>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</si>
  <si>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</si>
  <si>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</si>
  <si>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</si>
  <si>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</si>
  <si>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</si>
  <si>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</si>
  <si>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</si>
  <si>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</si>
  <si>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</si>
  <si>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</si>
  <si>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</si>
  <si>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</si>
  <si>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</si>
  <si>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</si>
  <si>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</si>
  <si>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</si>
  <si>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</si>
  <si>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</si>
  <si>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</si>
  <si>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</si>
  <si>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</si>
  <si>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</si>
  <si>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</si>
  <si>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</si>
  <si>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</si>
  <si>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</si>
  <si>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</si>
  <si>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</si>
  <si>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</si>
  <si>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</si>
  <si>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</si>
  <si>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</si>
  <si>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</si>
  <si>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</si>
  <si>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</si>
  <si>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</si>
  <si>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</si>
  <si>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</si>
  <si>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</si>
  <si>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</si>
  <si>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</si>
  <si>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</si>
  <si>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</si>
  <si>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</si>
  <si>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</si>
  <si>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</si>
  <si>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</si>
  <si>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</si>
  <si>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</si>
  <si>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</si>
  <si>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</si>
  <si>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</si>
  <si>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</si>
  <si>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</si>
  <si>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</si>
  <si>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</si>
  <si>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</si>
  <si>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</si>
  <si>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</si>
  <si>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</si>
  <si>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</si>
  <si>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</si>
  <si>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</si>
  <si>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</si>
  <si>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</si>
  <si>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</si>
  <si>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</si>
  <si>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</si>
  <si>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</si>
  <si>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</si>
  <si>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</si>
  <si>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</si>
  <si>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</si>
  <si>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</si>
  <si>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</si>
  <si>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</si>
  <si>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</si>
  <si>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</si>
  <si>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</si>
  <si>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</si>
  <si>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</si>
  <si>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</si>
  <si>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</si>
  <si>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</si>
  <si>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</si>
  <si>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</si>
  <si>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</si>
  <si>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</si>
  <si>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</si>
  <si>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</si>
  <si>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</si>
  <si>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</si>
  <si>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</si>
  <si>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</si>
  <si>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</si>
  <si>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</si>
  <si>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</si>
  <si>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</si>
  <si>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</si>
  <si>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</si>
  <si>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</si>
  <si>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</si>
  <si>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</si>
  <si>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</si>
  <si>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</si>
  <si>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</si>
  <si>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</si>
  <si>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</si>
  <si>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</si>
  <si>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</si>
  <si>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</si>
  <si>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</si>
  <si>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</si>
  <si>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</si>
  <si>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</si>
  <si>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</si>
  <si>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</si>
  <si>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</si>
  <si>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</si>
  <si>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</si>
  <si>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</si>
  <si>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</si>
  <si>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</si>
  <si>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</si>
  <si>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</si>
  <si>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</si>
  <si>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</si>
  <si>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</si>
  <si>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</si>
  <si>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</si>
  <si>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</si>
  <si>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</si>
  <si>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</si>
  <si>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</si>
  <si>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</si>
  <si>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</si>
  <si>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</si>
  <si>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</si>
  <si>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</si>
  <si>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</si>
  <si>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</si>
  <si>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</si>
  <si>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</si>
  <si>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</si>
  <si>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</si>
  <si>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</si>
  <si>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</si>
  <si>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</si>
  <si>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</si>
  <si>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</si>
  <si>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</si>
  <si>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</si>
  <si>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</si>
  <si>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</si>
  <si>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</si>
  <si>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</si>
  <si>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</si>
  <si>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</si>
  <si>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</si>
  <si>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</si>
  <si>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</si>
  <si>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</si>
  <si>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</si>
  <si>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</si>
  <si>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</si>
  <si>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</si>
  <si>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</si>
  <si>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</si>
  <si>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</si>
  <si>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</si>
  <si>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</si>
  <si>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</si>
  <si>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</si>
  <si>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</si>
  <si>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</si>
  <si>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</si>
  <si>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</si>
  <si>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</si>
  <si>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</si>
  <si>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</si>
  <si>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</si>
  <si>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</si>
  <si>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</si>
  <si>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</si>
  <si>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</si>
  <si>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</si>
  <si>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</si>
  <si>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</si>
  <si>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</si>
  <si>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</si>
  <si>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</si>
  <si>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</si>
  <si>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</si>
  <si>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</si>
  <si>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</si>
  <si>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</si>
  <si>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</si>
  <si>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</si>
  <si>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</si>
  <si>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</si>
  <si>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</si>
  <si>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</si>
  <si>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</si>
  <si>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</si>
  <si>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</si>
  <si>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</si>
  <si>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</si>
  <si>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</si>
  <si>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</si>
  <si>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</si>
  <si>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</si>
  <si>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</si>
  <si>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</si>
  <si>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</si>
  <si>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</si>
  <si>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</si>
  <si>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</si>
  <si>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</si>
  <si>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</si>
  <si>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</si>
  <si>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</si>
  <si>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</si>
  <si>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</si>
  <si>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</si>
  <si>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</si>
  <si>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</si>
  <si>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</si>
  <si>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</si>
  <si>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</si>
  <si>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</si>
  <si>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</si>
  <si>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</si>
  <si>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</si>
  <si>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</si>
  <si>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</si>
  <si>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</si>
  <si>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</si>
  <si>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</si>
  <si>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</si>
  <si>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</si>
  <si>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</si>
  <si>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</si>
  <si>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</si>
  <si>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</si>
  <si>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</si>
  <si>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</si>
  <si>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</si>
  <si>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</si>
  <si>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</si>
  <si>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</si>
  <si>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</si>
  <si>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</si>
  <si>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</si>
  <si>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</si>
  <si>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</si>
  <si>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</si>
  <si>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</si>
  <si>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</si>
  <si>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</si>
  <si>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</si>
  <si>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</si>
  <si>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</si>
  <si>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</si>
  <si>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</si>
  <si>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</si>
  <si>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</si>
  <si>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</si>
  <si>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</si>
  <si>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</si>
  <si>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</si>
  <si>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</si>
  <si>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</si>
  <si>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</si>
  <si>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</si>
  <si>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</si>
  <si>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</si>
  <si>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</si>
  <si>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</si>
  <si>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</si>
  <si>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</si>
  <si>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</si>
  <si>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</si>
  <si>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</si>
  <si>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</si>
  <si>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</si>
  <si>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</si>
  <si>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</si>
  <si>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</si>
  <si>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</si>
  <si>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</si>
  <si>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</si>
  <si>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</si>
  <si>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</si>
  <si>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</si>
  <si>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</si>
  <si>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</si>
  <si>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</si>
  <si>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</si>
  <si>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</si>
  <si>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</si>
  <si>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</si>
  <si>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</si>
  <si>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</si>
  <si>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</si>
  <si>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</si>
  <si>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</si>
  <si>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</si>
  <si>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</si>
  <si>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</si>
  <si>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</si>
  <si>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</si>
  <si>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</si>
  <si>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</si>
  <si>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</si>
  <si>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</si>
  <si>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</si>
  <si>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</si>
  <si>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</si>
  <si>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</si>
  <si>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</si>
  <si>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</si>
  <si>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</si>
  <si>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</si>
  <si>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</si>
  <si>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</si>
  <si>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</si>
  <si>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</si>
  <si>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</si>
  <si>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</si>
  <si>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</si>
  <si>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</si>
  <si>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</si>
  <si>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</si>
  <si>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</si>
  <si>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</si>
  <si>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</si>
  <si>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</si>
  <si>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</si>
  <si>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</si>
  <si>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</si>
  <si>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</si>
  <si>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</si>
  <si>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</si>
  <si>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</si>
  <si>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</si>
  <si>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</si>
  <si>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</si>
  <si>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</si>
  <si>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</si>
  <si>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</si>
  <si>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</si>
  <si>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</si>
  <si>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</si>
  <si>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</si>
  <si>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</si>
  <si>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</si>
  <si>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</si>
  <si>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</si>
  <si>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</si>
  <si>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</si>
  <si>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</si>
  <si>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</si>
  <si>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</si>
  <si>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</si>
  <si>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</si>
  <si>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</si>
  <si>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</si>
  <si>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</si>
  <si>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</si>
  <si>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</si>
  <si>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</si>
  <si>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</si>
  <si>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</si>
  <si>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</si>
  <si>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</si>
  <si>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</si>
  <si>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</si>
  <si>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</si>
  <si>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</si>
  <si>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</si>
  <si>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</si>
  <si>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</si>
  <si>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</si>
  <si>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</si>
  <si>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</si>
  <si>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</si>
  <si>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</si>
  <si>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</si>
  <si>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</si>
  <si>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</si>
  <si>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</si>
  <si>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</si>
  <si>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</si>
  <si>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</si>
  <si>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</si>
  <si>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</si>
  <si>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</si>
  <si>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</si>
  <si>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</si>
  <si>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</si>
  <si>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</si>
  <si>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</si>
  <si>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</si>
  <si>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</si>
  <si>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</si>
  <si>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</si>
  <si>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</si>
  <si>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</si>
  <si>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</si>
  <si>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</si>
  <si>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</si>
  <si>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</si>
  <si>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</si>
  <si>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</si>
  <si>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</si>
  <si>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</si>
  <si>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</si>
  <si>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</si>
  <si>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</si>
  <si>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</si>
  <si>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</si>
  <si>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</si>
  <si>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</si>
  <si>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</si>
  <si>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</si>
  <si>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</si>
  <si>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</si>
  <si>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</si>
  <si>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</si>
  <si>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</si>
  <si>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</si>
  <si>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</si>
  <si>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</si>
  <si>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</si>
  <si>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</si>
  <si>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</si>
  <si>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</si>
  <si>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</si>
  <si>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</si>
  <si>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</si>
  <si>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</si>
  <si>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</si>
  <si>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</si>
  <si>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</si>
  <si>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</si>
  <si>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</si>
  <si>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</si>
  <si>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</si>
  <si>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</si>
  <si>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</si>
  <si>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</si>
  <si>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</si>
  <si>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</si>
  <si>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</si>
  <si>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</si>
  <si>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</si>
  <si>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</si>
  <si>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</si>
  <si>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</si>
  <si>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</si>
  <si>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</si>
  <si>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</si>
  <si>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</si>
  <si>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</si>
  <si>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</si>
  <si>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</si>
  <si>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</si>
  <si>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</si>
  <si>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</si>
  <si>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</si>
  <si>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</si>
  <si>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</si>
  <si>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</si>
  <si>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</si>
  <si>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</si>
  <si>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</si>
  <si>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</si>
  <si>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</si>
  <si>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</si>
  <si>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</si>
  <si>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</si>
  <si>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</si>
  <si>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</si>
  <si>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</si>
  <si>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</si>
  <si>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</si>
  <si>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</si>
  <si>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</si>
  <si>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</si>
  <si>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</si>
  <si>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</si>
  <si>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</si>
  <si>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</si>
  <si>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</si>
  <si>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</si>
  <si>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</si>
  <si>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</si>
  <si>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</si>
  <si>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</si>
  <si>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</si>
  <si>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</si>
  <si>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</si>
  <si>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</si>
  <si>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</si>
  <si>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</si>
  <si>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</si>
  <si>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</si>
  <si>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</si>
  <si>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</si>
  <si>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</si>
  <si>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</si>
  <si>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</si>
  <si>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</si>
  <si>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</si>
  <si>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</si>
  <si>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</si>
  <si>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</si>
  <si>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</si>
  <si>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</si>
  <si>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</si>
  <si>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</si>
  <si>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</si>
  <si>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</si>
  <si>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</si>
  <si>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</si>
  <si>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</si>
  <si>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</si>
  <si>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</si>
  <si>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</si>
  <si>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</si>
  <si>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</si>
  <si>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</si>
  <si>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</si>
  <si>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</si>
  <si>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</si>
  <si>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</si>
  <si>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</si>
  <si>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</si>
  <si>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</si>
  <si>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</si>
  <si>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</si>
  <si>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</si>
  <si>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</si>
  <si>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</si>
  <si>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</si>
  <si>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</si>
  <si>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</si>
  <si>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</si>
  <si>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</si>
  <si>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</si>
  <si>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</si>
  <si>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</si>
  <si>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</si>
  <si>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</si>
  <si>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</si>
  <si>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</si>
  <si>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</si>
  <si>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</si>
  <si>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</si>
  <si>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</si>
  <si>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</si>
  <si>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</si>
  <si>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</si>
  <si>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</si>
  <si>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</si>
  <si>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</si>
  <si>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</si>
  <si>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</si>
  <si>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</si>
  <si>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</si>
  <si>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</si>
  <si>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</si>
  <si>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</si>
  <si>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</si>
  <si>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</si>
  <si>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</si>
  <si>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</si>
  <si>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</si>
  <si>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</si>
  <si>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</si>
  <si>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</si>
  <si>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</si>
  <si>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</si>
  <si>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</si>
  <si>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</si>
  <si>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</si>
  <si>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</si>
  <si>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</si>
  <si>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</si>
  <si>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</si>
  <si>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</si>
  <si>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</si>
  <si>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</si>
  <si>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</si>
  <si>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</si>
  <si>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</si>
  <si>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</si>
  <si>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</si>
  <si>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</si>
  <si>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</si>
  <si>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</si>
  <si>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</si>
  <si>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</si>
  <si>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</si>
  <si>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</si>
  <si>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</si>
  <si>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</si>
  <si>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</si>
  <si>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</si>
  <si>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</si>
  <si>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</si>
  <si>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</si>
  <si>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</si>
  <si>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</si>
  <si>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</si>
  <si>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</si>
  <si>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</si>
  <si>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</si>
  <si>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</si>
  <si>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</si>
  <si>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</si>
  <si>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</si>
  <si>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</si>
  <si>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</si>
  <si>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</si>
  <si>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</si>
  <si>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</si>
  <si>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</si>
  <si>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</si>
  <si>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</si>
  <si>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</si>
  <si>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</si>
  <si>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</si>
  <si>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</si>
  <si>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</si>
  <si>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</si>
  <si>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</si>
  <si>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</si>
  <si>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</si>
  <si>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</si>
  <si>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</si>
  <si>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</si>
  <si>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</si>
  <si>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</si>
  <si>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</si>
  <si>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</si>
  <si>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</si>
  <si>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</si>
  <si>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</si>
  <si>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</si>
  <si>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</si>
  <si>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</si>
  <si>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</si>
  <si>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</si>
  <si>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</si>
  <si>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</si>
  <si>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</si>
  <si>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</si>
  <si>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</si>
  <si>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</si>
  <si>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</si>
  <si>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</si>
  <si>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</si>
  <si>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</si>
  <si>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</si>
  <si>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</si>
  <si>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</si>
  <si>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</si>
  <si>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</si>
  <si>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</si>
  <si>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</si>
  <si>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</si>
  <si>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</si>
  <si>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</si>
  <si>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</si>
  <si>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</si>
  <si>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</si>
  <si>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</si>
  <si>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</si>
  <si>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</si>
  <si>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</si>
  <si>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</si>
  <si>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</si>
  <si>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</si>
  <si>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</si>
  <si>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</si>
  <si>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</si>
  <si>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</si>
  <si>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</si>
  <si>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</si>
  <si>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</si>
  <si>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</si>
  <si>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</si>
  <si>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</si>
  <si>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</si>
  <si>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</si>
  <si>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</si>
  <si>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</si>
  <si>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</si>
  <si>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</si>
  <si>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</si>
  <si>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</si>
  <si>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</si>
  <si>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</si>
  <si>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</si>
  <si>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</si>
  <si>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</si>
  <si>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</si>
  <si>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</si>
  <si>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</si>
  <si>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</si>
  <si>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</si>
  <si>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</si>
  <si>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</si>
  <si>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</si>
  <si>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</si>
  <si>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</si>
  <si>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</si>
  <si>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</si>
  <si>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</si>
  <si>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</si>
  <si>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</si>
  <si>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</si>
  <si>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</si>
  <si>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</si>
  <si>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</si>
  <si>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</si>
  <si>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</si>
  <si>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</si>
  <si>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</si>
  <si>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</si>
  <si>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</si>
  <si>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</si>
  <si>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</si>
  <si>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</si>
  <si>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</si>
  <si>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</si>
  <si>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</si>
  <si>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</si>
  <si>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</si>
  <si>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</si>
  <si>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</si>
  <si>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</si>
  <si>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</si>
  <si>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</si>
  <si>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</si>
  <si>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</si>
  <si>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</si>
  <si>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</si>
  <si>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</si>
  <si>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</si>
  <si>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</si>
  <si>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</si>
  <si>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</si>
  <si>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</si>
  <si>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</si>
  <si>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</si>
  <si>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</si>
  <si>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</si>
  <si>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</si>
  <si>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</si>
  <si>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</si>
  <si>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</si>
  <si>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</si>
  <si>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</si>
  <si>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</si>
  <si>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</si>
  <si>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</si>
  <si>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</si>
  <si>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</si>
  <si>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</si>
  <si>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</si>
  <si>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</si>
  <si>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</si>
  <si>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</si>
  <si>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</si>
  <si>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</si>
  <si>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</si>
  <si>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</si>
  <si>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</si>
  <si>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</si>
  <si>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</si>
  <si>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</si>
  <si>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</si>
  <si>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</si>
  <si>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</si>
  <si>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</si>
  <si>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</si>
  <si>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</si>
  <si>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</si>
  <si>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</si>
  <si>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</si>
  <si>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</si>
  <si>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</si>
  <si>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</si>
  <si>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</si>
  <si>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</si>
  <si>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</si>
  <si>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</si>
  <si>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</si>
  <si>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</si>
  <si>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</si>
  <si>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</si>
  <si>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</si>
  <si>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</si>
  <si>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</si>
  <si>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</si>
  <si>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</si>
  <si>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</si>
  <si>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</si>
  <si>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</si>
  <si>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</si>
  <si>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</si>
  <si>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</si>
  <si>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</si>
  <si>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</si>
  <si>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</si>
  <si>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</si>
  <si>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</si>
  <si>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</si>
  <si>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</si>
  <si>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</si>
  <si>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</si>
  <si>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</si>
  <si>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</si>
  <si>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</si>
  <si>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</si>
  <si>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</si>
  <si>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</si>
  <si>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</si>
  <si>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</si>
  <si>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</si>
  <si>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</si>
  <si>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</si>
  <si>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</si>
  <si>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</si>
  <si>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</si>
  <si>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</si>
  <si>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</si>
  <si>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</si>
  <si>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</si>
  <si>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</si>
  <si>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</si>
  <si>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</si>
  <si>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</si>
  <si>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</si>
  <si>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</si>
  <si>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</si>
  <si>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</si>
  <si>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</si>
  <si>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</si>
  <si>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</si>
  <si>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</si>
  <si>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</si>
  <si>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</si>
  <si>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</si>
  <si>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</si>
  <si>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</si>
  <si>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</si>
  <si>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</si>
  <si>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</si>
  <si>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</si>
  <si>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</si>
  <si>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</si>
  <si>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</si>
  <si>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</si>
  <si>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</si>
  <si>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</si>
  <si>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</si>
  <si>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</si>
  <si>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</si>
  <si>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</si>
  <si>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</si>
  <si>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</si>
  <si>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</si>
  <si>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</si>
  <si>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</si>
  <si>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</si>
  <si>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</si>
  <si>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</si>
  <si>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</si>
  <si>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</si>
  <si>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</si>
  <si>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</si>
  <si>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</si>
  <si>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</si>
  <si>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</si>
  <si>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</si>
  <si>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</si>
  <si>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</si>
  <si>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</si>
  <si>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</si>
  <si>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</si>
  <si>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</si>
  <si>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</si>
  <si>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</si>
  <si>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</si>
  <si>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</si>
  <si>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</si>
  <si>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</si>
  <si>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</si>
  <si>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</si>
  <si>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</si>
  <si>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</si>
  <si>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</si>
  <si>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</si>
  <si>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</si>
  <si>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</si>
  <si>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</si>
  <si>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</si>
  <si>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</si>
  <si>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</si>
  <si>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</si>
  <si>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</si>
  <si>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</si>
  <si>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</si>
  <si>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</si>
  <si>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</si>
  <si>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</si>
  <si>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</si>
  <si>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</si>
  <si>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</si>
  <si>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</si>
  <si>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</si>
  <si>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</si>
  <si>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</si>
  <si>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</si>
  <si>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</si>
  <si>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</si>
  <si>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</si>
  <si>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</si>
  <si>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</si>
  <si>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</si>
  <si>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</si>
  <si>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</si>
  <si>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</si>
  <si>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</si>
  <si>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</si>
  <si>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</si>
  <si>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</si>
  <si>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</si>
  <si>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</si>
  <si>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</si>
  <si>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</si>
  <si>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</si>
  <si>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</si>
  <si>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</si>
  <si>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</si>
  <si>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</si>
  <si>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</si>
  <si>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</si>
  <si>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</si>
  <si>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</si>
  <si>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</si>
  <si>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</si>
  <si>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</si>
  <si>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</si>
  <si>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</si>
  <si>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</si>
  <si>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</si>
  <si>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</si>
  <si>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</si>
  <si>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</si>
  <si>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</si>
  <si>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</si>
  <si>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</si>
  <si>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</si>
  <si>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</si>
  <si>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</si>
  <si>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</si>
  <si>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</si>
  <si>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</si>
  <si>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</si>
  <si>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</si>
  <si>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</si>
  <si>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</si>
  <si>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</si>
  <si>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</si>
  <si>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</si>
  <si>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</si>
  <si>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</si>
  <si>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</si>
  <si>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</si>
  <si>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</si>
  <si>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</si>
  <si>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</si>
  <si>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</si>
  <si>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</si>
  <si>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</si>
  <si>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</si>
  <si>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</si>
  <si>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</si>
  <si>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</si>
  <si>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</si>
  <si>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</si>
  <si>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</si>
  <si>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</si>
  <si>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</si>
  <si>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</si>
  <si>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</si>
  <si>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</si>
  <si>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</si>
  <si>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</si>
  <si>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</si>
  <si>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</si>
  <si>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</si>
  <si>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</si>
  <si>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</si>
  <si>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</si>
  <si>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</si>
  <si>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</si>
  <si>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</si>
  <si>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</si>
  <si>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</si>
  <si>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</si>
  <si>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</si>
  <si>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</si>
  <si>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</si>
  <si>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</si>
  <si>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</si>
  <si>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</si>
  <si>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</si>
  <si>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</si>
  <si>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</si>
  <si>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</si>
  <si>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</si>
  <si>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</si>
  <si>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</si>
  <si>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</si>
  <si>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</si>
  <si>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</si>
  <si>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</si>
  <si>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</si>
  <si>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</si>
  <si>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</si>
  <si>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</si>
  <si>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</si>
  <si>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</si>
  <si>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</si>
  <si>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</si>
  <si>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</si>
  <si>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</si>
  <si>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</si>
  <si>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</si>
  <si>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</si>
  <si>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</si>
  <si>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</si>
  <si>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</si>
  <si>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</si>
  <si>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</si>
  <si>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</si>
  <si>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</si>
  <si>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</si>
  <si>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</si>
  <si>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</si>
  <si>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</si>
  <si>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</si>
  <si>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</si>
  <si>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</si>
  <si>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</si>
  <si>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</si>
  <si>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</si>
  <si>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</si>
  <si>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</si>
  <si>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</si>
  <si>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</si>
  <si>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</si>
  <si>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</si>
  <si>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</si>
  <si>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</si>
  <si>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</si>
  <si>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</si>
  <si>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</si>
  <si>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</si>
  <si>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</si>
  <si>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</si>
  <si>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</si>
  <si>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</si>
  <si>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</si>
  <si>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</si>
  <si>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</si>
  <si>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</si>
  <si>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</si>
  <si>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</si>
  <si>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</si>
  <si>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</si>
  <si>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</si>
  <si>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</si>
  <si>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</si>
  <si>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</si>
  <si>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</si>
  <si>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</si>
  <si>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</si>
  <si>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</si>
  <si>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</si>
  <si>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</si>
  <si>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</si>
  <si>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</si>
  <si>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</si>
  <si>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</si>
  <si>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</si>
  <si>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</si>
  <si>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</si>
  <si>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</si>
  <si>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</si>
  <si>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</si>
  <si>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</si>
  <si>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</si>
  <si>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</si>
  <si>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</si>
  <si>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</si>
  <si>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</si>
  <si>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</si>
  <si>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</si>
  <si>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</si>
  <si>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</si>
  <si>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</si>
  <si>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</si>
  <si>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</si>
  <si>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</si>
  <si>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</si>
  <si>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</si>
  <si>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</si>
  <si>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</si>
  <si>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</si>
  <si>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</si>
  <si>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</si>
  <si>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</si>
  <si>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</si>
  <si>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</si>
  <si>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</si>
  <si>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</si>
  <si>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</si>
  <si>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</si>
  <si>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</si>
  <si>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</si>
  <si>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</si>
  <si>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</si>
  <si>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</si>
  <si>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</si>
  <si>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</si>
  <si>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</si>
  <si>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</si>
  <si>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</si>
  <si>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</si>
  <si>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</si>
  <si>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</si>
  <si>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</si>
  <si>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</si>
  <si>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</si>
  <si>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</si>
  <si>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</si>
  <si>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</si>
  <si>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</si>
  <si>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</si>
  <si>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</si>
  <si>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</si>
  <si>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</si>
  <si>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</si>
  <si>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</si>
  <si>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</si>
  <si>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</si>
  <si>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</si>
  <si>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Cristalum Gandia</t>
  </si>
  <si>
    <t>Primo Sergio DC2 - Corredera 35008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</si>
</sst>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6" fillId="2" borderId="0" xfId="0" applyFont="1" applyFill="1" applyAlignment="1">
      <alignment horizontal="left"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 wrapText="1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F21" sqref="F21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9" t="s">
        <v>1</v>
      </c>
      <c r="F3" s="79"/>
      <c r="G3" s="79"/>
      <c r="H3" s="80"/>
      <c r="I3" s="80"/>
      <c r="J3" s="80"/>
      <c r="K3" s="80"/>
      <c r="L3" s="80"/>
    </row>
    <row r="5" spans="1:12" ht="18.75" x14ac:dyDescent="0.25">
      <c r="B5" s="81" t="s">
        <v>2</v>
      </c>
      <c r="C5" s="81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20250181</v>
      </c>
      <c r="G7" s="8">
        <f ca="1">TODAY()</f>
        <v>45917</v>
      </c>
    </row>
    <row r="8" spans="1:12" x14ac:dyDescent="0.25">
      <c r="B8" s="9" t="s">
        <v>6</v>
      </c>
      <c r="C8" s="10" t="s">
        <v>1451</v>
      </c>
    </row>
    <row r="9" spans="1:12" ht="30" x14ac:dyDescent="0.25">
      <c r="B9" s="3" t="s">
        <v>7</v>
      </c>
      <c r="C9" s="91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894</v>
      </c>
      <c r="C13" s="82" t="str">
        <f>IFERROR(VLOOKUP($B13,Tarifa_all_20240711!$A$2:$G$660,2,FALSE()),"-")</f>
        <v>GUIA SUP PARED PLUS LAC.NEGRO TEXTURADO-2 MTS</v>
      </c>
      <c r="D13" s="82"/>
      <c r="E13" s="17">
        <v>1</v>
      </c>
      <c r="F13" s="18">
        <f>IFERROR(VLOOKUP($B13,Tarifa_all_20240711!$A$2:$G$660,5,FALSE()),"-")</f>
        <v>61.47</v>
      </c>
      <c r="G13" s="18">
        <f t="shared" ref="G13:G30" si="0">IFERROR(E13*F13,"-")</f>
        <v>61.47</v>
      </c>
      <c r="H13" s="1"/>
    </row>
    <row r="14" spans="1:12" x14ac:dyDescent="0.25">
      <c r="A14" t="s">
        <v>15</v>
      </c>
      <c r="B14" s="16" t="s">
        <v>1427</v>
      </c>
      <c r="C14" s="82" t="str">
        <f>IFERROR(VLOOKUP($B14,Tarifa_all_20240711!$A$2:$G$660,2,FALSE()),"-")</f>
        <v>TAPETA LAT. GUIA SKY PARED PLUS DERECHA NEGRO MATE</v>
      </c>
      <c r="D14" s="82"/>
      <c r="E14" s="17">
        <v>1</v>
      </c>
      <c r="F14" s="18">
        <f>IFERROR(VLOOKUP($B14,Tarifa_all_20240711!$A$2:$G$660,5,FALSE()),"-")</f>
        <v>12.585000000000001</v>
      </c>
      <c r="G14" s="18">
        <f t="shared" si="0"/>
        <v>12.585000000000001</v>
      </c>
      <c r="H14" s="1"/>
    </row>
    <row r="15" spans="1:12" x14ac:dyDescent="0.25">
      <c r="A15" t="s">
        <v>16</v>
      </c>
      <c r="B15" s="16" t="s">
        <v>1431</v>
      </c>
      <c r="C15" s="82" t="str">
        <f>IFERROR(VLOOKUP($B15,Tarifa_all_20240711!$A$2:$G$660,2,FALSE()),"-")</f>
        <v>TAPETA LAT. GUIA SKY PARED PLUS IZQUIERDA NEGRO MATE</v>
      </c>
      <c r="D15" s="82"/>
      <c r="E15" s="17">
        <v>1</v>
      </c>
      <c r="F15" s="18">
        <f>IFERROR(VLOOKUP($B15,Tarifa_all_20240711!$A$2:$G$660,5,FALSE()),"-")</f>
        <v>12.585000000000001</v>
      </c>
      <c r="G15" s="18">
        <f t="shared" si="0"/>
        <v>12.585000000000001</v>
      </c>
      <c r="H15" s="1"/>
    </row>
    <row r="16" spans="1:12" x14ac:dyDescent="0.25">
      <c r="A16" t="s">
        <v>17</v>
      </c>
      <c r="B16" s="16" t="s">
        <v>341</v>
      </c>
      <c r="C16" s="82" t="str">
        <f>IFERROR(VLOOKUP($B16,Tarifa_all_20240711!$A$2:$G$660,2,FALSE()),"-")</f>
        <v>KIT AMORTIGUADOR SKY BIDIRECCIONAL 60KG</v>
      </c>
      <c r="D16" s="82"/>
      <c r="E16" s="17">
        <v>1</v>
      </c>
      <c r="F16" s="18">
        <f>IFERROR(VLOOKUP($B16,Tarifa_all_20240711!$A$2:$G$660,5,FALSE()),"-")</f>
        <v>30.599999999999998</v>
      </c>
      <c r="G16" s="18">
        <f t="shared" si="0"/>
        <v>30.599999999999998</v>
      </c>
      <c r="H16" s="1"/>
    </row>
    <row r="17" spans="1:8" x14ac:dyDescent="0.25">
      <c r="A17" t="s">
        <v>18</v>
      </c>
      <c r="B17" s="16" t="s">
        <v>134</v>
      </c>
      <c r="C17" s="82" t="str">
        <f>IFERROR(VLOOKUP($B17,Tarifa_all_20240711!$A$2:$G$660,2,FALSE()),"-")</f>
        <v>KIT PUERTA PA CORREDERA LAC.NEGRO TEXTURADO</v>
      </c>
      <c r="D17" s="82"/>
      <c r="E17" s="17">
        <v>1</v>
      </c>
      <c r="F17" s="18">
        <f>IFERROR(VLOOKUP($B17,Tarifa_all_20240711!$A$2:$G$660,5,FALSE()),"-")</f>
        <v>215.65500000000003</v>
      </c>
      <c r="G17" s="18">
        <f t="shared" si="0"/>
        <v>215.65500000000003</v>
      </c>
      <c r="H17" s="1"/>
    </row>
    <row r="18" spans="1:8" x14ac:dyDescent="0.25">
      <c r="A18" t="s">
        <v>19</v>
      </c>
      <c r="B18" s="16" t="s">
        <v>335</v>
      </c>
      <c r="C18" s="82" t="str">
        <f>IFERROR(VLOOKUP($B18,Tarifa_all_20240711!$A$2:$G$660,2,FALSE()),"-")</f>
        <v>CARRO SKY MADERA 60KG</v>
      </c>
      <c r="D18" s="82"/>
      <c r="E18" s="17">
        <v>1</v>
      </c>
      <c r="F18" s="18">
        <f>IFERROR(VLOOKUP($B18,Tarifa_all_20240711!$A$2:$G$660,5,FALSE()),"-")</f>
        <v>16.634999999999998</v>
      </c>
      <c r="G18" s="18">
        <f t="shared" si="0"/>
        <v>16.634999999999998</v>
      </c>
      <c r="H18" s="1"/>
    </row>
    <row r="19" spans="1:8" x14ac:dyDescent="0.25">
      <c r="A19" t="s">
        <v>20</v>
      </c>
      <c r="B19" s="16" t="s">
        <v>515</v>
      </c>
      <c r="C19" s="82" t="str">
        <f>IFERROR(VLOOKUP($B19,Tarifa_all_20240711!$A$2:$G$660,2,FALSE()),"-")</f>
        <v>TIRADOR RECT.ADH CAVE LAC.NEGRO TEXTURADO: 2 UDS</v>
      </c>
      <c r="D19" s="82"/>
      <c r="E19" s="17">
        <v>1</v>
      </c>
      <c r="F19" s="18">
        <f>IFERROR(VLOOKUP($B19,Tarifa_all_20240711!$A$2:$G$660,5,FALSE()),"-")</f>
        <v>59.122500000000002</v>
      </c>
      <c r="G19" s="18">
        <f t="shared" si="0"/>
        <v>59.122500000000002</v>
      </c>
      <c r="H19" s="1"/>
    </row>
    <row r="20" spans="1:8" x14ac:dyDescent="0.25">
      <c r="A20" t="s">
        <v>21</v>
      </c>
      <c r="B20" s="16" t="s">
        <v>1136</v>
      </c>
      <c r="C20" s="82" t="str">
        <f>IFERROR(VLOOKUP($B20,Tarifa_all_20240711!$A$2:$G$660,2,FALSE()),"-")</f>
        <v>GUIADOR FIJO PA LAC.NEGRO TEXTURADO</v>
      </c>
      <c r="D20" s="82"/>
      <c r="E20" s="17">
        <v>1</v>
      </c>
      <c r="F20" s="18">
        <f>IFERROR(VLOOKUP($B20,Tarifa_all_20240711!$A$2:$G$660,5,FALSE()),"-")</f>
        <v>8.61</v>
      </c>
      <c r="G20" s="18">
        <f t="shared" si="0"/>
        <v>8.61</v>
      </c>
      <c r="H20" s="1"/>
    </row>
    <row r="21" spans="1:8" x14ac:dyDescent="0.25">
      <c r="A21" t="s">
        <v>22</v>
      </c>
      <c r="B21" s="16" t="s">
        <v>143</v>
      </c>
      <c r="C21" s="82" t="str">
        <f>IFERROR(VLOOKUP($B21,Tarifa_all_20240711!$A$2:$G$660,2,FALSE()),"-")</f>
        <v>PERFIL EMBELL.HORIZ. ADH LAC.NEGRO TEXTURADO</v>
      </c>
      <c r="D21" s="82"/>
      <c r="E21" s="17">
        <v>2</v>
      </c>
      <c r="F21" s="18">
        <f>IFERROR(VLOOKUP($B21,Tarifa_all_20240711!$A$2:$G$660,5,FALSE()),"-")</f>
        <v>21.794999999999998</v>
      </c>
      <c r="G21" s="18">
        <f t="shared" si="0"/>
        <v>43.589999999999996</v>
      </c>
      <c r="H21" s="1"/>
    </row>
    <row r="22" spans="1:8" x14ac:dyDescent="0.25">
      <c r="B22" s="76"/>
      <c r="C22" s="84" t="str">
        <f>IFERROR(VLOOKUP($B22,Tarifa_all_20240711!$A$2:$G$660,2,FALSE()),"-")</f>
        <v>-</v>
      </c>
      <c r="D22" s="84"/>
      <c r="E22" s="77"/>
      <c r="F22" s="78" t="str">
        <f>IFERROR(VLOOKUP($B22,Tarifa_all_20240711!$A$2:$G$660,5,FALSE()),"-")</f>
        <v>-</v>
      </c>
      <c r="G22" s="78" t="str">
        <f t="shared" si="0"/>
        <v>-</v>
      </c>
      <c r="H22" s="1"/>
    </row>
    <row r="23" spans="1:8" x14ac:dyDescent="0.25">
      <c r="B23" s="76"/>
      <c r="C23" s="84" t="str">
        <f>IFERROR(VLOOKUP($B23,Tarifa_all_20240711!$A$2:$G$660,2,FALSE()),"-")</f>
        <v>-</v>
      </c>
      <c r="D23" s="84"/>
      <c r="E23" s="77"/>
      <c r="F23" s="78" t="str">
        <f>IFERROR(VLOOKUP($B23,Tarifa_all_20240711!$A$2:$G$660,5,FALSE()),"-")</f>
        <v>-</v>
      </c>
      <c r="G23" s="78" t="str">
        <f t="shared" si="0"/>
        <v>-</v>
      </c>
      <c r="H23" s="1"/>
    </row>
    <row r="24" spans="1:8" x14ac:dyDescent="0.25">
      <c r="B24" s="76"/>
      <c r="C24" s="84" t="str">
        <f>IFERROR(VLOOKUP($B24,Tarifa_all_20240711!$A$2:$G$660,2,FALSE()),"-")</f>
        <v>-</v>
      </c>
      <c r="D24" s="84"/>
      <c r="E24" s="77"/>
      <c r="F24" s="78" t="str">
        <f>IFERROR(VLOOKUP($B24,Tarifa_all_20240711!$A$2:$G$660,5,FALSE()),"-")</f>
        <v>-</v>
      </c>
      <c r="G24" s="78" t="str">
        <f t="shared" si="0"/>
        <v>-</v>
      </c>
      <c r="H24" s="1"/>
    </row>
    <row r="25" spans="1:8" x14ac:dyDescent="0.25">
      <c r="B25" s="76"/>
      <c r="C25" s="84" t="str">
        <f>IFERROR(VLOOKUP($B25,Tarifa_all_20240711!$A$2:$G$660,2,FALSE()),"-")</f>
        <v>-</v>
      </c>
      <c r="D25" s="84"/>
      <c r="E25" s="77"/>
      <c r="F25" s="78" t="str">
        <f>IFERROR(VLOOKUP($B25,Tarifa_all_20240711!$A$2:$G$660,5,FALSE()),"-")</f>
        <v>-</v>
      </c>
      <c r="G25" s="78" t="str">
        <f t="shared" si="0"/>
        <v>-</v>
      </c>
      <c r="H25" s="1"/>
    </row>
    <row r="26" spans="1:8" x14ac:dyDescent="0.25">
      <c r="B26" s="76"/>
      <c r="C26" s="84" t="str">
        <f>IFERROR(VLOOKUP($B26,Tarifa_all_20240711!$A$2:$G$660,2,FALSE()),"-")</f>
        <v>-</v>
      </c>
      <c r="D26" s="84"/>
      <c r="E26" s="77"/>
      <c r="F26" s="78" t="str">
        <f>IFERROR(VLOOKUP($B26,Tarifa_all_20240711!$A$2:$G$660,5,FALSE()),"-")</f>
        <v>-</v>
      </c>
      <c r="G26" s="78" t="str">
        <f t="shared" si="0"/>
        <v>-</v>
      </c>
      <c r="H26" s="1"/>
    </row>
    <row r="27" spans="1:8" x14ac:dyDescent="0.25">
      <c r="B27" s="76"/>
      <c r="C27" s="84" t="str">
        <f>IFERROR(VLOOKUP($B27,Tarifa_all_20240711!$A$2:$G$660,2,FALSE()),"-")</f>
        <v>-</v>
      </c>
      <c r="D27" s="84"/>
      <c r="E27" s="77"/>
      <c r="F27" s="78" t="str">
        <f>IFERROR(VLOOKUP($B27,Tarifa_all_20240711!$A$2:$G$660,5,FALSE()),"-")</f>
        <v>-</v>
      </c>
      <c r="G27" s="78" t="str">
        <f t="shared" si="0"/>
        <v>-</v>
      </c>
      <c r="H27" s="1"/>
    </row>
    <row r="28" spans="1:8" x14ac:dyDescent="0.25">
      <c r="B28" s="16"/>
      <c r="C28" s="82" t="str">
        <f>IFERROR(VLOOKUP($B28,Tarifa_all_20240711!$A$2:$G$660,2,FALSE()),"-")</f>
        <v>-</v>
      </c>
      <c r="D28" s="82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8" x14ac:dyDescent="0.25">
      <c r="B29" s="16"/>
      <c r="C29" s="82" t="str">
        <f>IFERROR(VLOOKUP($B29,Tarifa_all_20240711!$A$2:$G$660,2,FALSE()),"-")</f>
        <v>-</v>
      </c>
      <c r="D29" s="82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8" x14ac:dyDescent="0.25">
      <c r="B30" s="16"/>
      <c r="C30" s="82" t="str">
        <f>IFERROR(VLOOKUP($B30,Tarifa_all_20240711!$A$2:$G$660,2,FALSE()),"-")</f>
        <v>-</v>
      </c>
      <c r="D30" s="82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460.85250000000002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3"/>
      <c r="E52" s="83"/>
      <c r="F52" s="83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9" t="s">
        <v>78</v>
      </c>
      <c r="F2" s="79"/>
      <c r="G2" s="79"/>
    </row>
    <row r="3" spans="1:7" ht="18" customHeight="1" x14ac:dyDescent="0.35">
      <c r="E3" s="79" t="s">
        <v>1</v>
      </c>
      <c r="F3" s="79"/>
      <c r="G3" s="79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9" t="s">
        <v>79</v>
      </c>
      <c r="B6" s="89"/>
      <c r="C6" s="8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90" t="str">
        <f>'DESPIECE (MATANALYSIS)'!C8</f>
        <v>Cristalum Gandia</v>
      </c>
      <c r="C9" s="90"/>
      <c r="D9" s="90"/>
      <c r="F9" s="3" t="s">
        <v>81</v>
      </c>
      <c r="G9" s="44">
        <f ca="1">TODAY()</f>
        <v>45917</v>
      </c>
    </row>
    <row r="10" spans="1:7" x14ac:dyDescent="0.25">
      <c r="A10" s="3" t="s">
        <v>82</v>
      </c>
      <c r="B10" s="11" t="str">
        <f>'DESPIECE (MATANALYSIS)'!C9</f>
        <v>Primo Sergio DC2 - Corredera 35008</v>
      </c>
      <c r="C10" s="45"/>
      <c r="D10" s="45"/>
      <c r="E10" s="46"/>
      <c r="F10" s="47" t="s">
        <v>83</v>
      </c>
      <c r="G10" s="7">
        <f>'DESPIECE (MATANALYSIS)'!C7</f>
        <v>20250181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5"/>
      <c r="B46" s="85"/>
      <c r="C46" s="71"/>
      <c r="D46" s="71"/>
      <c r="E46" s="71"/>
      <c r="F46" s="72"/>
      <c r="G46" s="73"/>
    </row>
    <row r="47" spans="1:7" ht="22.7" customHeight="1" x14ac:dyDescent="0.25">
      <c r="A47" s="86" t="s">
        <v>99</v>
      </c>
      <c r="B47" s="86"/>
      <c r="C47" s="59"/>
      <c r="D47" s="59"/>
      <c r="E47" s="59"/>
      <c r="F47" s="87">
        <f>'DESPIECE (MATANALYSIS)'!G31</f>
        <v>460.85250000000002</v>
      </c>
      <c r="G47" s="87"/>
    </row>
    <row r="48" spans="1:7" s="1" customFormat="1" ht="22.7" customHeight="1" x14ac:dyDescent="0.25">
      <c r="A48" s="88" t="s">
        <v>100</v>
      </c>
      <c r="B48" s="88"/>
      <c r="C48" s="88"/>
      <c r="D48" s="88"/>
      <c r="E48" s="88"/>
      <c r="F48" s="88"/>
      <c r="G48" s="8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cp:lastPrinted>2025-09-17T08:39:48Z</cp:lastPrinted>
  <dcterms:created xsi:type="dcterms:W3CDTF">2024-04-15T12:43:19Z</dcterms:created>
  <dcterms:modified xsi:type="dcterms:W3CDTF">2025-09-17T08:46:00Z</dcterms:modified>
  <dc:language>es-ES</dc:language>
</cp:coreProperties>
</file>