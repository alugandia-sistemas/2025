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_{15925272-8A6E-4FC3-B4F0-60DCE9C17354}" xr6:coauthVersionLast="47" xr6:coauthVersionMax="47" xr10:uidLastSave="{00000000-0000-0000-0000-000000000000}"/>
  <bookViews>
    <workbookView xWindow="-1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<sst xmlns="http://schemas.openxmlformats.org/spreadsheetml/2006/main" count="5407" uniqueCount="1453">
  <si>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</si>
  <si>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</si>
  <si>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</si>
  <si>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</si>
  <si>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</si>
  <si>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</si>
  <si>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</si>
  <si>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</si>
  <si>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</si>
  <si>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</si>
  <si>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</si>
  <si>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</si>
  <si>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</si>
  <si>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</si>
  <si>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</si>
  <si>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</si>
  <si>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</si>
  <si>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</si>
  <si>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</si>
  <si>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</si>
  <si>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</si>
  <si>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</si>
  <si>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</si>
  <si>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</si>
  <si>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</si>
  <si>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</si>
  <si>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</si>
  <si>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</si>
  <si>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</si>
  <si>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</si>
  <si>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</si>
  <si>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</si>
  <si>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</si>
  <si>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</si>
  <si>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</si>
  <si>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</si>
  <si>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</si>
  <si>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</si>
  <si>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</si>
  <si>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</si>
  <si>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</si>
  <si>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</si>
  <si>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</si>
  <si>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</si>
  <si>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</si>
  <si>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</si>
  <si>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</si>
  <si>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</si>
  <si>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</si>
  <si>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</si>
  <si>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</si>
  <si>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</si>
  <si>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</si>
  <si>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</si>
  <si>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</si>
  <si>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</si>
  <si>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</si>
  <si>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</si>
  <si>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</si>
  <si>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</si>
  <si>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</si>
  <si>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</si>
  <si>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</si>
  <si>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</si>
  <si>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</si>
  <si>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</si>
  <si>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</si>
  <si>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</si>
  <si>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</si>
  <si>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</si>
  <si>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</si>
  <si>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</si>
  <si>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</si>
  <si>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</si>
  <si>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</si>
  <si>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</si>
  <si>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</si>
  <si>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</si>
  <si>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</si>
  <si>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</si>
  <si>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</si>
  <si>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</si>
  <si>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</si>
  <si>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</si>
  <si>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</si>
  <si>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</si>
  <si>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</si>
  <si>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</si>
  <si>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</si>
  <si>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</si>
  <si>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</si>
  <si>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</si>
  <si>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</si>
  <si>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</si>
  <si>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</si>
  <si>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</si>
  <si>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</si>
  <si>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</si>
  <si>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</si>
  <si>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</si>
  <si>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</si>
  <si>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</si>
  <si>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</si>
  <si>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</si>
  <si>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</si>
  <si>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</si>
  <si>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</si>
  <si>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</si>
  <si>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</si>
  <si>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</si>
  <si>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</si>
  <si>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</si>
  <si>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</si>
  <si>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</si>
  <si>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</si>
  <si>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</si>
  <si>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</si>
  <si>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</si>
  <si>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</si>
  <si>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</si>
  <si>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</si>
  <si>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</si>
  <si>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</si>
  <si>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</si>
  <si>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</si>
  <si>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</si>
  <si>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</si>
  <si>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</si>
  <si>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</si>
  <si>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</si>
  <si>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</si>
  <si>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</si>
  <si>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</si>
  <si>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</si>
  <si>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</si>
  <si>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</si>
  <si>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</si>
  <si>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</si>
  <si>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</si>
  <si>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</si>
  <si>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</si>
  <si>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</si>
  <si>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</si>
  <si>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</si>
  <si>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</si>
  <si>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</si>
  <si>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</si>
  <si>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</si>
  <si>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</si>
  <si>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</si>
  <si>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</si>
  <si>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</si>
  <si>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</si>
  <si>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</si>
  <si>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</si>
  <si>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</si>
  <si>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</si>
  <si>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</si>
  <si>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</si>
  <si>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</si>
  <si>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</si>
  <si>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</si>
  <si>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</si>
  <si>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</si>
  <si>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</si>
  <si>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</si>
  <si>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</si>
  <si>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</si>
  <si>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</si>
  <si>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</si>
  <si>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</si>
  <si>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</si>
  <si>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</si>
  <si>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</si>
  <si>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</si>
  <si>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</si>
  <si>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</si>
  <si>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</si>
  <si>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</si>
  <si>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</si>
  <si>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</si>
  <si>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</si>
  <si>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</si>
  <si>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</si>
  <si>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</si>
  <si>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</si>
  <si>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</si>
  <si>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</si>
  <si>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</si>
  <si>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</si>
  <si>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</si>
  <si>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</si>
  <si>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</si>
  <si>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</si>
  <si>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</si>
  <si>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</si>
  <si>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</si>
  <si>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</si>
  <si>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</si>
  <si>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</si>
  <si>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</si>
  <si>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</si>
  <si>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</si>
  <si>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</si>
  <si>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</si>
  <si>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</si>
  <si>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</si>
  <si>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</si>
  <si>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</si>
  <si>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</si>
  <si>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</si>
  <si>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</si>
  <si>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</si>
  <si>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</si>
  <si>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</si>
  <si>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</si>
  <si>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</si>
  <si>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</si>
  <si>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</si>
  <si>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</si>
  <si>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</si>
  <si>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</si>
  <si>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</si>
  <si>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</si>
  <si>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</si>
  <si>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</si>
  <si>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</si>
  <si>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</si>
  <si>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</si>
  <si>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</si>
  <si>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</si>
  <si>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</si>
  <si>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</si>
  <si>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</si>
  <si>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</si>
  <si>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</si>
  <si>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</si>
  <si>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</si>
  <si>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</si>
  <si>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</si>
  <si>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</si>
  <si>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</si>
  <si>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</si>
  <si>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</si>
  <si>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</si>
  <si>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</si>
  <si>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</si>
  <si>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</si>
  <si>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</si>
  <si>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</si>
  <si>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</si>
  <si>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</si>
  <si>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</si>
  <si>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</si>
  <si>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</si>
  <si>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</si>
  <si>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</si>
  <si>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</si>
  <si>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</si>
  <si>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</si>
  <si>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</si>
  <si>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</si>
  <si>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</si>
  <si>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</si>
  <si>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</si>
  <si>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</si>
  <si>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</si>
  <si>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</si>
  <si>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</si>
  <si>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</si>
  <si>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</si>
  <si>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</si>
  <si>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</si>
  <si>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</si>
  <si>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</si>
  <si>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</si>
  <si>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</si>
  <si>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</si>
  <si>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</si>
  <si>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</si>
  <si>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</si>
  <si>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</si>
  <si>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</si>
  <si>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</si>
  <si>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</si>
  <si>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</si>
  <si>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</si>
  <si>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</si>
  <si>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</si>
  <si>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</si>
  <si>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</si>
  <si>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</si>
  <si>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</si>
  <si>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</si>
  <si>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</si>
  <si>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</si>
  <si>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</si>
  <si>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</si>
  <si>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</si>
  <si>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</si>
  <si>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</si>
  <si>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</si>
  <si>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</si>
  <si>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</si>
  <si>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</si>
  <si>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</si>
  <si>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</si>
  <si>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</si>
  <si>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</si>
  <si>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</si>
  <si>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</si>
  <si>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</si>
  <si>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</si>
  <si>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</si>
  <si>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</si>
  <si>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</si>
  <si>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</si>
  <si>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</si>
  <si>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</si>
  <si>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</si>
  <si>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</si>
  <si>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</si>
  <si>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</si>
  <si>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</si>
  <si>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</si>
  <si>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</si>
  <si>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</si>
  <si>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</si>
  <si>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</si>
  <si>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</si>
  <si>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</si>
  <si>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</si>
  <si>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</si>
  <si>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</si>
  <si>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</si>
  <si>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</si>
  <si>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</si>
  <si>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</si>
  <si>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</si>
  <si>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</si>
  <si>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</si>
  <si>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</si>
  <si>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</si>
  <si>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</si>
  <si>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</si>
  <si>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</si>
  <si>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</si>
  <si>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</si>
  <si>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</si>
  <si>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</si>
  <si>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</si>
  <si>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</si>
  <si>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</si>
  <si>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</si>
  <si>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</si>
  <si>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</si>
  <si>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</si>
  <si>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</si>
  <si>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</si>
  <si>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</si>
  <si>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</si>
  <si>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</si>
  <si>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</si>
  <si>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</si>
  <si>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</si>
  <si>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</si>
  <si>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</si>
  <si>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</si>
  <si>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</si>
  <si>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</si>
  <si>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</si>
  <si>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</si>
  <si>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</si>
  <si>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</si>
  <si>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</si>
  <si>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</si>
  <si>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</si>
  <si>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</si>
  <si>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</si>
  <si>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</si>
  <si>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</si>
  <si>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</si>
  <si>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</si>
  <si>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</si>
  <si>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</si>
  <si>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</si>
  <si>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</si>
  <si>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</si>
  <si>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</si>
  <si>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</si>
  <si>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</si>
  <si>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</si>
  <si>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</si>
  <si>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</si>
  <si>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</si>
  <si>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</si>
  <si>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</si>
  <si>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</si>
  <si>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</si>
  <si>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</si>
  <si>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</si>
  <si>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</si>
  <si>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</si>
  <si>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</si>
  <si>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</si>
  <si>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</si>
  <si>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</si>
  <si>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</si>
  <si>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</si>
  <si>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</si>
  <si>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</si>
  <si>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</si>
  <si>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</si>
  <si>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</si>
  <si>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</si>
  <si>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</si>
  <si>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</si>
  <si>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</si>
  <si>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</si>
  <si>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</si>
  <si>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</si>
  <si>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</si>
  <si>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</si>
  <si>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</si>
  <si>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</si>
  <si>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</si>
  <si>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</si>
  <si>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</si>
  <si>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</si>
  <si>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</si>
  <si>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</si>
  <si>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</si>
  <si>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</si>
  <si>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</si>
  <si>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</si>
  <si>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</si>
  <si>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</si>
  <si>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</si>
  <si>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</si>
  <si>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</si>
  <si>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</si>
  <si>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</si>
  <si>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</si>
  <si>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</si>
  <si>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</si>
  <si>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</si>
  <si>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</si>
  <si>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</si>
  <si>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</si>
  <si>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</si>
  <si>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</si>
  <si>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</si>
  <si>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</si>
  <si>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</si>
  <si>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</si>
  <si>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</si>
  <si>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</si>
  <si>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</si>
  <si>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</si>
  <si>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</si>
  <si>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</si>
  <si>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</si>
  <si>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</si>
  <si>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</si>
  <si>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</si>
  <si>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</si>
  <si>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</si>
  <si>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</si>
  <si>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</si>
  <si>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</si>
  <si>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</si>
  <si>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</si>
  <si>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</si>
  <si>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</si>
  <si>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</si>
  <si>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</si>
  <si>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</si>
  <si>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</si>
  <si>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</si>
  <si>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</si>
  <si>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</si>
  <si>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</si>
  <si>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</si>
  <si>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</si>
  <si>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</si>
  <si>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</si>
  <si>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</si>
  <si>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</si>
  <si>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</si>
  <si>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</si>
  <si>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</si>
  <si>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</si>
  <si>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</si>
  <si>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</si>
  <si>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</si>
  <si>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</si>
  <si>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</si>
  <si>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</si>
  <si>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</si>
  <si>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</si>
  <si>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</si>
  <si>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</si>
  <si>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</si>
  <si>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</si>
  <si>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</si>
  <si>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</si>
  <si>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</si>
  <si>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</si>
  <si>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</si>
  <si>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</si>
  <si>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</si>
  <si>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</si>
  <si>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</si>
  <si>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</si>
  <si>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</si>
  <si>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</si>
  <si>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</si>
  <si>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</si>
  <si>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</si>
  <si>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</si>
  <si>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</si>
  <si>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</si>
  <si>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</si>
  <si>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</si>
  <si>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</si>
  <si>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</si>
  <si>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</si>
  <si>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</si>
  <si>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</si>
  <si>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</si>
  <si>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</si>
  <si>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</si>
  <si>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</si>
  <si>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</si>
  <si>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</si>
  <si>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</si>
  <si>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</si>
  <si>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</si>
  <si>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</si>
  <si>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</si>
  <si>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</si>
  <si>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</si>
  <si>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</si>
  <si>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</si>
  <si>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</si>
  <si>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</si>
  <si>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</si>
  <si>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</si>
  <si>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</si>
  <si>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</si>
  <si>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</si>
  <si>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</si>
  <si>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</si>
  <si>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</si>
  <si>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</si>
  <si>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</si>
  <si>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</si>
  <si>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</si>
  <si>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</si>
  <si>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</si>
  <si>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</si>
  <si>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</si>
  <si>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</si>
  <si>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</si>
  <si>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</si>
  <si>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</si>
  <si>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</si>
  <si>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</si>
  <si>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</si>
  <si>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</si>
  <si>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</si>
  <si>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</si>
  <si>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</si>
  <si>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</si>
  <si>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</si>
  <si>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</si>
  <si>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</si>
  <si>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</si>
  <si>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</si>
  <si>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</si>
  <si>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</si>
  <si>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</si>
  <si>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</si>
  <si>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</si>
  <si>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</si>
  <si>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</si>
  <si>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</si>
  <si>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</si>
  <si>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</si>
  <si>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</si>
  <si>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</si>
  <si>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</si>
  <si>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</si>
  <si>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</si>
  <si>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</si>
  <si>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</si>
  <si>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</si>
  <si>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</si>
  <si>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</si>
  <si>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</si>
  <si>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</si>
  <si>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</si>
  <si>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</si>
  <si>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</si>
  <si>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</si>
  <si>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</si>
  <si>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</si>
  <si>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</si>
  <si>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</si>
  <si>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</si>
  <si>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</si>
  <si>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</si>
  <si>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</si>
  <si>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</si>
  <si>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</si>
  <si>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</si>
  <si>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</si>
  <si>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</si>
  <si>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</si>
  <si>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</si>
  <si>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</si>
  <si>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</si>
  <si>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</si>
  <si>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</si>
  <si>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</si>
  <si>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</si>
  <si>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</si>
  <si>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</si>
  <si>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</si>
  <si>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</si>
  <si>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</si>
  <si>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</si>
  <si>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</si>
  <si>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</si>
  <si>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</si>
  <si>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</si>
  <si>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</si>
  <si>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</si>
  <si>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</si>
  <si>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</si>
  <si>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</si>
  <si>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</si>
  <si>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</si>
  <si>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</si>
  <si>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</si>
  <si>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</si>
  <si>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</si>
  <si>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</si>
  <si>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</si>
  <si>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</si>
  <si>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</si>
  <si>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</si>
  <si>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</si>
  <si>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</si>
  <si>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</si>
  <si>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</si>
  <si>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</si>
  <si>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</si>
  <si>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</si>
  <si>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</si>
  <si>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</si>
  <si>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</si>
  <si>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</si>
  <si>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</si>
  <si>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</si>
  <si>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</si>
  <si>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</si>
  <si>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</si>
  <si>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</si>
  <si>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</si>
  <si>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</si>
  <si>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</si>
  <si>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</si>
  <si>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</si>
  <si>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</si>
  <si>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</si>
  <si>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</si>
  <si>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</si>
  <si>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</si>
  <si>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</si>
  <si>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</si>
  <si>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</si>
  <si>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</si>
  <si>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</si>
  <si>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</si>
  <si>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</si>
  <si>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</si>
  <si>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</si>
  <si>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</si>
  <si>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</si>
  <si>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</si>
  <si>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</si>
  <si>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</si>
  <si>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</si>
  <si>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</si>
  <si>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</si>
  <si>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</si>
  <si>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</si>
  <si>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</si>
  <si>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</si>
  <si>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</si>
  <si>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</si>
  <si>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</si>
  <si>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</si>
  <si>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</si>
  <si>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</si>
  <si>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</si>
  <si>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</si>
  <si>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</si>
  <si>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</si>
  <si>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</si>
  <si>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</si>
  <si>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</si>
  <si>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</si>
  <si>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</si>
  <si>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</si>
  <si>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</si>
  <si>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</si>
  <si>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</si>
  <si>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</si>
  <si>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</si>
  <si>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</si>
  <si>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</si>
  <si>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</si>
  <si>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</si>
  <si>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</si>
  <si>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</si>
  <si>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</si>
  <si>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</si>
  <si>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</si>
  <si>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</si>
  <si>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</si>
  <si>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</si>
  <si>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</si>
  <si>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</si>
  <si>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</si>
  <si>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</si>
  <si>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</si>
  <si>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</si>
  <si>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</si>
  <si>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</si>
  <si>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</si>
  <si>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</si>
  <si>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</si>
  <si>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</si>
  <si>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</si>
  <si>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</si>
  <si>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</si>
  <si>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</si>
  <si>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</si>
  <si>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</si>
  <si>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</si>
  <si>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</si>
  <si>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</si>
  <si>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</si>
  <si>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</si>
  <si>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</si>
  <si>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</si>
  <si>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</si>
  <si>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</si>
  <si>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</si>
  <si>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</si>
  <si>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</si>
  <si>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</si>
  <si>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</si>
  <si>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</si>
  <si>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</si>
  <si>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</si>
  <si>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</si>
  <si>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</si>
  <si>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</si>
  <si>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</si>
  <si>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</si>
  <si>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</si>
  <si>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</si>
  <si>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</si>
  <si>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</si>
  <si>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</si>
  <si>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</si>
  <si>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</si>
  <si>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</si>
  <si>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</si>
  <si>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</si>
  <si>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</si>
  <si>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</si>
  <si>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</si>
  <si>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</si>
  <si>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</si>
  <si>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</si>
  <si>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</si>
  <si>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</si>
  <si>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</si>
  <si>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</si>
  <si>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</si>
  <si>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</si>
  <si>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</si>
  <si>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</si>
  <si>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</si>
  <si>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</si>
  <si>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</si>
  <si>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</si>
  <si>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</si>
  <si>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</si>
  <si>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</si>
  <si>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</si>
  <si>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</si>
  <si>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</si>
  <si>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</si>
  <si>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</si>
  <si>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</si>
  <si>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</si>
  <si>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</si>
  <si>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</si>
  <si>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</si>
  <si>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</si>
  <si>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</si>
  <si>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</si>
  <si>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</si>
  <si>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</si>
  <si>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</si>
  <si>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</si>
  <si>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</si>
  <si>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</si>
  <si>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</si>
  <si>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</si>
  <si>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</si>
  <si>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</si>
  <si>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</si>
  <si>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</si>
  <si>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</si>
  <si>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</si>
  <si>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</si>
  <si>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</si>
  <si>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</si>
  <si>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</si>
  <si>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</si>
  <si>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</si>
  <si>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</si>
  <si>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</si>
  <si>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</si>
  <si>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</si>
  <si>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</si>
  <si>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</si>
  <si>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</si>
  <si>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</si>
  <si>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</si>
  <si>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</si>
  <si>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</si>
  <si>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</si>
  <si>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</si>
  <si>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</si>
  <si>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</si>
  <si>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</si>
  <si>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</si>
  <si>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</si>
  <si>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</si>
  <si>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</si>
  <si>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</si>
  <si>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</si>
  <si>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</si>
  <si>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</si>
  <si>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</si>
  <si>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</si>
  <si>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</si>
  <si>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</si>
  <si>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</si>
  <si>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</si>
  <si>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</si>
  <si>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</si>
  <si>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</si>
  <si>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</si>
  <si>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</si>
  <si>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</si>
  <si>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</si>
  <si>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</si>
  <si>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</si>
  <si>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</si>
  <si>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</si>
  <si>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</si>
  <si>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</si>
  <si>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</si>
  <si>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</si>
  <si>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</si>
  <si>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</si>
  <si>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</si>
  <si>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</si>
  <si>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</si>
  <si>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</si>
  <si>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</si>
  <si>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</si>
  <si>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</si>
  <si>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</si>
  <si>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</si>
  <si>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</si>
  <si>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</si>
  <si>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</si>
  <si>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</si>
  <si>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</si>
  <si>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</si>
  <si>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</si>
  <si>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</si>
  <si>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</si>
  <si>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</si>
  <si>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</si>
  <si>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</si>
  <si>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</si>
  <si>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</si>
  <si>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</si>
  <si>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</si>
  <si>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</si>
  <si>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</si>
  <si>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</si>
  <si>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</si>
  <si>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</si>
  <si>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</si>
  <si>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</si>
  <si>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</si>
  <si>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</si>
  <si>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</si>
  <si>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</si>
  <si>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</si>
  <si>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</si>
  <si>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</si>
  <si>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</si>
  <si>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</si>
  <si>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</si>
  <si>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</si>
  <si>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</si>
  <si>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</si>
  <si>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</si>
  <si>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</si>
  <si>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</si>
  <si>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</si>
  <si>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</si>
  <si>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</si>
  <si>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</si>
  <si>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</si>
  <si>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</si>
  <si>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</si>
  <si>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</si>
  <si>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</si>
  <si>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</si>
  <si>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</si>
  <si>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</si>
  <si>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</si>
  <si>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</si>
  <si>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</si>
  <si>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</si>
  <si>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</si>
  <si>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</si>
  <si>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</si>
  <si>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</si>
  <si>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</si>
  <si>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</si>
  <si>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</si>
  <si>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</si>
  <si>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</si>
  <si>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</si>
  <si>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</si>
  <si>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</si>
  <si>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</si>
  <si>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</si>
  <si>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</si>
  <si>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</si>
  <si>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</si>
  <si>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</si>
  <si>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</si>
  <si>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</si>
  <si>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</si>
  <si>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</si>
  <si>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</si>
  <si>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</si>
  <si>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</si>
  <si>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</si>
  <si>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</si>
  <si>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</si>
  <si>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</si>
  <si>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</si>
  <si>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</si>
  <si>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</si>
  <si>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</si>
  <si>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</si>
  <si>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</si>
  <si>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</si>
  <si>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</si>
  <si>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</si>
  <si>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</si>
  <si>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</si>
  <si>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</si>
  <si>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</si>
  <si>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</si>
  <si>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</si>
  <si>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</si>
  <si>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</si>
  <si>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</si>
  <si>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</si>
  <si>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</si>
  <si>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</si>
  <si>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</si>
  <si>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</si>
  <si>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</si>
  <si>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</si>
  <si>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</si>
  <si>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</si>
  <si>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</si>
  <si>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</si>
  <si>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</si>
  <si>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</si>
  <si>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</si>
  <si>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</si>
  <si>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</si>
  <si>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</si>
  <si>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</si>
  <si>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</si>
  <si>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</si>
  <si>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</si>
  <si>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</si>
  <si>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</si>
  <si>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</si>
  <si>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</si>
  <si>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</si>
  <si>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</si>
  <si>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</si>
  <si>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</si>
  <si>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</si>
  <si>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</si>
  <si>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</si>
  <si>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</si>
  <si>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</si>
  <si>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</si>
  <si>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</si>
  <si>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</si>
  <si>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</si>
  <si>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</si>
  <si>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</si>
  <si>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</si>
  <si>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</si>
  <si>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</si>
  <si>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</si>
  <si>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</si>
  <si>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</si>
  <si>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</si>
  <si>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</si>
  <si>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</si>
  <si>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</si>
  <si>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</si>
  <si>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</si>
  <si>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</si>
  <si>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</si>
  <si>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</si>
  <si>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</si>
  <si>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</si>
  <si>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</si>
  <si>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</si>
  <si>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</si>
  <si>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</si>
  <si>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</si>
  <si>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</si>
  <si>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</si>
  <si>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</si>
  <si>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</si>
  <si>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</si>
  <si>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</si>
  <si>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</si>
  <si>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</si>
  <si>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</si>
  <si>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</si>
  <si>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</si>
  <si>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</si>
  <si>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</si>
  <si>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</si>
  <si>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</si>
  <si>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</si>
  <si>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</si>
  <si>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</si>
  <si>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</si>
  <si>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</si>
  <si>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</si>
  <si>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</si>
  <si>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</si>
  <si>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</si>
  <si>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</si>
  <si>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</si>
  <si>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</si>
  <si>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</si>
  <si>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</si>
  <si>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</si>
  <si>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</si>
  <si>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</si>
  <si>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</si>
  <si>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</si>
  <si>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</si>
  <si>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</si>
  <si>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</si>
  <si>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</si>
  <si>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</si>
  <si>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</si>
  <si>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</si>
  <si>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</si>
  <si>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</si>
  <si>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</si>
  <si>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</si>
  <si>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</si>
  <si>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</si>
  <si>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</si>
  <si>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</si>
  <si>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</si>
  <si>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</si>
  <si>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</si>
  <si>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</si>
  <si>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</si>
  <si>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</si>
  <si>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</si>
  <si>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</si>
  <si>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</si>
  <si>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</si>
  <si>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</si>
  <si>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</si>
  <si>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</si>
  <si>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</si>
  <si>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</si>
  <si>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</si>
  <si>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</si>
  <si>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</si>
  <si>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</si>
  <si>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</si>
  <si>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</si>
  <si>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</si>
  <si>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</si>
  <si>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</si>
  <si>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</si>
  <si>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</si>
  <si>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</si>
  <si>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</si>
  <si>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</si>
  <si>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</si>
  <si>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</si>
  <si>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</si>
  <si>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</si>
  <si>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</si>
  <si>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</si>
  <si>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</si>
  <si>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</si>
  <si>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</si>
  <si>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</si>
  <si>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</si>
  <si>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</si>
  <si>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</si>
  <si>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</si>
  <si>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</si>
  <si>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</si>
  <si>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</si>
  <si>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</si>
  <si>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</si>
  <si>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</si>
  <si>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</si>
  <si>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</si>
  <si>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</si>
  <si>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</si>
  <si>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</si>
  <si>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</si>
  <si>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</si>
  <si>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</si>
  <si>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</si>
  <si>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</si>
  <si>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</si>
  <si>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</si>
  <si>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</si>
  <si>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</si>
  <si>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</si>
  <si>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</si>
  <si>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</si>
  <si>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</si>
  <si>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</si>
  <si>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</si>
  <si>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</si>
  <si>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</si>
  <si>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</si>
  <si>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</si>
  <si>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</si>
  <si>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</si>
  <si>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</si>
  <si>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</si>
  <si>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</si>
  <si>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</si>
  <si>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</si>
  <si>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</si>
  <si>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</si>
  <si>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</si>
  <si>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</si>
  <si>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</si>
  <si>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</si>
  <si>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</si>
  <si>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</si>
  <si>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</si>
  <si>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</si>
  <si>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</si>
  <si>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</si>
  <si>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</si>
  <si>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</si>
  <si>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</si>
  <si>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</si>
  <si>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</si>
  <si>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</si>
  <si>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</si>
  <si>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</si>
  <si>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</si>
  <si>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</si>
  <si>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</si>
  <si>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</si>
  <si>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</si>
  <si>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</si>
  <si>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</si>
  <si>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</si>
  <si>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</si>
  <si>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</si>
  <si>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</si>
  <si>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</si>
  <si>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</si>
  <si>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</si>
  <si>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</si>
  <si>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</si>
  <si>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</si>
  <si>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</si>
  <si>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</si>
  <si>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</si>
  <si>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</si>
  <si>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</si>
  <si>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</si>
  <si>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</si>
  <si>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</si>
  <si>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</si>
  <si>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</si>
  <si>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</si>
  <si>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</si>
  <si>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</si>
  <si>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</si>
  <si>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</si>
  <si>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</si>
  <si>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</si>
  <si>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</si>
  <si>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</si>
  <si>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</si>
  <si>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</si>
  <si>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</si>
  <si>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</si>
  <si>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</si>
  <si>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</si>
  <si>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</si>
  <si>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</si>
  <si>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</si>
  <si>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</si>
  <si>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</si>
  <si>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</si>
  <si>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</si>
  <si>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</si>
  <si>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</si>
  <si>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</si>
  <si>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</si>
  <si>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</si>
  <si>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</si>
  <si>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</si>
  <si>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</si>
  <si>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</si>
  <si>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</si>
  <si>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</si>
  <si>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</si>
  <si>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</si>
  <si>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</si>
  <si>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</si>
  <si>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</si>
  <si>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</si>
  <si>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</si>
  <si>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</si>
  <si>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</si>
  <si>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</si>
  <si>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</si>
  <si>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</si>
  <si>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</si>
  <si>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</si>
  <si>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</si>
  <si>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</si>
  <si>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</si>
  <si>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</si>
  <si>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</si>
  <si>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</si>
  <si>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</si>
  <si>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</si>
  <si>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</si>
  <si>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</si>
  <si>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</si>
  <si>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</si>
  <si>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</si>
  <si>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</si>
  <si>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</si>
  <si>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</si>
  <si>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</si>
  <si>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</si>
  <si>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</si>
  <si>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</si>
  <si>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</si>
  <si>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</si>
  <si>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</si>
  <si>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</si>
  <si>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</si>
  <si>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</si>
  <si>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</si>
  <si>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</si>
  <si>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</si>
  <si>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</si>
  <si>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</si>
  <si>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</si>
  <si>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</si>
  <si>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</si>
  <si>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</si>
  <si>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</si>
  <si>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</si>
  <si>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</si>
  <si>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</si>
  <si>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</si>
  <si>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</si>
  <si>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</si>
  <si>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</si>
  <si>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</si>
  <si>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</si>
  <si>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</si>
  <si>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</si>
  <si>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</si>
  <si>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</si>
  <si>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</si>
  <si>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</si>
  <si>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</si>
  <si>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</si>
  <si>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</si>
  <si>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</si>
  <si>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</si>
  <si>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</si>
  <si>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</si>
  <si>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</si>
  <si>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</si>
  <si>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</si>
  <si>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</si>
  <si>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</si>
  <si>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</si>
  <si>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</si>
  <si>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</si>
  <si>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</si>
  <si>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</si>
  <si>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</si>
  <si>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</si>
  <si>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</si>
  <si>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</si>
  <si>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</si>
  <si>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</si>
  <si>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</si>
  <si>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</si>
  <si>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</si>
  <si>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</si>
  <si>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</si>
  <si>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</si>
  <si>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</si>
  <si>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</si>
  <si>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</si>
  <si>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</si>
  <si>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</si>
  <si>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</si>
  <si>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</si>
  <si>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</si>
  <si>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</si>
  <si>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</si>
  <si>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</si>
  <si>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</si>
  <si>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</si>
  <si>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</si>
  <si>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</si>
  <si>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</si>
  <si>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</si>
  <si>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</si>
  <si>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</si>
  <si>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</si>
  <si>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</si>
  <si>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</si>
  <si>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</si>
  <si>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</si>
  <si>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</si>
  <si>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</si>
  <si>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</si>
  <si>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</si>
  <si>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</si>
  <si>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</si>
  <si>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</si>
  <si>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</si>
  <si>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</si>
  <si>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</si>
  <si>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</si>
  <si>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</si>
  <si>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</si>
  <si>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</si>
  <si>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</si>
  <si>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</si>
  <si>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</si>
  <si>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</si>
  <si>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</si>
  <si>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</si>
  <si>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</si>
  <si>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</si>
  <si>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</si>
  <si>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</si>
  <si>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</si>
  <si>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</si>
  <si>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</si>
  <si>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</si>
  <si>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</si>
  <si>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</si>
  <si>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</si>
  <si>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</si>
  <si>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</si>
  <si>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</si>
  <si>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</si>
  <si>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</si>
  <si>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</si>
  <si>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</si>
  <si>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</si>
  <si>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</si>
  <si>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</si>
  <si>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</si>
  <si>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</si>
  <si>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</si>
  <si>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</si>
  <si>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</si>
  <si>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</si>
  <si>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</si>
  <si>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</si>
  <si>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</si>
  <si>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</si>
  <si>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</si>
  <si>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</si>
  <si>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</si>
  <si>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</si>
  <si>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</si>
  <si>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</si>
  <si>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</si>
  <si>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</si>
  <si>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</si>
  <si>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</si>
  <si>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</si>
  <si>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</si>
  <si>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</si>
  <si>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</si>
  <si>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</si>
  <si>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</si>
  <si>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</si>
  <si>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Primo Sergio DC1 - Corredera 35008 y Fijo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</si>
</sst>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9" sqref="C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20250181</v>
      </c>
      <c r="G7" s="8">
        <f ca="1">TODAY()</f>
        <v>45917</v>
      </c>
    </row>
    <row r="8" spans="1:12" x14ac:dyDescent="0.25">
      <c r="B8" s="9" t="s">
        <v>6</v>
      </c>
      <c r="C8" s="10" t="s">
        <v>1451</v>
      </c>
    </row>
    <row r="9" spans="1:12" ht="30" x14ac:dyDescent="0.25">
      <c r="B9" s="3" t="s">
        <v>7</v>
      </c>
      <c r="C9" s="91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720</v>
      </c>
      <c r="C13" s="82" t="str">
        <f>IFERROR(VLOOKUP($B13,Tarifa_all_20240711!$A$2:$G$660,2,FALSE()),"-")</f>
        <v>GUIA SUP PARED PLUS LAC.NEGRO TEXTURADO-3 MTS</v>
      </c>
      <c r="D13" s="82"/>
      <c r="E13" s="17">
        <v>1</v>
      </c>
      <c r="F13" s="18">
        <f>IFERROR(VLOOKUP($B13,Tarifa_all_20240711!$A$2:$G$660,5,FALSE()),"-")</f>
        <v>92.212500000000006</v>
      </c>
      <c r="G13" s="18">
        <f t="shared" ref="G13:G30" si="0">IFERROR(E13*F13,"-")</f>
        <v>92.212500000000006</v>
      </c>
      <c r="H13" s="1"/>
    </row>
    <row r="14" spans="1:12" x14ac:dyDescent="0.25">
      <c r="A14" t="s">
        <v>15</v>
      </c>
      <c r="B14" s="16" t="s">
        <v>1427</v>
      </c>
      <c r="C14" s="82" t="str">
        <f>IFERROR(VLOOKUP($B14,Tarifa_all_20240711!$A$2:$G$660,2,FALSE()),"-")</f>
        <v>TAPETA LAT. GUIA SKY PARED PLUS DERECHA NEGRO MATE</v>
      </c>
      <c r="D14" s="82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1431</v>
      </c>
      <c r="C15" s="82" t="str">
        <f>IFERROR(VLOOKUP($B15,Tarifa_all_20240711!$A$2:$G$660,2,FALSE()),"-")</f>
        <v>TAPETA LAT. GUIA SKY PARED PLUS IZQUIERDA NEGRO MATE</v>
      </c>
      <c r="D15" s="82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341</v>
      </c>
      <c r="C16" s="82" t="str">
        <f>IFERROR(VLOOKUP($B16,Tarifa_all_20240711!$A$2:$G$660,2,FALSE()),"-")</f>
        <v>KIT AMORTIGUADOR SKY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82" t="str">
        <f>IFERROR(VLOOKUP($B17,Tarifa_all_20240711!$A$2:$G$660,2,FALSE()),"-")</f>
        <v>KIT PUERTA PA CORREDERA LAC.NEGRO TEXTURADO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82" t="str">
        <f>IFERROR(VLOOKUP($B18,Tarifa_all_20240711!$A$2:$G$660,2,FALSE()),"-")</f>
        <v>CARRO SKY MADERA 60KG</v>
      </c>
      <c r="D18" s="82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82" t="str">
        <f>IFERROR(VLOOKUP($B19,Tarifa_all_20240711!$A$2:$G$660,2,FALSE()),"-")</f>
        <v>TIRADOR RECT.ADH CAVE LAC.NEGRO TEXTURADO: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82" t="str">
        <f>IFERROR(VLOOKUP($B20,Tarifa_all_20240711!$A$2:$G$660,2,FALSE()),"-")</f>
        <v>GUIADOR FIJO PA LAC.NEGRO TEXTURADO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82" t="str">
        <f>IFERROR(VLOOKUP($B21,Tarifa_all_20240711!$A$2:$G$660,2,FALSE()),"-")</f>
        <v>PERFIL EMBELL.HORIZ. ADH LAC.NEGRO TEXTURADO</v>
      </c>
      <c r="D21" s="82"/>
      <c r="E21" s="17">
        <v>4</v>
      </c>
      <c r="F21" s="18">
        <f>IFERROR(VLOOKUP($B21,Tarifa_all_20240711!$A$2:$G$660,5,FALSE()),"-")</f>
        <v>21.794999999999998</v>
      </c>
      <c r="G21" s="18">
        <f t="shared" si="0"/>
        <v>87.179999999999993</v>
      </c>
      <c r="H21" s="1"/>
    </row>
    <row r="22" spans="1:8" x14ac:dyDescent="0.25">
      <c r="B22" s="76" t="s">
        <v>461</v>
      </c>
      <c r="C22" s="84" t="str">
        <f>IFERROR(VLOOKUP($B22,Tarifa_all_20240711!$A$2:$G$660,2,FALSE()),"-")</f>
        <v>MARCO FIJOS 35MM D-DECOR FIJO NEGRO TEXT 6,5 MTS</v>
      </c>
      <c r="D22" s="84"/>
      <c r="E22" s="77">
        <v>1</v>
      </c>
      <c r="F22" s="78">
        <f>IFERROR(VLOOKUP($B22,Tarifa_all_20240711!$A$2:$G$660,5,FALSE()),"-")</f>
        <v>60.045000000000002</v>
      </c>
      <c r="G22" s="78">
        <f t="shared" si="0"/>
        <v>60.045000000000002</v>
      </c>
      <c r="H22" s="1"/>
    </row>
    <row r="23" spans="1:8" x14ac:dyDescent="0.25">
      <c r="B23" s="76" t="s">
        <v>441</v>
      </c>
      <c r="C23" s="84" t="str">
        <f>IFERROR(VLOOKUP($B23,Tarifa_all_20240711!$A$2:$G$660,2,FALSE()),"-")</f>
        <v>ANCLAJE TAPA 35MM D-DECOR FIJO NEGRO TEXT 6,5 MTS</v>
      </c>
      <c r="D23" s="84"/>
      <c r="E23" s="77">
        <v>1</v>
      </c>
      <c r="F23" s="78">
        <f>IFERROR(VLOOKUP($B23,Tarifa_all_20240711!$A$2:$G$660,5,FALSE()),"-")</f>
        <v>29.0625</v>
      </c>
      <c r="G23" s="78">
        <f t="shared" si="0"/>
        <v>29.0625</v>
      </c>
      <c r="H23" s="1"/>
    </row>
    <row r="24" spans="1:8" x14ac:dyDescent="0.25">
      <c r="B24" s="76" t="s">
        <v>481</v>
      </c>
      <c r="C24" s="84" t="str">
        <f>IFERROR(VLOOKUP($B24,Tarifa_all_20240711!$A$2:$G$660,2,FALSE()),"-")</f>
        <v>TAPA MARCO 35MM D-DECOR FIJO NEGRO TEXT 6,5 MTS</v>
      </c>
      <c r="D24" s="84"/>
      <c r="E24" s="77">
        <v>1</v>
      </c>
      <c r="F24" s="78">
        <f>IFERROR(VLOOKUP($B24,Tarifa_all_20240711!$A$2:$G$660,5,FALSE()),"-")</f>
        <v>24.487499999999997</v>
      </c>
      <c r="G24" s="78">
        <f t="shared" si="0"/>
        <v>24.487499999999997</v>
      </c>
      <c r="H24" s="1"/>
    </row>
    <row r="25" spans="1:8" x14ac:dyDescent="0.25">
      <c r="B25" s="76" t="s">
        <v>298</v>
      </c>
      <c r="C25" s="84" t="str">
        <f>IFERROR(VLOOKUP($B25,Tarifa_all_20240711!$A$2:$G$660,2,FALSE()),"-")</f>
        <v>Tope Domo Decor</v>
      </c>
      <c r="D25" s="84"/>
      <c r="E25" s="77">
        <v>4</v>
      </c>
      <c r="F25" s="78">
        <f>IFERROR(VLOOKUP($B25,Tarifa_all_20240711!$A$2:$G$660,5,FALSE()),"-")</f>
        <v>1.4175</v>
      </c>
      <c r="G25" s="78">
        <f t="shared" si="0"/>
        <v>5.67</v>
      </c>
      <c r="H25" s="1"/>
    </row>
    <row r="26" spans="1:8" x14ac:dyDescent="0.25">
      <c r="B26" s="76" t="s">
        <v>300</v>
      </c>
      <c r="C26" s="84" t="str">
        <f>IFERROR(VLOOKUP($B26,Tarifa_all_20240711!$A$2:$G$660,2,FALSE()),"-")</f>
        <v>PERFIL 3 MTS REDUCTOR PARA VIDRIO 6mm</v>
      </c>
      <c r="D26" s="84"/>
      <c r="E26" s="77">
        <v>2</v>
      </c>
      <c r="F26" s="78">
        <f>IFERROR(VLOOKUP($B26,Tarifa_all_20240711!$A$2:$G$660,5,FALSE()),"-")</f>
        <v>3.4275000000000002</v>
      </c>
      <c r="G26" s="78">
        <f t="shared" si="0"/>
        <v>6.8550000000000004</v>
      </c>
      <c r="H26" s="1"/>
    </row>
    <row r="27" spans="1:8" x14ac:dyDescent="0.25">
      <c r="B27" s="76">
        <v>31229</v>
      </c>
      <c r="C27" s="84" t="str">
        <f>IFERROR(VLOOKUP($B27,Tarifa_all_20240711!$A$2:$G$660,2,FALSE()),"-")</f>
        <v>COMPLEMENTO FIJACION DOMO DECOR: BARRAS 3 MTS</v>
      </c>
      <c r="D27" s="84"/>
      <c r="E27" s="77">
        <v>3</v>
      </c>
      <c r="F27" s="78">
        <f>IFERROR(VLOOKUP($B27,Tarifa_all_20240711!$A$2:$G$660,5,FALSE()),"-")</f>
        <v>11.317499999999999</v>
      </c>
      <c r="G27" s="78">
        <f t="shared" si="0"/>
        <v>33.952500000000001</v>
      </c>
      <c r="H27" s="1"/>
    </row>
    <row r="28" spans="1:8" x14ac:dyDescent="0.25">
      <c r="B28" s="16"/>
      <c r="C28" s="82" t="str">
        <f>IFERROR(VLOOKUP($B28,Tarifa_all_20240711!$A$2:$G$660,2,FALSE()),"-")</f>
        <v>-</v>
      </c>
      <c r="D28" s="82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695.25749999999994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3"/>
      <c r="E52" s="83"/>
      <c r="F52" s="8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45917</v>
      </c>
    </row>
    <row r="10" spans="1:7" x14ac:dyDescent="0.25">
      <c r="A10" s="3" t="s">
        <v>82</v>
      </c>
      <c r="B10" s="11" t="str">
        <f>'DESPIECE (MATANALYSIS)'!C9</f>
        <v>Primo Sergio DC1 - Corredera 35008 y Fijo lateral</v>
      </c>
      <c r="C10" s="45"/>
      <c r="D10" s="45"/>
      <c r="E10" s="46"/>
      <c r="F10" s="47" t="s">
        <v>83</v>
      </c>
      <c r="G10" s="7">
        <f>'DESPIECE (MATANALYSIS)'!C7</f>
        <v>20250181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(MATANALYSIS)'!G31</f>
        <v>695.25749999999994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2025-09-17T08:39:48Z</cp:lastPrinted>
  <dcterms:created xsi:type="dcterms:W3CDTF">2024-04-15T12:43:19Z</dcterms:created>
  <dcterms:modified xsi:type="dcterms:W3CDTF">2025-09-17T08:42:25Z</dcterms:modified>
  <dc:language>es-ES</dc:language>
</cp:coreProperties>
</file>