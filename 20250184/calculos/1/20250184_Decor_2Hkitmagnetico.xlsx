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5719E251-3840-4600-8A29-834000BE2002}" xr6:coauthVersionLast="47" xr6:coauthVersionMax="47" xr10:uidLastSave="{00000000-0000-0000-0000-000000000000}"/>
  <bookViews>
    <workbookView xWindow="-289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<sst xmlns="http://schemas.openxmlformats.org/spreadsheetml/2006/main" count="5395" uniqueCount="1449">
  <si>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</si>
  <si>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</si>
  <si>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</si>
  <si>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</si>
  <si>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</si>
  <si>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</si>
  <si>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</si>
  <si>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</si>
  <si>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</si>
  <si>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</si>
  <si>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</si>
  <si>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</si>
  <si>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</si>
  <si>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</si>
  <si>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</si>
  <si>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</si>
  <si>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</si>
  <si>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</si>
  <si>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</si>
  <si>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</si>
  <si>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</si>
  <si>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</si>
  <si>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</si>
  <si>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</si>
  <si>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</si>
  <si>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</si>
  <si>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</si>
  <si>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</si>
  <si>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</si>
  <si>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</si>
  <si>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</si>
  <si>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</si>
  <si>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</si>
  <si>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</si>
  <si>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</si>
  <si>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</si>
  <si>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</si>
  <si>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</si>
  <si>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</si>
  <si>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</si>
  <si>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</si>
  <si>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</si>
  <si>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</si>
  <si>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</si>
  <si>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</si>
  <si>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</si>
  <si>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</si>
  <si>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</si>
  <si>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</si>
  <si>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</si>
  <si>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</si>
  <si>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</si>
  <si>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</si>
  <si>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</si>
  <si>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</si>
  <si>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</si>
  <si>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</si>
  <si>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</si>
  <si>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</si>
  <si>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</si>
  <si>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</si>
  <si>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</si>
  <si>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</si>
  <si>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</si>
  <si>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</si>
  <si>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</si>
  <si>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</si>
  <si>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</si>
  <si>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</si>
  <si>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</si>
  <si>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</si>
  <si>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</si>
  <si>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</si>
  <si>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</si>
  <si>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</si>
  <si>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</si>
  <si>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</si>
  <si>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</si>
  <si>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</si>
  <si>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</si>
  <si>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</si>
  <si>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</si>
  <si>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</si>
  <si>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</si>
  <si>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</si>
  <si>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</si>
  <si>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</si>
  <si>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</si>
  <si>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</si>
  <si>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</si>
  <si>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</si>
  <si>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</si>
  <si>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</si>
  <si>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</si>
  <si>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</si>
  <si>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</si>
  <si>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</si>
  <si>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</si>
  <si>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</si>
  <si>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</si>
  <si>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</si>
  <si>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</si>
  <si>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</si>
  <si>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</si>
  <si>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</si>
  <si>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</si>
  <si>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</si>
  <si>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</si>
  <si>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</si>
  <si>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</si>
  <si>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</si>
  <si>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</si>
  <si>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</si>
  <si>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</si>
  <si>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</si>
  <si>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</si>
  <si>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</si>
  <si>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</si>
  <si>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</si>
  <si>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</si>
  <si>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</si>
  <si>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</si>
  <si>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</si>
  <si>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</si>
  <si>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</si>
  <si>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</si>
  <si>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</si>
  <si>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</si>
  <si>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</si>
  <si>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</si>
  <si>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</si>
  <si>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</si>
  <si>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</si>
  <si>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</si>
  <si>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</si>
  <si>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</si>
  <si>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</si>
  <si>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</si>
  <si>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</si>
  <si>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</si>
  <si>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</si>
  <si>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</si>
  <si>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</si>
  <si>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</si>
  <si>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</si>
  <si>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</si>
  <si>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</si>
  <si>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</si>
  <si>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</si>
  <si>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</si>
  <si>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</si>
  <si>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</si>
  <si>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</si>
  <si>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</si>
  <si>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</si>
  <si>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</si>
  <si>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</si>
  <si>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</si>
  <si>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</si>
  <si>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</si>
  <si>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</si>
  <si>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</si>
  <si>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</si>
  <si>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</si>
  <si>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</si>
  <si>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</si>
  <si>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</si>
  <si>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</si>
  <si>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</si>
  <si>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</si>
  <si>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</si>
  <si>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</si>
  <si>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</si>
  <si>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</si>
  <si>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</si>
  <si>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</si>
  <si>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</si>
  <si>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</si>
  <si>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</si>
  <si>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</si>
  <si>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</si>
  <si>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</si>
  <si>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</si>
  <si>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</si>
  <si>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</si>
  <si>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</si>
  <si>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</si>
  <si>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</si>
  <si>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</si>
  <si>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</si>
  <si>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</si>
  <si>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</si>
  <si>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</si>
  <si>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</si>
  <si>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</si>
  <si>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</si>
  <si>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</si>
  <si>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</si>
  <si>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</si>
  <si>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</si>
  <si>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</si>
  <si>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</si>
  <si>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</si>
  <si>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</si>
  <si>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</si>
  <si>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</si>
  <si>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</si>
  <si>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</si>
  <si>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</si>
  <si>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</si>
  <si>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</si>
  <si>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</si>
  <si>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</si>
  <si>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</si>
  <si>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</si>
  <si>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</si>
  <si>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</si>
  <si>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</si>
  <si>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</si>
  <si>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</si>
  <si>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</si>
  <si>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</si>
  <si>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</si>
  <si>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</si>
  <si>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</si>
  <si>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</si>
  <si>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</si>
  <si>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</si>
  <si>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</si>
  <si>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</si>
  <si>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</si>
  <si>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</si>
  <si>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</si>
  <si>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</si>
  <si>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</si>
  <si>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</si>
  <si>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</si>
  <si>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</si>
  <si>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</si>
  <si>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</si>
  <si>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</si>
  <si>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</si>
  <si>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</si>
  <si>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</si>
  <si>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</si>
  <si>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</si>
  <si>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</si>
  <si>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</si>
  <si>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</si>
  <si>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</si>
  <si>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</si>
  <si>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</si>
  <si>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</si>
  <si>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</si>
  <si>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</si>
  <si>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</si>
  <si>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</si>
  <si>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</si>
  <si>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</si>
  <si>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</si>
  <si>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</si>
  <si>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</si>
  <si>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</si>
  <si>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</si>
  <si>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</si>
  <si>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</si>
  <si>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</si>
  <si>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</si>
  <si>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</si>
  <si>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</si>
  <si>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</si>
  <si>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</si>
  <si>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</si>
  <si>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</si>
  <si>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</si>
  <si>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</si>
  <si>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</si>
  <si>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</si>
  <si>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</si>
  <si>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</si>
  <si>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</si>
  <si>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</si>
  <si>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</si>
  <si>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</si>
  <si>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</si>
  <si>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</si>
  <si>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</si>
  <si>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</si>
  <si>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</si>
  <si>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</si>
  <si>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</si>
  <si>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</si>
  <si>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</si>
  <si>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</si>
  <si>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</si>
  <si>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</si>
  <si>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</si>
  <si>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</si>
  <si>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</si>
  <si>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</si>
  <si>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</si>
  <si>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</si>
  <si>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</si>
  <si>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</si>
  <si>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</si>
  <si>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</si>
  <si>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</si>
  <si>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</si>
  <si>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</si>
  <si>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</si>
  <si>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</si>
  <si>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</si>
  <si>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</si>
  <si>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</si>
  <si>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</si>
  <si>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</si>
  <si>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</si>
  <si>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</si>
  <si>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</si>
  <si>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</si>
  <si>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</si>
  <si>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</si>
  <si>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</si>
  <si>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</si>
  <si>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</si>
  <si>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</si>
  <si>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</si>
  <si>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</si>
  <si>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</si>
  <si>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</si>
  <si>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</si>
  <si>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</si>
  <si>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</si>
  <si>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</si>
  <si>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</si>
  <si>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</si>
  <si>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</si>
  <si>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</si>
  <si>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</si>
  <si>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</si>
  <si>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</si>
  <si>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</si>
  <si>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</si>
  <si>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</si>
  <si>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</si>
  <si>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</si>
  <si>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</si>
  <si>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</si>
  <si>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</si>
  <si>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</si>
  <si>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</si>
  <si>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</si>
  <si>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</si>
  <si>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</si>
  <si>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</si>
  <si>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</si>
  <si>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</si>
  <si>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</si>
  <si>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</si>
  <si>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</si>
  <si>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</si>
  <si>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</si>
  <si>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</si>
  <si>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</si>
  <si>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</si>
  <si>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</si>
  <si>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</si>
  <si>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</si>
  <si>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</si>
  <si>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</si>
  <si>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</si>
  <si>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</si>
  <si>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</si>
  <si>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</si>
  <si>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</si>
  <si>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</si>
  <si>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</si>
  <si>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</si>
  <si>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</si>
  <si>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</si>
  <si>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</si>
  <si>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</si>
  <si>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</si>
  <si>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</si>
  <si>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</si>
  <si>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</si>
  <si>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</si>
  <si>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</si>
  <si>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</si>
  <si>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</si>
  <si>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</si>
  <si>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</si>
  <si>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</si>
  <si>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</si>
  <si>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</si>
  <si>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</si>
  <si>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</si>
  <si>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</si>
  <si>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</si>
  <si>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</si>
  <si>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</si>
  <si>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</si>
  <si>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</si>
  <si>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</si>
  <si>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</si>
  <si>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</si>
  <si>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</si>
  <si>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</si>
  <si>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</si>
  <si>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</si>
  <si>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</si>
  <si>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</si>
  <si>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</si>
  <si>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</si>
  <si>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</si>
  <si>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</si>
  <si>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</si>
  <si>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</si>
  <si>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</si>
  <si>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</si>
  <si>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</si>
  <si>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</si>
  <si>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</si>
  <si>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</si>
  <si>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</si>
  <si>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</si>
  <si>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</si>
  <si>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</si>
  <si>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</si>
  <si>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</si>
  <si>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</si>
  <si>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</si>
  <si>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</si>
  <si>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</si>
  <si>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</si>
  <si>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</si>
  <si>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</si>
  <si>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</si>
  <si>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</si>
  <si>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</si>
  <si>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</si>
  <si>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</si>
  <si>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</si>
  <si>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</si>
  <si>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</si>
  <si>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</si>
  <si>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</si>
  <si>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</si>
  <si>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</si>
  <si>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</si>
  <si>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</si>
  <si>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</si>
  <si>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</si>
  <si>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</si>
  <si>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</si>
  <si>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</si>
  <si>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</si>
  <si>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</si>
  <si>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</si>
  <si>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</si>
  <si>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</si>
  <si>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</si>
  <si>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</si>
  <si>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</si>
  <si>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</si>
  <si>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</si>
  <si>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</si>
  <si>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</si>
  <si>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</si>
  <si>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</si>
  <si>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</si>
  <si>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</si>
  <si>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</si>
  <si>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</si>
  <si>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</si>
  <si>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</si>
  <si>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</si>
  <si>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</si>
  <si>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</si>
  <si>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</si>
  <si>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</si>
  <si>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</si>
  <si>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</si>
  <si>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</si>
  <si>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</si>
  <si>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</si>
  <si>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</si>
  <si>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</si>
  <si>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</si>
  <si>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</si>
  <si>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</si>
  <si>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</si>
  <si>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</si>
  <si>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</si>
  <si>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</si>
  <si>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</si>
  <si>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</si>
  <si>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</si>
  <si>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</si>
  <si>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</si>
  <si>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</si>
  <si>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</si>
  <si>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</si>
  <si>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</si>
  <si>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</si>
  <si>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</si>
  <si>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</si>
  <si>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</si>
  <si>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</si>
  <si>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</si>
  <si>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</si>
  <si>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</si>
  <si>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</si>
  <si>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</si>
  <si>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</si>
  <si>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</si>
  <si>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</si>
  <si>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</si>
  <si>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</si>
  <si>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</si>
  <si>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</si>
  <si>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</si>
  <si>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</si>
  <si>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</si>
  <si>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</si>
  <si>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</si>
  <si>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</si>
  <si>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</si>
  <si>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</si>
  <si>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</si>
  <si>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</si>
  <si>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</si>
  <si>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</si>
  <si>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</si>
  <si>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</si>
  <si>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</si>
  <si>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</si>
  <si>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</si>
  <si>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</si>
  <si>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</si>
  <si>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</si>
  <si>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</si>
  <si>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</si>
  <si>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</si>
  <si>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</si>
  <si>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</si>
  <si>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</si>
  <si>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</si>
  <si>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</si>
  <si>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</si>
  <si>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</si>
  <si>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</si>
  <si>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</si>
  <si>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</si>
  <si>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</si>
  <si>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</si>
  <si>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</si>
  <si>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</si>
  <si>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</si>
  <si>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</si>
  <si>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</si>
  <si>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</si>
  <si>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</si>
  <si>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</si>
  <si>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</si>
  <si>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</si>
  <si>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</si>
  <si>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</si>
  <si>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</si>
  <si>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</si>
  <si>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</si>
  <si>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</si>
  <si>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</si>
  <si>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</si>
  <si>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</si>
  <si>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</si>
  <si>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</si>
  <si>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</si>
  <si>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</si>
  <si>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</si>
  <si>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</si>
  <si>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</si>
  <si>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</si>
  <si>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</si>
  <si>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</si>
  <si>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</si>
  <si>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</si>
  <si>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</si>
  <si>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</si>
  <si>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</si>
  <si>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</si>
  <si>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</si>
  <si>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</si>
  <si>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</si>
  <si>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</si>
  <si>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</si>
  <si>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</si>
  <si>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</si>
  <si>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</si>
  <si>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</si>
  <si>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</si>
  <si>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</si>
  <si>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</si>
  <si>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</si>
  <si>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</si>
  <si>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</si>
  <si>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</si>
  <si>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</si>
  <si>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</si>
  <si>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</si>
  <si>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</si>
  <si>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</si>
  <si>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</si>
  <si>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</si>
  <si>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</si>
  <si>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</si>
  <si>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</si>
  <si>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</si>
  <si>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</si>
  <si>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</si>
  <si>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</si>
  <si>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</si>
  <si>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</si>
  <si>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</si>
  <si>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</si>
  <si>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</si>
  <si>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</si>
  <si>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</si>
  <si>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</si>
  <si>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</si>
  <si>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</si>
  <si>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</si>
  <si>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</si>
  <si>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</si>
  <si>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</si>
  <si>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</si>
  <si>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</si>
  <si>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</si>
  <si>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</si>
  <si>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</si>
  <si>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</si>
  <si>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</si>
  <si>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</si>
  <si>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</si>
  <si>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</si>
  <si>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</si>
  <si>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</si>
  <si>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</si>
  <si>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</si>
  <si>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</si>
  <si>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</si>
  <si>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</si>
  <si>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</si>
  <si>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</si>
  <si>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</si>
  <si>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</si>
  <si>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</si>
  <si>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</si>
  <si>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</si>
  <si>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</si>
  <si>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</si>
  <si>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</si>
  <si>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</si>
  <si>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</si>
  <si>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</si>
  <si>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</si>
  <si>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</si>
  <si>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</si>
  <si>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</si>
  <si>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</si>
  <si>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</si>
  <si>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</si>
  <si>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</si>
  <si>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</si>
  <si>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</si>
  <si>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</si>
  <si>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</si>
  <si>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</si>
  <si>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</si>
  <si>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</si>
  <si>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</si>
  <si>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</si>
  <si>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</si>
  <si>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</si>
  <si>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</si>
  <si>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</si>
  <si>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</si>
  <si>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</si>
  <si>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</si>
  <si>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</si>
  <si>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</si>
  <si>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</si>
  <si>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</si>
  <si>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</si>
  <si>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</si>
  <si>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</si>
  <si>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</si>
  <si>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</si>
  <si>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</si>
  <si>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</si>
  <si>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</si>
  <si>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</si>
  <si>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</si>
  <si>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</si>
  <si>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</si>
  <si>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</si>
  <si>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</si>
  <si>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</si>
  <si>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</si>
  <si>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</si>
  <si>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</si>
  <si>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</si>
  <si>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</si>
  <si>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</si>
  <si>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</si>
  <si>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</si>
  <si>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</si>
  <si>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</si>
  <si>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</si>
  <si>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</si>
  <si>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</si>
  <si>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</si>
  <si>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</si>
  <si>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</si>
  <si>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</si>
  <si>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</si>
  <si>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</si>
  <si>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</si>
  <si>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</si>
  <si>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</si>
  <si>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</si>
  <si>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</si>
  <si>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</si>
  <si>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</si>
  <si>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</si>
  <si>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</si>
  <si>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</si>
  <si>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</si>
  <si>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</si>
  <si>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</si>
  <si>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</si>
  <si>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</si>
  <si>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</si>
  <si>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</si>
  <si>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</si>
  <si>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</si>
  <si>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</si>
  <si>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</si>
  <si>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</si>
  <si>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</si>
  <si>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</si>
  <si>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</si>
  <si>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</si>
  <si>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</si>
  <si>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</si>
  <si>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</si>
  <si>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</si>
  <si>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</si>
  <si>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</si>
  <si>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</si>
  <si>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</si>
  <si>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</si>
  <si>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</si>
  <si>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</si>
  <si>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</si>
  <si>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</si>
  <si>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</si>
  <si>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</si>
  <si>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</si>
  <si>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</si>
  <si>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</si>
  <si>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</si>
  <si>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</si>
  <si>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</si>
  <si>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</si>
  <si>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</si>
  <si>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</si>
  <si>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</si>
  <si>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</si>
  <si>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</si>
  <si>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</si>
  <si>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</si>
  <si>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</si>
  <si>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</si>
  <si>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</si>
  <si>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</si>
  <si>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</si>
  <si>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</si>
  <si>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</si>
  <si>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</si>
  <si>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</si>
  <si>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</si>
  <si>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</si>
  <si>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</si>
  <si>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</si>
  <si>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</si>
  <si>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</si>
  <si>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</si>
  <si>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</si>
  <si>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</si>
  <si>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</si>
  <si>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</si>
  <si>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</si>
  <si>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</si>
  <si>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</si>
  <si>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</si>
  <si>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</si>
  <si>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</si>
  <si>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</si>
  <si>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</si>
  <si>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</si>
  <si>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</si>
  <si>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</si>
  <si>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</si>
  <si>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</si>
  <si>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</si>
  <si>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</si>
  <si>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</si>
  <si>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</si>
  <si>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</si>
  <si>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</si>
  <si>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</si>
  <si>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</si>
  <si>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</si>
  <si>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</si>
  <si>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</si>
  <si>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</si>
  <si>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</si>
  <si>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</si>
  <si>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</si>
  <si>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</si>
  <si>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</si>
  <si>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</si>
  <si>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</si>
  <si>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</si>
  <si>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</si>
  <si>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</si>
  <si>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</si>
  <si>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</si>
  <si>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</si>
  <si>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</si>
  <si>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</si>
  <si>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</si>
  <si>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</si>
  <si>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</si>
  <si>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</si>
  <si>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</si>
  <si>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</si>
  <si>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</si>
  <si>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</si>
  <si>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</si>
  <si>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</si>
  <si>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</si>
  <si>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</si>
  <si>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</si>
  <si>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</si>
  <si>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</si>
  <si>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</si>
  <si>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</si>
  <si>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</si>
  <si>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</si>
  <si>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</si>
  <si>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</si>
  <si>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</si>
  <si>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</si>
  <si>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</si>
  <si>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</si>
  <si>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</si>
  <si>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</si>
  <si>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</si>
  <si>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</si>
  <si>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</si>
  <si>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</si>
  <si>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</si>
  <si>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</si>
  <si>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</si>
  <si>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</si>
  <si>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</si>
  <si>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</si>
  <si>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</si>
  <si>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</si>
  <si>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</si>
  <si>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</si>
  <si>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</si>
  <si>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</si>
  <si>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</si>
  <si>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</si>
  <si>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</si>
  <si>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</si>
  <si>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</si>
  <si>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</si>
  <si>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</si>
  <si>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</si>
  <si>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</si>
  <si>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</si>
  <si>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</si>
  <si>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</si>
  <si>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</si>
  <si>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</si>
  <si>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</si>
  <si>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</si>
  <si>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</si>
  <si>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</si>
  <si>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</si>
  <si>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</si>
  <si>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</si>
  <si>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</si>
  <si>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</si>
  <si>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</si>
  <si>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</si>
  <si>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</si>
  <si>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</si>
  <si>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</si>
  <si>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</si>
  <si>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</si>
  <si>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</si>
  <si>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</si>
  <si>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</si>
  <si>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</si>
  <si>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</si>
  <si>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</si>
  <si>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</si>
  <si>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</si>
  <si>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</si>
  <si>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</si>
  <si>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</si>
  <si>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</si>
  <si>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</si>
  <si>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</si>
  <si>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</si>
  <si>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</si>
  <si>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</si>
  <si>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</si>
  <si>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</si>
  <si>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</si>
  <si>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</si>
  <si>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</si>
  <si>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</si>
  <si>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</si>
  <si>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</si>
  <si>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</si>
  <si>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</si>
  <si>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</si>
  <si>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</si>
  <si>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</si>
  <si>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</si>
  <si>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</si>
  <si>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</si>
  <si>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</si>
  <si>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</si>
  <si>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</si>
  <si>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</si>
  <si>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</si>
  <si>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</si>
  <si>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</si>
  <si>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</si>
  <si>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</si>
  <si>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</si>
  <si>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</si>
  <si>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</si>
  <si>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</si>
  <si>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</si>
  <si>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</si>
  <si>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</si>
  <si>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</si>
  <si>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</si>
  <si>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</si>
  <si>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</si>
  <si>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</si>
  <si>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</si>
  <si>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</si>
  <si>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</si>
  <si>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</si>
  <si>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</si>
  <si>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</si>
  <si>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</si>
  <si>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</si>
  <si>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</si>
  <si>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</si>
  <si>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</si>
  <si>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</si>
  <si>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</si>
  <si>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</si>
  <si>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</si>
  <si>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</si>
  <si>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</si>
  <si>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</si>
  <si>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</si>
  <si>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</si>
  <si>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</si>
  <si>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</si>
  <si>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</si>
  <si>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</si>
  <si>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</si>
  <si>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</si>
  <si>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</si>
  <si>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</si>
  <si>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</si>
  <si>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</si>
  <si>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</si>
  <si>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</si>
  <si>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</si>
  <si>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</si>
  <si>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</si>
  <si>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</si>
  <si>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</si>
  <si>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</si>
  <si>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</si>
  <si>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</si>
  <si>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</si>
  <si>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</si>
  <si>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</si>
  <si>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</si>
  <si>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</si>
  <si>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</si>
  <si>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</si>
  <si>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</si>
  <si>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</si>
  <si>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</si>
  <si>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</si>
  <si>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</si>
  <si>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</si>
  <si>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</si>
  <si>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</si>
  <si>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</si>
  <si>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</si>
  <si>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</si>
  <si>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</si>
  <si>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</si>
  <si>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</si>
  <si>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</si>
  <si>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</si>
  <si>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</si>
  <si>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</si>
  <si>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</si>
  <si>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</si>
  <si>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</si>
  <si>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</si>
  <si>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</si>
  <si>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</si>
  <si>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</si>
  <si>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</si>
  <si>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</si>
  <si>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</si>
  <si>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</si>
  <si>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</si>
  <si>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</si>
  <si>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</si>
  <si>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</si>
  <si>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</si>
  <si>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</si>
  <si>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</si>
  <si>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</si>
  <si>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</si>
  <si>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</si>
  <si>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</si>
  <si>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</si>
  <si>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</si>
  <si>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</si>
  <si>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</si>
  <si>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</si>
  <si>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</si>
  <si>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</si>
  <si>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</si>
  <si>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</si>
  <si>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</si>
  <si>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</si>
  <si>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</si>
  <si>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</si>
  <si>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</si>
  <si>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</si>
  <si>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</si>
  <si>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</si>
  <si>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</si>
  <si>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</si>
  <si>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</si>
  <si>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</si>
  <si>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</si>
  <si>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</si>
  <si>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</si>
  <si>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</si>
  <si>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</si>
  <si>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</si>
  <si>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</si>
  <si>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</si>
  <si>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</si>
  <si>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</si>
  <si>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</si>
  <si>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</si>
  <si>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</si>
  <si>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</si>
  <si>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</si>
  <si>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</si>
  <si>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</si>
  <si>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</si>
  <si>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</si>
  <si>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</si>
  <si>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</si>
  <si>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</si>
  <si>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</si>
  <si>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</si>
  <si>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</si>
  <si>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</si>
  <si>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</si>
  <si>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</si>
  <si>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</si>
  <si>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</si>
  <si>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</si>
  <si>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</si>
  <si>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</si>
  <si>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</si>
  <si>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</si>
  <si>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</si>
  <si>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</si>
  <si>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</si>
  <si>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</si>
  <si>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</si>
  <si>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</si>
  <si>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</si>
  <si>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</si>
  <si>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</si>
  <si>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</si>
  <si>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</si>
  <si>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</si>
  <si>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</si>
  <si>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</si>
  <si>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</si>
  <si>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</si>
  <si>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</si>
  <si>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</si>
  <si>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</si>
  <si>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</si>
  <si>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</si>
  <si>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</si>
  <si>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</si>
  <si>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</si>
  <si>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</si>
  <si>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</si>
  <si>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</si>
  <si>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</si>
  <si>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</si>
  <si>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</si>
  <si>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</si>
  <si>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</si>
  <si>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</si>
  <si>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</si>
  <si>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</si>
  <si>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</si>
  <si>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</si>
  <si>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</si>
  <si>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</si>
  <si>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</si>
  <si>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</si>
  <si>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</si>
  <si>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</si>
  <si>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</si>
  <si>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</si>
  <si>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</si>
  <si>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</si>
  <si>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</si>
  <si>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</si>
  <si>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</si>
  <si>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</si>
  <si>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</si>
  <si>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</si>
  <si>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</si>
  <si>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</si>
  <si>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</si>
  <si>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</si>
  <si>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</si>
  <si>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</si>
  <si>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</si>
  <si>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</si>
  <si>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</si>
  <si>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</si>
  <si>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</si>
  <si>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</si>
  <si>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</si>
  <si>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</si>
  <si>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</si>
  <si>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</si>
  <si>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</si>
  <si>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</si>
  <si>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</si>
  <si>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</si>
  <si>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</si>
  <si>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</si>
  <si>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</si>
  <si>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</si>
  <si>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</si>
  <si>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</si>
  <si>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</si>
  <si>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</si>
  <si>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</si>
  <si>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</si>
  <si>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</si>
  <si>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</si>
  <si>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</si>
  <si>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</si>
  <si>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</si>
  <si>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</si>
  <si>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</si>
  <si>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</si>
  <si>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</si>
  <si>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</si>
  <si>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</si>
  <si>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</si>
  <si>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</si>
  <si>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</si>
  <si>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</si>
  <si>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</si>
  <si>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</si>
  <si>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</si>
  <si>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</si>
  <si>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</si>
  <si>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</si>
  <si>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</si>
  <si>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</si>
  <si>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</si>
  <si>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</si>
  <si>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</si>
  <si>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</si>
  <si>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</si>
  <si>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</si>
  <si>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</si>
  <si>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</si>
  <si>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</si>
  <si>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</si>
  <si>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</si>
  <si>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</si>
  <si>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</si>
  <si>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</si>
  <si>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</si>
  <si>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</si>
  <si>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</si>
  <si>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</si>
  <si>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</si>
  <si>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</si>
  <si>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</si>
  <si>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</si>
  <si>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</si>
  <si>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</si>
  <si>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</si>
  <si>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</si>
  <si>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</si>
  <si>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</si>
  <si>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</si>
  <si>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</si>
  <si>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</si>
  <si>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</si>
  <si>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</si>
  <si>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</si>
  <si>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</si>
  <si>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</si>
  <si>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</si>
  <si>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</si>
  <si>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</si>
  <si>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</si>
  <si>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</si>
  <si>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</si>
  <si>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</si>
  <si>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</si>
  <si>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</si>
  <si>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</si>
  <si>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</si>
  <si>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</si>
  <si>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</si>
  <si>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</si>
  <si>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</si>
  <si>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</si>
  <si>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</si>
  <si>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</si>
  <si>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</si>
  <si>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</si>
  <si>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</si>
  <si>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</si>
  <si>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</si>
  <si>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</si>
  <si>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</si>
  <si>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</si>
  <si>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</si>
  <si>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</si>
  <si>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</si>
  <si>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</si>
  <si>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</si>
  <si>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</si>
  <si>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</si>
  <si>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</si>
  <si>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</si>
  <si>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</si>
  <si>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</si>
  <si>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</si>
  <si>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</si>
  <si>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</si>
  <si>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</si>
  <si>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</si>
  <si>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</si>
  <si>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</si>
  <si>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</si>
  <si>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</si>
  <si>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</si>
  <si>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</si>
  <si>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</si>
  <si>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</si>
  <si>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</si>
  <si>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</si>
  <si>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</si>
  <si>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</si>
  <si>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</si>
  <si>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</si>
  <si>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</si>
  <si>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</si>
  <si>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</si>
  <si>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</si>
  <si>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</si>
  <si>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</si>
  <si>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</si>
  <si>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</si>
  <si>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</si>
  <si>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</si>
  <si>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</si>
  <si>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</si>
  <si>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</si>
  <si>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</si>
  <si>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</si>
  <si>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</si>
  <si>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</si>
  <si>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</si>
  <si>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</si>
  <si>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</si>
  <si>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</si>
  <si>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</si>
  <si>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</si>
  <si>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</si>
  <si>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</si>
  <si>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</si>
  <si>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</si>
  <si>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</si>
  <si>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</si>
  <si>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</si>
  <si>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</si>
  <si>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</si>
  <si>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</si>
  <si>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</si>
  <si>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</si>
  <si>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</si>
  <si>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</si>
  <si>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</si>
  <si>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</si>
  <si>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</si>
  <si>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</si>
  <si>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</si>
  <si>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</si>
  <si>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</si>
  <si>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</si>
  <si>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</si>
  <si>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</si>
  <si>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</si>
  <si>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</si>
  <si>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</si>
  <si>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</si>
  <si>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</si>
  <si>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</si>
  <si>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</si>
  <si>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</si>
  <si>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</si>
  <si>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</si>
  <si>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</si>
  <si>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</si>
  <si>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</si>
  <si>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</si>
  <si>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</si>
  <si>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</si>
  <si>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</si>
  <si>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</si>
  <si>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</si>
  <si>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</si>
  <si>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</si>
  <si>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</si>
  <si>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</si>
  <si>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</si>
  <si>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</si>
  <si>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</si>
  <si>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</si>
  <si>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</si>
  <si>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</si>
  <si>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</si>
  <si>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</si>
  <si>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</si>
  <si>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</si>
  <si>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</si>
  <si>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</si>
  <si>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</si>
  <si>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</si>
  <si>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</si>
  <si>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</si>
  <si>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</si>
  <si>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</si>
  <si>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</si>
  <si>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</si>
  <si>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</si>
  <si>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</si>
  <si>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</si>
  <si>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</si>
  <si>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</si>
  <si>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</si>
  <si>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</si>
  <si>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</si>
  <si>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</si>
  <si>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</si>
  <si>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</si>
  <si>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</si>
  <si>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</si>
  <si>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</si>
  <si>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</si>
  <si>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</si>
  <si>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</si>
  <si>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</si>
  <si>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</si>
  <si>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</si>
  <si>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</si>
  <si>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</si>
  <si>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</si>
  <si>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</si>
  <si>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</si>
  <si>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</si>
  <si>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</si>
  <si>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</si>
  <si>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</si>
  <si>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</si>
  <si>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</si>
  <si>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</si>
  <si>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</si>
  <si>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</si>
  <si>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</si>
  <si>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</si>
  <si>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</si>
  <si>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</si>
  <si>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</si>
  <si>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</si>
  <si>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</si>
  <si>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</si>
  <si>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</si>
  <si>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</si>
  <si>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</si>
  <si>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</si>
  <si>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</si>
  <si>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Cerraj. Muixara</t>
  </si>
  <si>
    <t>2H kit magnético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</si>
</sst>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F18" sqref="F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20250184</v>
      </c>
      <c r="G7" s="8">
        <f ca="1">TODAY()</f>
        <v>45926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712</v>
      </c>
      <c r="C13" s="78" t="str">
        <f>IFERROR(VLOOKUP($B13,Tarifa_all_20240711!$A$2:$G$660,2,FALSE()),"-")</f>
        <v>MARCO MAGNET PUERTA DOBLE LAC.NEGRO TEXTURADO</v>
      </c>
      <c r="D13" s="78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1434</v>
      </c>
      <c r="B14" s="16" t="s">
        <v>112</v>
      </c>
      <c r="C14" s="78" t="str">
        <f>IFERROR(VLOOKUP($B14,Tarifa_all_20240711!$A$2:$G$660,2,FALSE()),"-")</f>
        <v>KIT PA PIVOTANTE MAGNET LAC.NEGRO TEXTURADO</v>
      </c>
      <c r="D14" s="78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1435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502</v>
      </c>
      <c r="C16" s="78" t="str">
        <f>IFERROR(VLOOKUP($B16,Tarifa_all_20240711!$A$2:$G$660,2,FALSE()),"-")</f>
        <v>TIRADOR L 30X180 LAC.NEGRO TEXTURADO: 2 UDS</v>
      </c>
      <c r="D16" s="78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128</v>
      </c>
      <c r="C18" s="78" t="str">
        <f>IFERROR(VLOOKUP($B18,Tarifa_all_20240711!$A$2:$G$660,2,FALSE()),"-")</f>
        <v>PERFIL EMBELL.HORIZ. ADH LAC.NEGRO TEXTURADO</v>
      </c>
      <c r="D18" s="78"/>
      <c r="E18" s="17">
        <v>6</v>
      </c>
      <c r="F18" s="18">
        <f>IFERROR(VLOOKUP($B18,Tarifa_all_20240711!$A$2:$G$660,5,FALSE()),"-")</f>
        <v>21.794999999999998</v>
      </c>
      <c r="G18" s="18">
        <f t="shared" si="0"/>
        <v>130.76999999999998</v>
      </c>
      <c r="H18" s="1"/>
    </row>
    <row r="19" spans="1:8" x14ac:dyDescent="0.25"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946.26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H9" sqref="H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Cerraj. Muixara</v>
      </c>
      <c r="C9" s="87"/>
      <c r="D9" s="87"/>
      <c r="F9" s="3" t="s">
        <v>73</v>
      </c>
      <c r="G9" s="44">
        <f ca="1">TODAY()</f>
        <v>45926</v>
      </c>
    </row>
    <row r="10" spans="1:7" x14ac:dyDescent="0.25">
      <c r="A10" s="3" t="s">
        <v>74</v>
      </c>
      <c r="B10" s="11" t="str">
        <f>'DESPIECE (MATANALYSIS)'!C9</f>
        <v>2H kit magnético</v>
      </c>
      <c r="C10" s="45"/>
      <c r="D10" s="45"/>
      <c r="E10" s="46"/>
      <c r="F10" s="47" t="s">
        <v>75</v>
      </c>
      <c r="G10" s="7">
        <f>'DESPIECE (MATANALYSIS)'!C7</f>
        <v>20250184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946.26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851.63400000000001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851.63400000000001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2025-09-26T08:33:23Z</cp:lastPrinted>
  <dcterms:created xsi:type="dcterms:W3CDTF">2024-04-15T12:43:19Z</dcterms:created>
  <dcterms:modified xsi:type="dcterms:W3CDTF">2025-09-26T08:33:32Z</dcterms:modified>
  <dc:language>es-ES</dc:language>
</cp:coreProperties>
</file>