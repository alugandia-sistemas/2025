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7\calculos\1\"/>
    </mc:Choice>
  </mc:AlternateContent>
  <xr:revisionPtr revIDLastSave="0" documentId="13_ncr:1_{A871C88E-889B-4BC3-8BEE-F37642DF212D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0" l="1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13" i="10"/>
  <c r="P31" i="10"/>
  <c r="J29" i="10"/>
  <c r="O14" i="10"/>
  <c r="O15" i="10"/>
  <c r="O16" i="10"/>
  <c r="O17" i="10"/>
  <c r="O18" i="10"/>
  <c r="O31" i="10" s="1"/>
  <c r="O19" i="10"/>
  <c r="O20" i="10"/>
  <c r="O21" i="10"/>
  <c r="O22" i="10"/>
  <c r="O23" i="10"/>
  <c r="O24" i="10"/>
  <c r="O25" i="10"/>
  <c r="O26" i="10"/>
  <c r="O27" i="10"/>
  <c r="O28" i="10"/>
  <c r="O29" i="10"/>
  <c r="O13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<sst xmlns="http://schemas.openxmlformats.org/spreadsheetml/2006/main" count="5448" uniqueCount="1477">
  <si>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</si>
  <si>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</si>
  <si>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</si>
  <si>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</si>
  <si>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</si>
  <si>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</si>
  <si>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</si>
  <si>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</si>
  <si>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</si>
  <si>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</si>
  <si>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</si>
  <si>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</si>
  <si>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</si>
  <si>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</si>
  <si>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</si>
  <si>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</si>
  <si>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</si>
  <si>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</si>
  <si>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</si>
  <si>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</si>
  <si>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</si>
  <si>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</si>
  <si>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</si>
  <si>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</si>
  <si>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</si>
  <si>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</si>
  <si>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</si>
  <si>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</si>
  <si>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</si>
  <si>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</si>
  <si>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</si>
  <si>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</si>
  <si>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</si>
  <si>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</si>
  <si>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</si>
  <si>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</si>
  <si>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</si>
  <si>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</si>
  <si>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</si>
  <si>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</si>
  <si>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</si>
  <si>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</si>
  <si>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</si>
  <si>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</si>
  <si>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</si>
  <si>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</si>
  <si>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</si>
  <si>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</si>
  <si>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</si>
  <si>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</si>
  <si>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</si>
  <si>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</si>
  <si>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</si>
  <si>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</si>
  <si>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</si>
  <si>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</si>
  <si>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</si>
  <si>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</si>
  <si>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</si>
  <si>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</si>
  <si>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</si>
  <si>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</si>
  <si>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</si>
  <si>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</si>
  <si>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</si>
  <si>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</si>
  <si>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</si>
  <si>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</si>
  <si>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</si>
  <si>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</si>
  <si>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</si>
  <si>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</si>
  <si>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</si>
  <si>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</si>
  <si>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</si>
  <si>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</si>
  <si>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</si>
  <si>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</si>
  <si>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</si>
  <si>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</si>
  <si>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</si>
  <si>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</si>
  <si>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</si>
  <si>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</si>
  <si>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</si>
  <si>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</si>
  <si>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</si>
  <si>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</si>
  <si>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</si>
  <si>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</si>
  <si>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</si>
  <si>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</si>
  <si>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</si>
  <si>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</si>
  <si>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</si>
  <si>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</si>
  <si>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</si>
  <si>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</si>
  <si>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</si>
  <si>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</si>
  <si>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</si>
  <si>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</si>
  <si>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</si>
  <si>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</si>
  <si>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</si>
  <si>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</si>
  <si>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</si>
  <si>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</si>
  <si>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</si>
  <si>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</si>
  <si>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</si>
  <si>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</si>
  <si>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</si>
  <si>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</si>
  <si>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</si>
  <si>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</si>
  <si>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</si>
  <si>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</si>
  <si>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</si>
  <si>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</si>
  <si>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</si>
  <si>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</si>
  <si>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</si>
  <si>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</si>
  <si>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</si>
  <si>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</si>
  <si>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</si>
  <si>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</si>
  <si>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</si>
  <si>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</si>
  <si>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</si>
  <si>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</si>
  <si>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</si>
  <si>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</si>
  <si>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</si>
  <si>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</si>
  <si>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</si>
  <si>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</si>
  <si>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</si>
  <si>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</si>
  <si>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</si>
  <si>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</si>
  <si>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</si>
  <si>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</si>
  <si>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</si>
  <si>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</si>
  <si>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</si>
  <si>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</si>
  <si>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</si>
  <si>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</si>
  <si>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</si>
  <si>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</si>
  <si>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</si>
  <si>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</si>
  <si>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</si>
  <si>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</si>
  <si>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</si>
  <si>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</si>
  <si>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</si>
  <si>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</si>
  <si>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</si>
  <si>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</si>
  <si>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</si>
  <si>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</si>
  <si>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</si>
  <si>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</si>
  <si>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</si>
  <si>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</si>
  <si>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</si>
  <si>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</si>
  <si>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</si>
  <si>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</si>
  <si>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</si>
  <si>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</si>
  <si>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</si>
  <si>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</si>
  <si>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</si>
  <si>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</si>
  <si>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</si>
  <si>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</si>
  <si>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</si>
  <si>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</si>
  <si>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</si>
  <si>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</si>
  <si>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</si>
  <si>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</si>
  <si>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</si>
  <si>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</si>
  <si>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</si>
  <si>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</si>
  <si>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</si>
  <si>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</si>
  <si>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</si>
  <si>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</si>
  <si>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</si>
  <si>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</si>
  <si>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</si>
  <si>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</si>
  <si>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</si>
  <si>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</si>
  <si>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</si>
  <si>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</si>
  <si>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</si>
  <si>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</si>
  <si>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</si>
  <si>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</si>
  <si>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</si>
  <si>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</si>
  <si>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</si>
  <si>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</si>
  <si>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</si>
  <si>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</si>
  <si>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</si>
  <si>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</si>
  <si>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</si>
  <si>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</si>
  <si>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</si>
  <si>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</si>
  <si>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</si>
  <si>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</si>
  <si>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</si>
  <si>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</si>
  <si>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</si>
  <si>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</si>
  <si>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</si>
  <si>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</si>
  <si>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</si>
  <si>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</si>
  <si>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</si>
  <si>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</si>
  <si>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</si>
  <si>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</si>
  <si>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</si>
  <si>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</si>
  <si>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</si>
  <si>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</si>
  <si>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</si>
  <si>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</si>
  <si>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</si>
  <si>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</si>
  <si>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</si>
  <si>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</si>
  <si>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</si>
  <si>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</si>
  <si>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</si>
  <si>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</si>
  <si>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</si>
  <si>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</si>
  <si>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</si>
  <si>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</si>
  <si>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</si>
  <si>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</si>
  <si>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</si>
  <si>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</si>
  <si>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</si>
  <si>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</si>
  <si>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</si>
  <si>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</si>
  <si>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</si>
  <si>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</si>
  <si>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</si>
  <si>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</si>
  <si>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</si>
  <si>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</si>
  <si>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</si>
  <si>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</si>
  <si>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</si>
  <si>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</si>
  <si>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</si>
  <si>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</si>
  <si>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</si>
  <si>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</si>
  <si>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</si>
  <si>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</si>
  <si>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</si>
  <si>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</si>
  <si>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</si>
  <si>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</si>
  <si>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</si>
  <si>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</si>
  <si>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</si>
  <si>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</si>
  <si>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</si>
  <si>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</si>
  <si>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</si>
  <si>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</si>
  <si>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</si>
  <si>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</si>
  <si>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</si>
  <si>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</si>
  <si>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</si>
  <si>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</si>
  <si>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</si>
  <si>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</si>
  <si>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</si>
  <si>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</si>
  <si>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</si>
  <si>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</si>
  <si>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</si>
  <si>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</si>
  <si>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</si>
  <si>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</si>
  <si>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</si>
  <si>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</si>
  <si>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</si>
  <si>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</si>
  <si>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</si>
  <si>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</si>
  <si>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</si>
  <si>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</si>
  <si>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</si>
  <si>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</si>
  <si>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</si>
  <si>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</si>
  <si>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</si>
  <si>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</si>
  <si>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</si>
  <si>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</si>
  <si>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</si>
  <si>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</si>
  <si>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</si>
  <si>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</si>
  <si>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</si>
  <si>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</si>
  <si>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</si>
  <si>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</si>
  <si>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</si>
  <si>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</si>
  <si>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</si>
  <si>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</si>
  <si>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</si>
  <si>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</si>
  <si>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</si>
  <si>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</si>
  <si>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</si>
  <si>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</si>
  <si>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</si>
  <si>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</si>
  <si>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</si>
  <si>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</si>
  <si>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</si>
  <si>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</si>
  <si>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</si>
  <si>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</si>
  <si>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</si>
  <si>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</si>
  <si>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</si>
  <si>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</si>
  <si>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</si>
  <si>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</si>
  <si>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</si>
  <si>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</si>
  <si>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</si>
  <si>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</si>
  <si>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</si>
  <si>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</si>
  <si>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</si>
  <si>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</si>
  <si>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</si>
  <si>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</si>
  <si>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</si>
  <si>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</si>
  <si>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</si>
  <si>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</si>
  <si>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</si>
  <si>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</si>
  <si>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</si>
  <si>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</si>
  <si>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</si>
  <si>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</si>
  <si>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</si>
  <si>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</si>
  <si>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</si>
  <si>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</si>
  <si>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</si>
  <si>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</si>
  <si>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</si>
  <si>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</si>
  <si>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</si>
  <si>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</si>
  <si>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</si>
  <si>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</si>
  <si>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</si>
  <si>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</si>
  <si>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</si>
  <si>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</si>
  <si>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</si>
  <si>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</si>
  <si>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</si>
  <si>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</si>
  <si>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</si>
  <si>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</si>
  <si>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</si>
  <si>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</si>
  <si>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</si>
  <si>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</si>
  <si>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</si>
  <si>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</si>
  <si>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</si>
  <si>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</si>
  <si>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</si>
  <si>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</si>
  <si>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</si>
  <si>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</si>
  <si>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</si>
  <si>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</si>
  <si>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</si>
  <si>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</si>
  <si>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</si>
  <si>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</si>
  <si>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</si>
  <si>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</si>
  <si>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</si>
  <si>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</si>
  <si>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</si>
  <si>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</si>
  <si>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</si>
  <si>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</si>
  <si>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</si>
  <si>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</si>
  <si>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</si>
  <si>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</si>
  <si>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</si>
  <si>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</si>
  <si>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</si>
  <si>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</si>
  <si>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</si>
  <si>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</si>
  <si>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</si>
  <si>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</si>
  <si>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</si>
  <si>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</si>
  <si>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</si>
  <si>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</si>
  <si>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</si>
  <si>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</si>
  <si>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</si>
  <si>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</si>
  <si>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</si>
  <si>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</si>
  <si>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</si>
  <si>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</si>
  <si>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</si>
  <si>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</si>
  <si>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</si>
  <si>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</si>
  <si>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</si>
  <si>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</si>
  <si>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</si>
  <si>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</si>
  <si>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</si>
  <si>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</si>
  <si>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</si>
  <si>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</si>
  <si>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</si>
  <si>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</si>
  <si>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</si>
  <si>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</si>
  <si>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</si>
  <si>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</si>
  <si>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</si>
  <si>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</si>
  <si>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</si>
  <si>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</si>
  <si>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</si>
  <si>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</si>
  <si>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</si>
  <si>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</si>
  <si>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</si>
  <si>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</si>
  <si>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</si>
  <si>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</si>
  <si>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</si>
  <si>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</si>
  <si>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</si>
  <si>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</si>
  <si>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</si>
  <si>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</si>
  <si>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</si>
  <si>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</si>
  <si>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</si>
  <si>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</si>
  <si>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</si>
  <si>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</si>
  <si>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</si>
  <si>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</si>
  <si>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</si>
  <si>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</si>
  <si>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</si>
  <si>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</si>
  <si>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</si>
  <si>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</si>
  <si>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</si>
  <si>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</si>
  <si>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</si>
  <si>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</si>
  <si>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</si>
  <si>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</si>
  <si>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</si>
  <si>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</si>
  <si>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</si>
  <si>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</si>
  <si>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</si>
  <si>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</si>
  <si>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</si>
  <si>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</si>
  <si>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</si>
  <si>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</si>
  <si>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</si>
  <si>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</si>
  <si>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</si>
  <si>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</si>
  <si>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</si>
  <si>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</si>
  <si>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</si>
  <si>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</si>
  <si>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</si>
  <si>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</si>
  <si>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</si>
  <si>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</si>
  <si>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</si>
  <si>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</si>
  <si>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</si>
  <si>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</si>
  <si>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</si>
  <si>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</si>
  <si>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</si>
  <si>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</si>
  <si>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</si>
  <si>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</si>
  <si>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</si>
  <si>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</si>
  <si>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</si>
  <si>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</si>
  <si>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</si>
  <si>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</si>
  <si>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</si>
  <si>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</si>
  <si>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</si>
  <si>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</si>
  <si>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</si>
  <si>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</si>
  <si>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</si>
  <si>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</si>
  <si>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</si>
  <si>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</si>
  <si>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</si>
  <si>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</si>
  <si>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</si>
  <si>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</si>
  <si>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</si>
  <si>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</si>
  <si>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</si>
  <si>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</si>
  <si>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</si>
  <si>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</si>
  <si>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</si>
  <si>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</si>
  <si>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</si>
  <si>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</si>
  <si>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</si>
  <si>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</si>
  <si>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</si>
  <si>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</si>
  <si>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</si>
  <si>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</si>
  <si>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</si>
  <si>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</si>
  <si>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</si>
  <si>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</si>
  <si>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</si>
  <si>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</si>
  <si>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</si>
  <si>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</si>
  <si>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</si>
  <si>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</si>
  <si>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</si>
  <si>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</si>
  <si>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</si>
  <si>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</si>
  <si>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</si>
  <si>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</si>
  <si>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</si>
  <si>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</si>
  <si>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</si>
  <si>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</si>
  <si>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</si>
  <si>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</si>
  <si>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</si>
  <si>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</si>
  <si>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</si>
  <si>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</si>
  <si>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</si>
  <si>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</si>
  <si>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</si>
  <si>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</si>
  <si>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</si>
  <si>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</si>
  <si>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</si>
  <si>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</si>
  <si>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</si>
  <si>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</si>
  <si>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</si>
  <si>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</si>
  <si>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</si>
  <si>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</si>
  <si>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</si>
  <si>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</si>
  <si>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</si>
  <si>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</si>
  <si>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</si>
  <si>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</si>
  <si>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</si>
  <si>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</si>
  <si>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</si>
  <si>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</si>
  <si>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</si>
  <si>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</si>
  <si>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</si>
  <si>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</si>
  <si>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</si>
  <si>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</si>
  <si>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</si>
  <si>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</si>
  <si>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</si>
  <si>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</si>
  <si>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</si>
  <si>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</si>
  <si>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</si>
  <si>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</si>
  <si>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</si>
  <si>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</si>
  <si>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</si>
  <si>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</si>
  <si>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</si>
  <si>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</si>
  <si>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</si>
  <si>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</si>
  <si>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</si>
  <si>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</si>
  <si>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</si>
  <si>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</si>
  <si>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</si>
  <si>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</si>
  <si>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</si>
  <si>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</si>
  <si>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</si>
  <si>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</si>
  <si>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</si>
  <si>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</si>
  <si>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</si>
  <si>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</si>
  <si>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</si>
  <si>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</si>
  <si>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</si>
  <si>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</si>
  <si>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</si>
  <si>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</si>
  <si>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</si>
  <si>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</si>
  <si>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</si>
  <si>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</si>
  <si>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</si>
  <si>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</si>
  <si>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</si>
  <si>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</si>
  <si>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</si>
  <si>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</si>
  <si>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</si>
  <si>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</si>
  <si>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</si>
  <si>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</si>
  <si>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</si>
  <si>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</si>
  <si>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</si>
  <si>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</si>
  <si>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</si>
  <si>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</si>
  <si>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</si>
  <si>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</si>
  <si>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</si>
  <si>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</si>
  <si>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</si>
  <si>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</si>
  <si>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</si>
  <si>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</si>
  <si>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</si>
  <si>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</si>
  <si>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</si>
  <si>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</si>
  <si>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</si>
  <si>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</si>
  <si>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</si>
  <si>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</si>
  <si>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</si>
  <si>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</si>
  <si>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</si>
  <si>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</si>
  <si>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</si>
  <si>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</si>
  <si>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</si>
  <si>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</si>
  <si>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</si>
  <si>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</si>
  <si>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</si>
  <si>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</si>
  <si>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</si>
  <si>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</si>
  <si>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</si>
  <si>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</si>
  <si>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</si>
  <si>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</si>
  <si>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</si>
  <si>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</si>
  <si>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</si>
  <si>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</si>
  <si>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</si>
  <si>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</si>
  <si>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</si>
  <si>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</si>
  <si>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</si>
  <si>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</si>
  <si>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</si>
  <si>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</si>
  <si>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</si>
  <si>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</si>
  <si>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</si>
  <si>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</si>
  <si>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</si>
  <si>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</si>
  <si>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</si>
  <si>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</si>
  <si>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</si>
  <si>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</si>
  <si>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</si>
  <si>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</si>
  <si>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</si>
  <si>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</si>
  <si>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</si>
  <si>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</si>
  <si>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</si>
  <si>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</si>
  <si>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</si>
  <si>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</si>
  <si>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</si>
  <si>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</si>
  <si>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</si>
  <si>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</si>
  <si>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</si>
  <si>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</si>
  <si>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</si>
  <si>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</si>
  <si>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</si>
  <si>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</si>
  <si>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</si>
  <si>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</si>
  <si>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</si>
  <si>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</si>
  <si>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</si>
  <si>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</si>
  <si>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</si>
  <si>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</si>
  <si>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</si>
  <si>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</si>
  <si>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</si>
  <si>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</si>
  <si>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</si>
  <si>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</si>
  <si>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</si>
  <si>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</si>
  <si>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</si>
  <si>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</si>
  <si>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</si>
  <si>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</si>
  <si>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</si>
  <si>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</si>
  <si>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</si>
  <si>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</si>
  <si>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</si>
  <si>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</si>
  <si>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</si>
  <si>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</si>
  <si>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</si>
  <si>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</si>
  <si>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</si>
  <si>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</si>
  <si>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</si>
  <si>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</si>
  <si>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</si>
  <si>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</si>
  <si>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</si>
  <si>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</si>
  <si>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</si>
  <si>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</si>
  <si>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</si>
  <si>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</si>
  <si>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</si>
  <si>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</si>
  <si>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</si>
  <si>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</si>
  <si>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</si>
  <si>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</si>
  <si>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</si>
  <si>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</si>
  <si>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</si>
  <si>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</si>
  <si>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</si>
  <si>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</si>
  <si>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</si>
  <si>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</si>
  <si>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</si>
  <si>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</si>
  <si>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</si>
  <si>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</si>
  <si>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</si>
  <si>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</si>
  <si>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</si>
  <si>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</si>
  <si>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</si>
  <si>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</si>
  <si>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</si>
  <si>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</si>
  <si>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</si>
  <si>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</si>
  <si>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</si>
  <si>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</si>
  <si>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</si>
  <si>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</si>
  <si>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</si>
  <si>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</si>
  <si>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</si>
  <si>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</si>
  <si>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</si>
  <si>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</si>
  <si>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</si>
  <si>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</si>
  <si>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</si>
  <si>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</si>
  <si>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</si>
  <si>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</si>
  <si>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</si>
  <si>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</si>
  <si>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</si>
  <si>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</si>
  <si>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</si>
  <si>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</si>
  <si>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</si>
  <si>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</si>
  <si>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</si>
  <si>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</si>
  <si>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</si>
  <si>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</si>
  <si>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</si>
  <si>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</si>
  <si>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</si>
  <si>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</si>
  <si>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</si>
  <si>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</si>
  <si>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</si>
  <si>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</si>
  <si>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</si>
  <si>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</si>
  <si>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</si>
  <si>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</si>
  <si>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</si>
  <si>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</si>
  <si>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</si>
  <si>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</si>
  <si>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</si>
  <si>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</si>
  <si>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</si>
  <si>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</si>
  <si>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</si>
  <si>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</si>
  <si>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</si>
  <si>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</si>
  <si>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</si>
  <si>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</si>
  <si>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</si>
  <si>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</si>
  <si>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</si>
  <si>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</si>
  <si>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</si>
  <si>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</si>
  <si>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</si>
  <si>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</si>
  <si>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</si>
  <si>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</si>
  <si>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</si>
  <si>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</si>
  <si>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</si>
  <si>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</si>
  <si>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</si>
  <si>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</si>
  <si>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</si>
  <si>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</si>
  <si>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</si>
  <si>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</si>
  <si>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</si>
  <si>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</si>
  <si>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</si>
  <si>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</si>
  <si>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</si>
  <si>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</si>
  <si>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</si>
  <si>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</si>
  <si>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</si>
  <si>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</si>
  <si>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</si>
  <si>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</si>
  <si>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</si>
  <si>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</si>
  <si>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</si>
  <si>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</si>
  <si>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</si>
  <si>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</si>
  <si>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</si>
  <si>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</si>
  <si>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</si>
  <si>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</si>
  <si>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</si>
  <si>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</si>
  <si>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</si>
  <si>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</si>
  <si>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</si>
  <si>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</si>
  <si>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</si>
  <si>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</si>
  <si>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</si>
  <si>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</si>
  <si>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</si>
  <si>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</si>
  <si>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</si>
  <si>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</si>
  <si>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</si>
  <si>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</si>
  <si>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</si>
  <si>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</si>
  <si>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</si>
  <si>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</si>
  <si>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</si>
  <si>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</si>
  <si>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</si>
  <si>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</si>
  <si>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</si>
  <si>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</si>
  <si>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</si>
  <si>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</si>
  <si>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</si>
  <si>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</si>
  <si>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</si>
  <si>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</si>
  <si>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</si>
  <si>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</si>
  <si>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</si>
  <si>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</si>
  <si>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</si>
  <si>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</si>
  <si>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</si>
  <si>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</si>
  <si>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</si>
  <si>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</si>
  <si>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</si>
  <si>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</si>
  <si>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</si>
  <si>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</si>
  <si>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</si>
  <si>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</si>
  <si>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</si>
  <si>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</si>
  <si>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</si>
  <si>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</si>
  <si>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</si>
  <si>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</si>
  <si>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</si>
  <si>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</si>
  <si>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</si>
  <si>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</si>
  <si>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</si>
  <si>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</si>
  <si>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</si>
  <si>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</si>
  <si>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</si>
  <si>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</si>
  <si>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</si>
  <si>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</si>
  <si>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</si>
  <si>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</si>
  <si>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</si>
  <si>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</si>
  <si>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</si>
  <si>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</si>
  <si>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</si>
  <si>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</si>
  <si>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</si>
  <si>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</si>
  <si>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</si>
  <si>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</si>
  <si>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</si>
  <si>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</si>
  <si>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</si>
  <si>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</si>
  <si>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</si>
  <si>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</si>
  <si>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</si>
  <si>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</si>
  <si>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</si>
  <si>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</si>
  <si>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</si>
  <si>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</si>
  <si>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</si>
  <si>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</si>
  <si>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</si>
  <si>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</si>
  <si>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</si>
  <si>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</si>
  <si>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</si>
  <si>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</si>
  <si>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</si>
  <si>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</si>
  <si>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</si>
  <si>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</si>
  <si>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</si>
  <si>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</si>
  <si>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</si>
  <si>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</si>
  <si>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</si>
  <si>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</si>
  <si>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</si>
  <si>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</si>
  <si>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</si>
  <si>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</si>
  <si>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</si>
  <si>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</si>
  <si>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</si>
  <si>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</si>
  <si>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</si>
  <si>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</si>
  <si>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</si>
  <si>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</si>
  <si>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</si>
  <si>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</si>
  <si>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</si>
  <si>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</si>
  <si>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</si>
  <si>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</si>
  <si>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</si>
  <si>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</si>
  <si>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</si>
  <si>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</si>
  <si>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</si>
  <si>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</si>
  <si>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</si>
  <si>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</si>
  <si>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</si>
  <si>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</si>
  <si>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</si>
  <si>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</si>
  <si>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</si>
  <si>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</si>
  <si>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</si>
  <si>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</si>
  <si>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</si>
  <si>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</si>
  <si>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</si>
  <si>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</si>
  <si>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</si>
  <si>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</si>
  <si>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</si>
  <si>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</si>
  <si>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</si>
  <si>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</si>
  <si>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</si>
  <si>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</si>
  <si>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</si>
  <si>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</si>
  <si>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</si>
  <si>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</si>
  <si>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</si>
  <si>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</si>
  <si>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</si>
  <si>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</si>
  <si>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</si>
  <si>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</si>
  <si>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</si>
  <si>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</si>
  <si>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</si>
  <si>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</si>
  <si>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</si>
  <si>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</si>
  <si>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</si>
  <si>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</si>
  <si>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</si>
  <si>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</si>
  <si>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</si>
  <si>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</si>
  <si>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</si>
  <si>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</si>
  <si>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</si>
  <si>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</si>
  <si>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</si>
  <si>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</si>
  <si>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</si>
  <si>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</si>
  <si>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</si>
  <si>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</si>
  <si>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</si>
  <si>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</si>
  <si>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</si>
  <si>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</si>
  <si>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</si>
  <si>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</si>
  <si>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</si>
  <si>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</si>
  <si>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</si>
  <si>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</si>
  <si>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</si>
  <si>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</si>
  <si>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</si>
  <si>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</si>
  <si>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</si>
  <si>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</si>
  <si>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</si>
  <si>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</si>
  <si>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</si>
  <si>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</si>
  <si>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</si>
  <si>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</si>
  <si>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</si>
  <si>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</si>
  <si>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</si>
  <si>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</si>
  <si>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</si>
  <si>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</si>
  <si>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</si>
  <si>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</si>
  <si>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</si>
  <si>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</si>
  <si>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</si>
  <si>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</si>
  <si>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</si>
  <si>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</si>
  <si>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</si>
  <si>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</si>
  <si>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</si>
  <si>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</si>
  <si>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</si>
  <si>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</si>
  <si>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</si>
  <si>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</si>
  <si>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</si>
  <si>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</si>
  <si>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</si>
  <si>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</si>
  <si>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</si>
  <si>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</si>
  <si>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</si>
  <si>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</si>
  <si>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</si>
  <si>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</si>
  <si>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</si>
  <si>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</si>
  <si>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</si>
  <si>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</si>
  <si>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</si>
  <si>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</si>
  <si>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</si>
  <si>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</si>
  <si>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</si>
  <si>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</si>
  <si>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</si>
  <si>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</si>
  <si>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</si>
  <si>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</si>
  <si>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</si>
  <si>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</si>
  <si>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</si>
  <si>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</si>
  <si>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</si>
  <si>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</si>
  <si>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</si>
  <si>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</si>
  <si>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</si>
  <si>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</si>
  <si>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</si>
  <si>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</si>
  <si>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</si>
  <si>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</si>
  <si>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</si>
  <si>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</si>
  <si>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</si>
  <si>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</si>
  <si>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</si>
  <si>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</si>
  <si>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</si>
  <si>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</si>
  <si>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</si>
  <si>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</si>
  <si>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</si>
  <si>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</si>
  <si>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</si>
  <si>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</si>
  <si>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</si>
  <si>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</si>
  <si>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</si>
  <si>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</si>
  <si>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</si>
  <si>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</si>
  <si>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</si>
  <si>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</si>
  <si>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</si>
  <si>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</si>
  <si>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</si>
  <si>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</si>
  <si>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</si>
  <si>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</si>
  <si>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</si>
  <si>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</si>
  <si>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</si>
  <si>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</si>
  <si>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</si>
  <si>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</si>
  <si>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</si>
  <si>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</si>
  <si>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</si>
  <si>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</si>
  <si>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</si>
  <si>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</si>
  <si>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</si>
  <si>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</si>
  <si>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</si>
  <si>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</si>
  <si>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</si>
  <si>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</si>
  <si>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</si>
  <si>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</si>
  <si>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</si>
  <si>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</si>
  <si>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</si>
  <si>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</si>
  <si>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</si>
  <si>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</si>
  <si>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</si>
  <si>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</si>
  <si>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</si>
  <si>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</si>
  <si>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</si>
  <si>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</si>
  <si>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</si>
  <si>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</si>
  <si>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</si>
  <si>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</si>
  <si>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</si>
  <si>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</si>
  <si>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</si>
  <si>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</si>
  <si>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</si>
  <si>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</si>
  <si>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</si>
  <si>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</si>
  <si>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</si>
  <si>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</si>
  <si>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</si>
  <si>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</si>
  <si>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</si>
  <si>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</si>
  <si>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</si>
  <si>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</si>
  <si>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</si>
  <si>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</si>
  <si>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</si>
  <si>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</si>
  <si>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</si>
  <si>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</si>
  <si>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</si>
  <si>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</si>
  <si>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</si>
  <si>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</si>
  <si>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</si>
  <si>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</si>
  <si>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</si>
  <si>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</si>
  <si>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</si>
  <si>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</si>
  <si>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</si>
  <si>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</si>
  <si>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</si>
  <si>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</si>
  <si>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</si>
  <si>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</si>
  <si>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</si>
  <si>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</si>
  <si>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</si>
  <si>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</si>
  <si>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</si>
  <si>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</si>
  <si>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</si>
  <si>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</si>
  <si>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</si>
  <si>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</si>
  <si>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</si>
  <si>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</si>
  <si>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</si>
  <si>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</si>
  <si>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</si>
  <si>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</si>
  <si>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</si>
  <si>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</si>
  <si>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</si>
  <si>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</si>
  <si>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</si>
  <si>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</si>
  <si>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</si>
  <si>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</si>
  <si>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</si>
  <si>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</si>
  <si>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</si>
  <si>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</si>
  <si>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</si>
  <si>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</si>
  <si>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</si>
  <si>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</si>
  <si>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</si>
  <si>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</si>
  <si>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</si>
  <si>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</si>
  <si>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</si>
  <si>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</si>
  <si>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</si>
  <si>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</si>
  <si>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</si>
  <si>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</si>
  <si>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</si>
  <si>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</si>
  <si>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</si>
  <si>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</si>
  <si>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</si>
  <si>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</si>
  <si>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</si>
  <si>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</si>
  <si>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</si>
  <si>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</si>
  <si>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</si>
  <si>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</si>
  <si>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</si>
  <si>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</si>
  <si>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</si>
  <si>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</si>
  <si>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</si>
  <si>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</si>
  <si>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</si>
  <si>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</si>
  <si>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</si>
  <si>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</si>
  <si>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</si>
  <si>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</si>
  <si>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</si>
  <si>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</si>
  <si>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</si>
  <si>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</si>
  <si>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</si>
  <si>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</si>
  <si>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</si>
  <si>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</si>
  <si>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</si>
  <si>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</si>
  <si>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</si>
  <si>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</si>
  <si>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</si>
  <si>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</si>
  <si>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</si>
  <si>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</si>
  <si>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</si>
  <si>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</si>
  <si>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</si>
  <si>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</si>
  <si>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</si>
  <si>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</si>
  <si>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</si>
  <si>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</si>
  <si>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</si>
  <si>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</si>
  <si>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</si>
  <si>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</si>
  <si>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</si>
  <si>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</si>
  <si>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</si>
  <si>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</si>
  <si>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</si>
  <si>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</si>
  <si>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</si>
  <si>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</si>
  <si>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</si>
  <si>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</si>
  <si>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</si>
  <si>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</si>
  <si>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</si>
  <si>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</si>
  <si>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</si>
  <si>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</si>
  <si>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</si>
  <si>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</si>
  <si>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</si>
  <si>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</si>
  <si>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</si>
  <si>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</si>
  <si>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</si>
  <si>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</si>
  <si>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</si>
  <si>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</si>
  <si>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</si>
  <si>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</si>
  <si>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</si>
  <si>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</si>
  <si>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</si>
  <si>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</si>
  <si>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</si>
  <si>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</si>
  <si>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</si>
  <si>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</si>
  <si>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</si>
  <si>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</si>
  <si>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</si>
  <si>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</si>
  <si>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</si>
  <si>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</si>
  <si>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</si>
  <si>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</si>
  <si>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</si>
  <si>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</si>
  <si>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</si>
  <si>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</si>
  <si>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</si>
  <si>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</si>
  <si>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</si>
  <si>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</si>
  <si>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</si>
  <si>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</si>
  <si>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</si>
  <si>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</si>
  <si>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</si>
  <si>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</si>
  <si>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</si>
  <si>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</si>
  <si>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</si>
  <si>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</si>
  <si>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</si>
  <si>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</si>
  <si>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</si>
  <si>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</si>
  <si>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</si>
  <si>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Alutek Puçol</t>
  </si>
  <si>
    <t>Unicque</t>
  </si>
  <si>
    <t>ok</t>
  </si>
  <si>
    <t>ADINOR</t>
  </si>
  <si>
    <t>Desc.</t>
  </si>
  <si>
    <t>Tarifa</t>
  </si>
  <si>
    <t>DESCUENTO</t>
  </si>
  <si>
    <t>SK.KGDCS.L.NM.</t>
  </si>
  <si>
    <t>KIT GUIA SKY DESMONT LACA NEGRO MATE 2m</t>
  </si>
  <si>
    <t>SK.ST.120</t>
  </si>
  <si>
    <t>KIT ANCLAJE TECHO PARA GUÍA PLUS DESMON</t>
  </si>
  <si>
    <t>SKGD.AMBID.80</t>
  </si>
  <si>
    <t>KIT AMORT SKY DESMONT BIDIRECCION 80KG ((MINIMO HOJA 725 A PARTIR DE 1080 2 FRENOS NORMALES)</t>
  </si>
  <si>
    <t>SK.C.120</t>
  </si>
  <si>
    <t>CARRO SKY MADERA 120Kg</t>
  </si>
  <si>
    <t>PA.L.NMT</t>
  </si>
  <si>
    <t>KIT PUERTA PA CORRE LACA NEGRO MATE TEXT</t>
  </si>
  <si>
    <t>PAEVH.L.NMT</t>
  </si>
  <si>
    <t>PERFIL EMBELL ADHES NEGRO MATE TEXT 2,8M</t>
  </si>
  <si>
    <t>PA.TCA.L.NMT</t>
  </si>
  <si>
    <t>TIRAD RECT ADH CAVE LACADO NEGRO TEXT 2U (RECOMENDADO CON JAPONESAS ADHESIVAS)</t>
  </si>
  <si>
    <t>PAF.I1.L.NMT</t>
  </si>
  <si>
    <t>KIT FIJO PA 1m Lacado Negro Mate Texturizado</t>
  </si>
  <si>
    <t>PAF.F3U.L.NMT</t>
  </si>
  <si>
    <t>KIT FIJO PA 3 LAD U LACA NEGRO MATE TEXT</t>
  </si>
  <si>
    <t>PVP Adinor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</si>
</sst>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20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theme="9"/>
      <name val="Calibri"/>
      <family val="2"/>
    </font>
    <font>
      <b/>
      <sz val="11"/>
      <color theme="9"/>
      <name val="Calibri"/>
      <family val="2"/>
    </font>
    <font>
      <sz val="11"/>
      <color rgb="FFFFC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44" fontId="0" fillId="0" borderId="0" xfId="0" applyNumberFormat="1"/>
    <xf numFmtId="44" fontId="0" fillId="0" borderId="0" xfId="1" applyFont="1" applyAlignment="1">
      <alignment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vertical="top"/>
    </xf>
    <xf numFmtId="44" fontId="17" fillId="0" borderId="0" xfId="1" applyFont="1" applyAlignment="1">
      <alignment vertical="top"/>
    </xf>
    <xf numFmtId="165" fontId="18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/>
    </xf>
    <xf numFmtId="44" fontId="19" fillId="0" borderId="0" xfId="1" applyFont="1" applyAlignment="1">
      <alignment vertical="top"/>
    </xf>
    <xf numFmtId="0" fontId="8" fillId="0" borderId="0" xfId="0" applyFont="1" applyAlignment="1">
      <alignment horizontal="right"/>
    </xf>
    <xf numFmtId="44" fontId="8" fillId="0" borderId="0" xfId="0" applyNumberFormat="1" applyFont="1"/>
    <xf numFmtId="0" fontId="0" fillId="14" borderId="0" xfId="0" applyFill="1" applyAlignment="1">
      <alignment horizontal="right"/>
    </xf>
    <xf numFmtId="44" fontId="0" fillId="14" borderId="0" xfId="0" applyNumberFormat="1" applyFill="1"/>
    <xf numFmtId="0" fontId="8" fillId="15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 vertical="top"/>
    </xf>
    <xf numFmtId="165" fontId="0" fillId="15" borderId="0" xfId="0" applyNumberFormat="1" applyFill="1" applyAlignment="1">
      <alignment horizontal="right" vertical="top"/>
    </xf>
    <xf numFmtId="165" fontId="0" fillId="2" borderId="0" xfId="0" applyNumberFormat="1" applyFill="1" applyAlignment="1">
      <alignment horizontal="right" vertical="top"/>
    </xf>
    <xf numFmtId="0" fontId="15" fillId="2" borderId="0" xfId="0" applyFont="1" applyFill="1" applyAlignment="1">
      <alignment horizontal="left" vertical="top"/>
    </xf>
    <xf numFmtId="0" fontId="16" fillId="2" borderId="0" xfId="0" applyFont="1" applyFill="1" applyAlignment="1">
      <alignment horizontal="center" vertical="top"/>
    </xf>
    <xf numFmtId="165" fontId="16" fillId="15" borderId="0" xfId="0" applyNumberFormat="1" applyFont="1" applyFill="1" applyAlignment="1">
      <alignment horizontal="right" vertical="top"/>
    </xf>
    <xf numFmtId="165" fontId="16" fillId="2" borderId="0" xfId="0" applyNumberFormat="1" applyFont="1" applyFill="1" applyAlignment="1">
      <alignment horizontal="right" vertical="top"/>
    </xf>
    <xf numFmtId="0" fontId="18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center" vertical="top"/>
    </xf>
    <xf numFmtId="165" fontId="17" fillId="15" borderId="0" xfId="0" applyNumberFormat="1" applyFont="1" applyFill="1" applyAlignment="1">
      <alignment horizontal="right" vertical="top"/>
    </xf>
    <xf numFmtId="165" fontId="17" fillId="2" borderId="0" xfId="0" applyNumberFormat="1" applyFont="1" applyFill="1" applyAlignment="1">
      <alignment horizontal="right" vertical="top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Q79"/>
  <sheetViews>
    <sheetView tabSelected="1" view="pageBreakPreview" zoomScale="60" zoomScaleNormal="80" workbookViewId="0">
      <selection activeCell="G31" sqref="G3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12" max="12" width="43.7109375" customWidth="1"/>
    <col min="15" max="15" width="19.5703125" customWidth="1"/>
  </cols>
  <sheetData>
    <row r="1" spans="1:17" x14ac:dyDescent="0.25">
      <c r="H1" s="1"/>
      <c r="I1" s="1"/>
      <c r="J1" s="1"/>
      <c r="K1" s="1"/>
      <c r="L1" s="1"/>
    </row>
    <row r="2" spans="1:17" ht="40.5" customHeight="1" x14ac:dyDescent="0.25">
      <c r="G2" s="2" t="s">
        <v>0</v>
      </c>
      <c r="H2" s="1"/>
      <c r="I2" s="1"/>
      <c r="J2" s="1"/>
      <c r="K2" s="1"/>
      <c r="L2" s="1"/>
    </row>
    <row r="3" spans="1:17" ht="21" x14ac:dyDescent="0.35">
      <c r="E3" s="105" t="s">
        <v>1</v>
      </c>
      <c r="F3" s="105"/>
      <c r="G3" s="105"/>
      <c r="H3" s="106"/>
      <c r="I3" s="106"/>
      <c r="J3" s="106"/>
      <c r="K3" s="106"/>
      <c r="L3" s="106"/>
    </row>
    <row r="5" spans="1:17" ht="18.75" x14ac:dyDescent="0.25">
      <c r="B5" s="107" t="s">
        <v>2</v>
      </c>
      <c r="C5" s="107" t="s">
        <v>3</v>
      </c>
      <c r="D5" s="66"/>
      <c r="E5" s="4"/>
      <c r="F5" s="4"/>
      <c r="G5" s="5" t="s">
        <v>4</v>
      </c>
    </row>
    <row r="7" spans="1:17" x14ac:dyDescent="0.25">
      <c r="B7" s="6" t="s">
        <v>5</v>
      </c>
      <c r="C7" s="7">
        <v>20250117</v>
      </c>
      <c r="G7" s="8">
        <f ca="1">TODAY()</f>
        <v>45810</v>
      </c>
    </row>
    <row r="8" spans="1:17" x14ac:dyDescent="0.25">
      <c r="B8" s="9" t="s">
        <v>6</v>
      </c>
      <c r="C8" s="10" t="s">
        <v>1451</v>
      </c>
    </row>
    <row r="9" spans="1:17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7" x14ac:dyDescent="0.25">
      <c r="B10" s="3"/>
      <c r="C10" s="11"/>
      <c r="H10" s="1"/>
      <c r="I10" s="1"/>
      <c r="J10" s="1"/>
      <c r="K10" s="1"/>
      <c r="L10" s="1"/>
    </row>
    <row r="11" spans="1:17" x14ac:dyDescent="0.25">
      <c r="B11" s="3"/>
      <c r="C11" s="11"/>
      <c r="H11" s="1"/>
      <c r="I11" s="1"/>
      <c r="J11" s="1"/>
      <c r="K11" s="48" t="s">
        <v>1454</v>
      </c>
      <c r="L11" s="1"/>
      <c r="O11" s="76">
        <v>0.3</v>
      </c>
      <c r="P11" s="76">
        <v>1.5</v>
      </c>
    </row>
    <row r="12" spans="1:17" x14ac:dyDescent="0.25">
      <c r="B12" s="12" t="s">
        <v>9</v>
      </c>
      <c r="C12" s="13" t="s">
        <v>10</v>
      </c>
      <c r="D12" s="14"/>
      <c r="E12" s="14" t="s">
        <v>11</v>
      </c>
      <c r="F12" s="92" t="s">
        <v>12</v>
      </c>
      <c r="G12" s="15" t="s">
        <v>13</v>
      </c>
      <c r="H12" s="1"/>
      <c r="K12" t="s">
        <v>496</v>
      </c>
      <c r="L12" t="s">
        <v>1455</v>
      </c>
      <c r="M12" s="7" t="s">
        <v>11</v>
      </c>
      <c r="N12" s="7" t="s">
        <v>1456</v>
      </c>
      <c r="O12" s="7" t="s">
        <v>1457</v>
      </c>
      <c r="P12" s="88" t="s">
        <v>12</v>
      </c>
      <c r="Q12" s="90" t="s">
        <v>1476</v>
      </c>
    </row>
    <row r="13" spans="1:17" x14ac:dyDescent="0.25">
      <c r="A13" t="s">
        <v>14</v>
      </c>
      <c r="B13" s="93" t="s">
        <v>1016</v>
      </c>
      <c r="C13" s="108" t="str">
        <f>IFERROR(VLOOKUP($B13,Tarifa_all_20240711!$A$2:$G$660,2,FALSE()),"-")</f>
        <v>CARC.SIMPLE GUIA DESM.LAC.6 ESP.2-2 MTS</v>
      </c>
      <c r="D13" s="108"/>
      <c r="E13" s="94">
        <v>1</v>
      </c>
      <c r="F13" s="95">
        <f>IFERROR(VLOOKUP($B13,Tarifa_all_20240711!$A$2:$G$660,5,FALSE()),"-")</f>
        <v>64.042500000000004</v>
      </c>
      <c r="G13" s="96">
        <f t="shared" ref="G13:G30" si="0">IFERROR(E13*F13,"-")</f>
        <v>64.042500000000004</v>
      </c>
      <c r="H13" s="10" t="s">
        <v>1453</v>
      </c>
      <c r="I13" s="10"/>
      <c r="K13" s="45" t="s">
        <v>1458</v>
      </c>
      <c r="L13" s="32" t="s">
        <v>1459</v>
      </c>
      <c r="M13" s="46">
        <v>1</v>
      </c>
      <c r="N13" s="78">
        <v>92.82</v>
      </c>
      <c r="O13" s="78">
        <f>N13*(1-$O$11)*M13</f>
        <v>64.97399999999999</v>
      </c>
      <c r="P13" s="89">
        <f>O13*$P$11</f>
        <v>97.460999999999984</v>
      </c>
      <c r="Q13" s="91">
        <f>IFERROR((N13*(1-$O$11))*($P$11),0)</f>
        <v>97.460999999999984</v>
      </c>
    </row>
    <row r="14" spans="1:17" x14ac:dyDescent="0.25">
      <c r="A14" t="s">
        <v>15</v>
      </c>
      <c r="B14" s="93" t="s">
        <v>976</v>
      </c>
      <c r="C14" s="108" t="str">
        <f>IFERROR(VLOOKUP($B14,Tarifa_all_20240711!$A$2:$G$660,2,FALSE()),"-")</f>
        <v>GUIA SKY PLUS DESMONT.LAC.6 ESP.2-2 MTS</v>
      </c>
      <c r="D14" s="108"/>
      <c r="E14" s="94">
        <v>1</v>
      </c>
      <c r="F14" s="95">
        <f>IFERROR(VLOOKUP($B14,Tarifa_all_20240711!$A$2:$G$660,5,FALSE()),"-")</f>
        <v>47.910000000000004</v>
      </c>
      <c r="G14" s="96">
        <f t="shared" si="0"/>
        <v>47.910000000000004</v>
      </c>
      <c r="H14" s="10" t="s">
        <v>1453</v>
      </c>
      <c r="I14" s="10"/>
      <c r="O14" s="78">
        <f t="shared" ref="O14:O29" si="1">N14*(1-$O$11)*M14</f>
        <v>0</v>
      </c>
      <c r="P14" s="89">
        <f t="shared" ref="P14:P29" si="2">O14*$P$11</f>
        <v>0</v>
      </c>
      <c r="Q14" s="91">
        <f t="shared" ref="Q14:Q29" si="3">IFERROR((N14*(1-$O$11))*($P$11),0)</f>
        <v>0</v>
      </c>
    </row>
    <row r="15" spans="1:17" x14ac:dyDescent="0.25">
      <c r="A15" t="s">
        <v>16</v>
      </c>
      <c r="B15" s="93" t="s">
        <v>297</v>
      </c>
      <c r="C15" s="108" t="str">
        <f>IFERROR(VLOOKUP($B15,Tarifa_all_20240711!$A$2:$G$660,2,FALSE()),"-")</f>
        <v>KIT ANCLAJE TECHO PARA GUIA PLADUR PLUS DEMONTABLE</v>
      </c>
      <c r="D15" s="108"/>
      <c r="E15" s="94">
        <v>4</v>
      </c>
      <c r="F15" s="95">
        <f>IFERROR(VLOOKUP($B15,Tarifa_all_20240711!$A$2:$G$660,5,FALSE()),"-")</f>
        <v>11.737500000000001</v>
      </c>
      <c r="G15" s="96">
        <f t="shared" si="0"/>
        <v>46.95</v>
      </c>
      <c r="H15" s="10">
        <v>3</v>
      </c>
      <c r="I15" s="10"/>
      <c r="K15" s="45" t="s">
        <v>1460</v>
      </c>
      <c r="L15" s="32" t="s">
        <v>1461</v>
      </c>
      <c r="M15" s="46">
        <v>5</v>
      </c>
      <c r="N15" s="46">
        <v>9.8506199999999993</v>
      </c>
      <c r="O15" s="78">
        <f t="shared" si="1"/>
        <v>34.477169999999994</v>
      </c>
      <c r="P15" s="89">
        <f t="shared" si="2"/>
        <v>51.715754999999987</v>
      </c>
      <c r="Q15" s="91">
        <f t="shared" si="3"/>
        <v>10.343150999999999</v>
      </c>
    </row>
    <row r="16" spans="1:17" ht="45" x14ac:dyDescent="0.25">
      <c r="A16" t="s">
        <v>17</v>
      </c>
      <c r="B16" s="93" t="s">
        <v>566</v>
      </c>
      <c r="C16" s="108" t="str">
        <f>IFERROR(VLOOKUP($B16,Tarifa_all_20240711!$A$2:$G$660,2,FALSE()),"-")</f>
        <v>KIT AMORTIGUADOR SKY GUIA DESMONT. BIDIRECCIONAL 60KG</v>
      </c>
      <c r="D16" s="108"/>
      <c r="E16" s="94">
        <v>1</v>
      </c>
      <c r="F16" s="95">
        <f>IFERROR(VLOOKUP($B16,Tarifa_all_20240711!$A$2:$G$660,5,FALSE()),"-")</f>
        <v>30.599999999999998</v>
      </c>
      <c r="G16" s="96">
        <f t="shared" si="0"/>
        <v>30.599999999999998</v>
      </c>
      <c r="H16" s="10" t="s">
        <v>1453</v>
      </c>
      <c r="I16" s="10"/>
      <c r="K16" s="45" t="s">
        <v>1462</v>
      </c>
      <c r="L16" s="32" t="s">
        <v>1463</v>
      </c>
      <c r="M16" s="46">
        <v>1</v>
      </c>
      <c r="N16" s="46">
        <v>33.336500000000001</v>
      </c>
      <c r="O16" s="78">
        <f t="shared" si="1"/>
        <v>23.335549999999998</v>
      </c>
      <c r="P16" s="89">
        <f t="shared" si="2"/>
        <v>35.003324999999997</v>
      </c>
      <c r="Q16" s="91">
        <f t="shared" si="3"/>
        <v>35.003324999999997</v>
      </c>
    </row>
    <row r="17" spans="1:17" x14ac:dyDescent="0.25">
      <c r="A17" t="s">
        <v>18</v>
      </c>
      <c r="B17" s="93" t="s">
        <v>134</v>
      </c>
      <c r="C17" s="108" t="str">
        <f>IFERROR(VLOOKUP($B17,Tarifa_all_20240711!$A$2:$G$660,2,FALSE()),"-")</f>
        <v>KIT PUERTA PA CORREDERA LAC.NEGRO TEXTURADO</v>
      </c>
      <c r="D17" s="108"/>
      <c r="E17" s="94">
        <v>1</v>
      </c>
      <c r="F17" s="95">
        <f>IFERROR(VLOOKUP($B17,Tarifa_all_20240711!$A$2:$G$660,5,FALSE()),"-")</f>
        <v>215.65500000000003</v>
      </c>
      <c r="G17" s="96">
        <f t="shared" si="0"/>
        <v>215.65500000000003</v>
      </c>
      <c r="H17" s="10" t="s">
        <v>1453</v>
      </c>
      <c r="I17" s="10"/>
      <c r="K17" s="45" t="s">
        <v>1466</v>
      </c>
      <c r="L17" s="32" t="s">
        <v>1467</v>
      </c>
      <c r="M17" s="46">
        <v>1</v>
      </c>
      <c r="N17" s="46">
        <v>246.60599999999999</v>
      </c>
      <c r="O17" s="78">
        <f t="shared" si="1"/>
        <v>172.62419999999997</v>
      </c>
      <c r="P17" s="89">
        <f t="shared" si="2"/>
        <v>258.93629999999996</v>
      </c>
      <c r="Q17" s="91">
        <f t="shared" si="3"/>
        <v>258.93629999999996</v>
      </c>
    </row>
    <row r="18" spans="1:17" x14ac:dyDescent="0.25">
      <c r="A18" t="s">
        <v>19</v>
      </c>
      <c r="B18" s="93" t="s">
        <v>337</v>
      </c>
      <c r="C18" s="108" t="str">
        <f>IFERROR(VLOOKUP($B18,Tarifa_all_20240711!$A$2:$G$660,2,FALSE()),"-")</f>
        <v>CARRO SKY MADERA 120KG</v>
      </c>
      <c r="D18" s="108"/>
      <c r="E18" s="94">
        <v>1</v>
      </c>
      <c r="F18" s="95">
        <f>IFERROR(VLOOKUP($B18,Tarifa_all_20240711!$A$2:$G$660,5,FALSE()),"-")</f>
        <v>29.954999999999998</v>
      </c>
      <c r="G18" s="96">
        <f t="shared" si="0"/>
        <v>29.954999999999998</v>
      </c>
      <c r="H18" s="10" t="s">
        <v>1453</v>
      </c>
      <c r="I18" s="10"/>
      <c r="K18" s="45" t="s">
        <v>1464</v>
      </c>
      <c r="L18" s="32" t="s">
        <v>1465</v>
      </c>
      <c r="M18" s="46">
        <v>1</v>
      </c>
      <c r="N18" s="46">
        <v>27.851900000000001</v>
      </c>
      <c r="O18" s="78">
        <f t="shared" si="1"/>
        <v>19.49633</v>
      </c>
      <c r="P18" s="89">
        <f t="shared" si="2"/>
        <v>29.244495000000001</v>
      </c>
      <c r="Q18" s="91">
        <f t="shared" si="3"/>
        <v>29.244495000000001</v>
      </c>
    </row>
    <row r="19" spans="1:17" ht="30" x14ac:dyDescent="0.25">
      <c r="A19" t="s">
        <v>20</v>
      </c>
      <c r="B19" s="93" t="s">
        <v>515</v>
      </c>
      <c r="C19" s="108" t="str">
        <f>IFERROR(VLOOKUP($B19,Tarifa_all_20240711!$A$2:$G$660,2,FALSE()),"-")</f>
        <v>TIRADOR RECT.ADH CAVE LAC.NEGRO TEXTURADO: 2 UDS</v>
      </c>
      <c r="D19" s="108"/>
      <c r="E19" s="94">
        <v>1</v>
      </c>
      <c r="F19" s="95">
        <f>IFERROR(VLOOKUP($B19,Tarifa_all_20240711!$A$2:$G$660,5,FALSE()),"-")</f>
        <v>59.122500000000002</v>
      </c>
      <c r="G19" s="96">
        <f t="shared" si="0"/>
        <v>59.122500000000002</v>
      </c>
      <c r="H19" s="10">
        <v>35056</v>
      </c>
      <c r="I19" s="10">
        <v>35054</v>
      </c>
      <c r="K19" s="45" t="s">
        <v>1470</v>
      </c>
      <c r="L19" s="32" t="s">
        <v>1471</v>
      </c>
      <c r="M19" s="46">
        <v>1</v>
      </c>
      <c r="N19" s="46">
        <v>61.844999999999999</v>
      </c>
      <c r="O19" s="78">
        <f t="shared" si="1"/>
        <v>43.291499999999999</v>
      </c>
      <c r="P19" s="89">
        <f t="shared" si="2"/>
        <v>64.937250000000006</v>
      </c>
      <c r="Q19" s="91">
        <f t="shared" si="3"/>
        <v>64.937250000000006</v>
      </c>
    </row>
    <row r="20" spans="1:17" x14ac:dyDescent="0.25">
      <c r="A20" t="s">
        <v>21</v>
      </c>
      <c r="B20" s="93" t="s">
        <v>1136</v>
      </c>
      <c r="C20" s="108" t="str">
        <f>IFERROR(VLOOKUP($B20,Tarifa_all_20240711!$A$2:$G$660,2,FALSE()),"-")</f>
        <v>GUIADOR FIJO PA LAC.NEGRO TEXTURADO</v>
      </c>
      <c r="D20" s="108"/>
      <c r="E20" s="94">
        <v>1</v>
      </c>
      <c r="F20" s="95">
        <f>IFERROR(VLOOKUP($B20,Tarifa_all_20240711!$A$2:$G$660,5,FALSE()),"-")</f>
        <v>8.61</v>
      </c>
      <c r="G20" s="96">
        <f t="shared" si="0"/>
        <v>8.61</v>
      </c>
      <c r="H20" s="10" t="s">
        <v>1453</v>
      </c>
      <c r="I20" s="10"/>
      <c r="K20" s="45"/>
      <c r="L20" s="32"/>
      <c r="M20" s="46"/>
      <c r="N20" s="46"/>
      <c r="O20" s="78">
        <f t="shared" si="1"/>
        <v>0</v>
      </c>
      <c r="P20" s="89">
        <f t="shared" si="2"/>
        <v>0</v>
      </c>
      <c r="Q20" s="91">
        <f t="shared" si="3"/>
        <v>0</v>
      </c>
    </row>
    <row r="21" spans="1:17" x14ac:dyDescent="0.25">
      <c r="A21" t="s">
        <v>22</v>
      </c>
      <c r="B21" s="97" t="s">
        <v>143</v>
      </c>
      <c r="C21" s="109" t="str">
        <f>IFERROR(VLOOKUP($B21,Tarifa_all_20240711!$A$2:$G$660,2,FALSE()),"-")</f>
        <v>PERFIL EMBELL.HORIZ. ADH LAC.NEGRO TEXTURADO</v>
      </c>
      <c r="D21" s="109"/>
      <c r="E21" s="98">
        <v>8</v>
      </c>
      <c r="F21" s="99">
        <f>IFERROR(VLOOKUP($B21,Tarifa_all_20240711!$A$2:$G$660,5,FALSE()),"-")</f>
        <v>21.794999999999998</v>
      </c>
      <c r="G21" s="100">
        <f t="shared" si="0"/>
        <v>174.35999999999999</v>
      </c>
      <c r="H21" s="10">
        <v>7</v>
      </c>
      <c r="I21" s="10" t="s">
        <v>1453</v>
      </c>
      <c r="K21" s="45" t="s">
        <v>1468</v>
      </c>
      <c r="L21" s="32" t="s">
        <v>1469</v>
      </c>
      <c r="M21" s="46">
        <v>7</v>
      </c>
      <c r="N21" s="46">
        <v>24.9255</v>
      </c>
      <c r="O21" s="78">
        <f t="shared" si="1"/>
        <v>122.13494999999999</v>
      </c>
      <c r="P21" s="89">
        <f t="shared" si="2"/>
        <v>183.20242499999998</v>
      </c>
      <c r="Q21" s="91">
        <f t="shared" si="3"/>
        <v>26.171774999999997</v>
      </c>
    </row>
    <row r="22" spans="1:17" x14ac:dyDescent="0.25">
      <c r="B22" s="101" t="s">
        <v>460</v>
      </c>
      <c r="C22" s="110" t="str">
        <f>IFERROR(VLOOKUP($B22,Tarifa_all_20240711!$A$2:$G$660,2,FALSE()),"-")</f>
        <v>MARCO FIJOS 35MM D-DECOR FIJO NEGRO TEXT 3 MTS</v>
      </c>
      <c r="D22" s="110"/>
      <c r="E22" s="102">
        <v>2</v>
      </c>
      <c r="F22" s="103">
        <f>IFERROR(VLOOKUP($B22,Tarifa_all_20240711!$A$2:$G$660,5,FALSE()),"-")</f>
        <v>27.712500000000002</v>
      </c>
      <c r="G22" s="104">
        <f t="shared" si="0"/>
        <v>55.425000000000004</v>
      </c>
      <c r="H22" s="10" t="s">
        <v>1453</v>
      </c>
      <c r="I22" s="10"/>
      <c r="K22" s="79" t="s">
        <v>1472</v>
      </c>
      <c r="L22" s="80" t="s">
        <v>1473</v>
      </c>
      <c r="M22" s="81">
        <v>1</v>
      </c>
      <c r="N22" s="81">
        <v>174.89500000000001</v>
      </c>
      <c r="O22" s="82">
        <f t="shared" si="1"/>
        <v>122.4265</v>
      </c>
      <c r="P22" s="89">
        <f t="shared" si="2"/>
        <v>183.63974999999999</v>
      </c>
      <c r="Q22" s="91">
        <f t="shared" si="3"/>
        <v>183.63974999999999</v>
      </c>
    </row>
    <row r="23" spans="1:17" x14ac:dyDescent="0.25">
      <c r="B23" s="101" t="s">
        <v>440</v>
      </c>
      <c r="C23" s="110" t="str">
        <f>IFERROR(VLOOKUP($B23,Tarifa_all_20240711!$A$2:$G$660,2,FALSE()),"-")</f>
        <v>ANCLAJE TAPA 35MM D-DECOR FIJO NEGRO TEXT 3 MTS</v>
      </c>
      <c r="D23" s="110"/>
      <c r="E23" s="102">
        <v>2</v>
      </c>
      <c r="F23" s="103">
        <f>IFERROR(VLOOKUP($B23,Tarifa_all_20240711!$A$2:$G$660,5,FALSE()),"-")</f>
        <v>13.4175</v>
      </c>
      <c r="G23" s="104">
        <f t="shared" si="0"/>
        <v>26.835000000000001</v>
      </c>
      <c r="H23" s="10" t="s">
        <v>1453</v>
      </c>
      <c r="I23" s="10"/>
      <c r="K23" s="84" t="s">
        <v>1474</v>
      </c>
      <c r="L23" s="85" t="s">
        <v>1475</v>
      </c>
      <c r="M23" s="86">
        <v>1</v>
      </c>
      <c r="N23" s="86">
        <v>118.72</v>
      </c>
      <c r="O23" s="87">
        <f t="shared" si="1"/>
        <v>83.103999999999999</v>
      </c>
      <c r="P23" s="89">
        <f t="shared" si="2"/>
        <v>124.65600000000001</v>
      </c>
      <c r="Q23" s="91">
        <f t="shared" si="3"/>
        <v>124.65600000000001</v>
      </c>
    </row>
    <row r="24" spans="1:17" x14ac:dyDescent="0.25">
      <c r="B24" s="101" t="s">
        <v>480</v>
      </c>
      <c r="C24" s="110" t="str">
        <f>IFERROR(VLOOKUP($B24,Tarifa_all_20240711!$A$2:$G$660,2,FALSE()),"-")</f>
        <v>TAPA MARCO 35MM D-DECOR FIJO NEGRO TEXT 3 MTS</v>
      </c>
      <c r="D24" s="110"/>
      <c r="E24" s="102">
        <v>2</v>
      </c>
      <c r="F24" s="103">
        <f>IFERROR(VLOOKUP($B24,Tarifa_all_20240711!$A$2:$G$660,5,FALSE()),"-")</f>
        <v>11.3025</v>
      </c>
      <c r="G24" s="104">
        <f t="shared" si="0"/>
        <v>22.605</v>
      </c>
      <c r="H24" s="10" t="s">
        <v>1453</v>
      </c>
      <c r="I24" s="10"/>
      <c r="K24" s="45"/>
      <c r="L24" s="32"/>
      <c r="M24" s="46"/>
      <c r="N24" s="46"/>
      <c r="O24" s="78">
        <f t="shared" si="1"/>
        <v>0</v>
      </c>
      <c r="P24" s="89">
        <f t="shared" si="2"/>
        <v>0</v>
      </c>
      <c r="Q24" s="91">
        <f t="shared" si="3"/>
        <v>0</v>
      </c>
    </row>
    <row r="25" spans="1:17" x14ac:dyDescent="0.25">
      <c r="B25" s="101" t="s">
        <v>450</v>
      </c>
      <c r="C25" s="110" t="str">
        <f>IFERROR(VLOOKUP($B25,Tarifa_all_20240711!$A$2:$G$660,2,FALSE()),"-")</f>
        <v>PERFIL MINIMALISTA D-DECOR FIJO NEGRO TEXT 3 MTS</v>
      </c>
      <c r="D25" s="110"/>
      <c r="E25" s="102">
        <v>1</v>
      </c>
      <c r="F25" s="103">
        <f>IFERROR(VLOOKUP($B25,Tarifa_all_20240711!$A$2:$G$660,5,FALSE()),"-")</f>
        <v>36.72</v>
      </c>
      <c r="G25" s="104">
        <f t="shared" si="0"/>
        <v>36.72</v>
      </c>
      <c r="H25" s="10" t="s">
        <v>1453</v>
      </c>
      <c r="I25" s="10"/>
      <c r="K25" s="45"/>
      <c r="L25" s="32"/>
      <c r="M25" s="46"/>
      <c r="N25" s="46"/>
      <c r="O25" s="78">
        <f t="shared" si="1"/>
        <v>0</v>
      </c>
      <c r="P25" s="89">
        <f t="shared" si="2"/>
        <v>0</v>
      </c>
      <c r="Q25" s="91">
        <f t="shared" si="3"/>
        <v>0</v>
      </c>
    </row>
    <row r="26" spans="1:17" x14ac:dyDescent="0.25">
      <c r="B26" s="93" t="s">
        <v>490</v>
      </c>
      <c r="C26" s="108" t="str">
        <f>IFERROR(VLOOKUP($B26,Tarifa_all_20240711!$A$2:$G$660,2,FALSE()),"-")</f>
        <v>COMPLEMENTO D-DECOR FIJO NEGRO TEXT 3 MTS</v>
      </c>
      <c r="D26" s="108"/>
      <c r="E26" s="94">
        <v>1</v>
      </c>
      <c r="F26" s="95">
        <f>IFERROR(VLOOKUP($B26,Tarifa_all_20240711!$A$2:$G$660,5,FALSE()),"-")</f>
        <v>21.412500000000001</v>
      </c>
      <c r="G26" s="96">
        <f t="shared" si="0"/>
        <v>21.412500000000001</v>
      </c>
      <c r="H26" s="10"/>
      <c r="I26" s="10" t="s">
        <v>1453</v>
      </c>
      <c r="K26" s="45"/>
      <c r="L26" s="32"/>
      <c r="M26" s="46"/>
      <c r="N26" s="46"/>
      <c r="O26" s="78">
        <f t="shared" si="1"/>
        <v>0</v>
      </c>
      <c r="P26" s="89">
        <f t="shared" si="2"/>
        <v>0</v>
      </c>
      <c r="Q26" s="91">
        <f t="shared" si="3"/>
        <v>0</v>
      </c>
    </row>
    <row r="27" spans="1:17" x14ac:dyDescent="0.25">
      <c r="B27" s="101" t="s">
        <v>298</v>
      </c>
      <c r="C27" s="110" t="str">
        <f>IFERROR(VLOOKUP($B27,Tarifa_all_20240711!$A$2:$G$660,2,FALSE()),"-")</f>
        <v>Tope Domo Decor</v>
      </c>
      <c r="D27" s="110"/>
      <c r="E27" s="102">
        <v>4</v>
      </c>
      <c r="F27" s="103">
        <f>IFERROR(VLOOKUP($B27,Tarifa_all_20240711!$A$2:$G$660,5,FALSE()),"-")</f>
        <v>1.4175</v>
      </c>
      <c r="G27" s="104">
        <f t="shared" si="0"/>
        <v>5.67</v>
      </c>
      <c r="H27" s="10"/>
      <c r="I27" s="10" t="s">
        <v>1453</v>
      </c>
      <c r="K27" s="45"/>
      <c r="L27" s="32"/>
      <c r="M27" s="46"/>
      <c r="N27" s="46"/>
      <c r="O27" s="78">
        <f t="shared" si="1"/>
        <v>0</v>
      </c>
      <c r="P27" s="89">
        <f t="shared" si="2"/>
        <v>0</v>
      </c>
      <c r="Q27" s="91">
        <f t="shared" si="3"/>
        <v>0</v>
      </c>
    </row>
    <row r="28" spans="1:17" x14ac:dyDescent="0.25">
      <c r="B28" s="101" t="s">
        <v>300</v>
      </c>
      <c r="C28" s="110" t="str">
        <f>IFERROR(VLOOKUP($B28,Tarifa_all_20240711!$A$2:$G$660,2,FALSE()),"-")</f>
        <v>PERFIL 3 MTS REDUCTOR PARA VIDRIO 6mm</v>
      </c>
      <c r="D28" s="110"/>
      <c r="E28" s="102">
        <v>3</v>
      </c>
      <c r="F28" s="103">
        <f>IFERROR(VLOOKUP($B28,Tarifa_all_20240711!$A$2:$G$660,5,FALSE()),"-")</f>
        <v>3.4275000000000002</v>
      </c>
      <c r="G28" s="104">
        <f t="shared" si="0"/>
        <v>10.282500000000001</v>
      </c>
      <c r="H28" s="10">
        <v>6</v>
      </c>
      <c r="I28" s="10"/>
      <c r="K28" s="45"/>
      <c r="L28" s="32"/>
      <c r="M28" s="46"/>
      <c r="N28" s="46"/>
      <c r="O28" s="78">
        <f t="shared" si="1"/>
        <v>0</v>
      </c>
      <c r="P28" s="89">
        <f t="shared" si="2"/>
        <v>0</v>
      </c>
      <c r="Q28" s="91">
        <f t="shared" si="3"/>
        <v>0</v>
      </c>
    </row>
    <row r="29" spans="1:17" x14ac:dyDescent="0.25">
      <c r="B29" s="101">
        <v>31229</v>
      </c>
      <c r="C29" s="110" t="str">
        <f>IFERROR(VLOOKUP($B29,Tarifa_all_20240711!$A$2:$G$660,2,FALSE()),"-")</f>
        <v>COMPLEMENTO FIJACION DOMO DECOR: BARRAS 3 MTS</v>
      </c>
      <c r="D29" s="110"/>
      <c r="E29" s="102">
        <v>3</v>
      </c>
      <c r="F29" s="103">
        <f>IFERROR(VLOOKUP($B29,Tarifa_all_20240711!$A$2:$G$660,5,FALSE()),"-")</f>
        <v>11.317499999999999</v>
      </c>
      <c r="G29" s="104">
        <f t="shared" si="0"/>
        <v>33.952500000000001</v>
      </c>
      <c r="H29" s="10">
        <v>2</v>
      </c>
      <c r="J29" s="83">
        <f>SUM(G22:G29)</f>
        <v>212.90249999999997</v>
      </c>
      <c r="K29" s="45"/>
      <c r="L29" s="32"/>
      <c r="M29" s="46"/>
      <c r="N29" s="46"/>
      <c r="O29" s="78">
        <f t="shared" si="1"/>
        <v>0</v>
      </c>
      <c r="P29" s="89">
        <f t="shared" si="2"/>
        <v>0</v>
      </c>
      <c r="Q29" s="91">
        <f t="shared" si="3"/>
        <v>0</v>
      </c>
    </row>
    <row r="30" spans="1:17" x14ac:dyDescent="0.25">
      <c r="B30" s="16"/>
      <c r="C30" s="111" t="str">
        <f>IFERROR(VLOOKUP($B30,Tarifa_all_20240711!$A$2:$G$660,2,FALSE()),"-")</f>
        <v>-</v>
      </c>
      <c r="D30" s="11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I30" s="10"/>
      <c r="P30" s="6"/>
    </row>
    <row r="31" spans="1:17" x14ac:dyDescent="0.25">
      <c r="B31" s="19"/>
      <c r="C31" s="19"/>
      <c r="D31" s="19"/>
      <c r="E31" s="19"/>
      <c r="F31" s="20"/>
      <c r="G31" s="21">
        <f>SUM(G13:G30)</f>
        <v>890.10750000000007</v>
      </c>
      <c r="O31" s="77">
        <f>SUM(O13:O29)</f>
        <v>685.86419999999998</v>
      </c>
      <c r="P31" s="89">
        <f>O31*P11</f>
        <v>1028.7963</v>
      </c>
    </row>
    <row r="32" spans="1:17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112"/>
      <c r="E52" s="112"/>
      <c r="F52" s="112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105" t="s">
        <v>78</v>
      </c>
      <c r="F2" s="105"/>
      <c r="G2" s="105"/>
    </row>
    <row r="3" spans="1:7" ht="18" customHeight="1" x14ac:dyDescent="0.35">
      <c r="E3" s="105" t="s">
        <v>1</v>
      </c>
      <c r="F3" s="105"/>
      <c r="G3" s="10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117" t="s">
        <v>79</v>
      </c>
      <c r="B6" s="117"/>
      <c r="C6" s="117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118" t="str">
        <f>'DESPIECE (MATANALYSIS)'!C8</f>
        <v>Alutek Puçol</v>
      </c>
      <c r="C9" s="118"/>
      <c r="D9" s="118"/>
      <c r="F9" s="3" t="s">
        <v>81</v>
      </c>
      <c r="G9" s="44">
        <f ca="1">TODAY()</f>
        <v>45810</v>
      </c>
    </row>
    <row r="10" spans="1:7" x14ac:dyDescent="0.25">
      <c r="A10" s="3" t="s">
        <v>82</v>
      </c>
      <c r="B10" s="11" t="str">
        <f>'DESPIECE (MATANALYSIS)'!C9</f>
        <v>Unicque</v>
      </c>
      <c r="C10" s="45"/>
      <c r="D10" s="45"/>
      <c r="E10" s="46"/>
      <c r="F10" s="47" t="s">
        <v>83</v>
      </c>
      <c r="G10" s="7">
        <f>'DESPIECE (MATANALYSIS)'!C7</f>
        <v>20250117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113"/>
      <c r="B46" s="113"/>
      <c r="C46" s="71"/>
      <c r="D46" s="71"/>
      <c r="E46" s="71"/>
      <c r="F46" s="72"/>
      <c r="G46" s="73"/>
    </row>
    <row r="47" spans="1:7" ht="22.7" customHeight="1" x14ac:dyDescent="0.25">
      <c r="A47" s="114" t="s">
        <v>99</v>
      </c>
      <c r="B47" s="114"/>
      <c r="C47" s="59"/>
      <c r="D47" s="59"/>
      <c r="E47" s="59"/>
      <c r="F47" s="115">
        <f>'DESPIECE (MATANALYSIS)'!G31</f>
        <v>890.10750000000007</v>
      </c>
      <c r="G47" s="115"/>
    </row>
    <row r="48" spans="1:7" s="1" customFormat="1" ht="22.7" customHeight="1" x14ac:dyDescent="0.25">
      <c r="A48" s="116" t="s">
        <v>100</v>
      </c>
      <c r="B48" s="116"/>
      <c r="C48" s="116"/>
      <c r="D48" s="116"/>
      <c r="E48" s="116"/>
      <c r="F48" s="116"/>
      <c r="G48" s="116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2" workbookViewId="0">
      <selection activeCell="A350" sqref="A350:XFD350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2025-06-02T16:26:16Z</cp:lastPrinted>
  <dcterms:created xsi:type="dcterms:W3CDTF">2024-04-15T12:43:19Z</dcterms:created>
  <dcterms:modified xsi:type="dcterms:W3CDTF">2025-06-02T16:26:45Z</dcterms:modified>
  <dc:language>es-ES</dc:language>
</cp:coreProperties>
</file>