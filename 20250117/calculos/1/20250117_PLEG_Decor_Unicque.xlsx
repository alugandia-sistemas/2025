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7\calculos\1\"/>
    </mc:Choice>
  </mc:AlternateContent>
  <xr:revisionPtr revIDLastSave="0" documentId="13_ncr:1_{4116CC54-F14E-4206-B890-74E4C52CB73F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(MATANALYSIS)'!$K$1:$R$40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24" i="10"/>
  <c r="O24" i="10"/>
  <c r="Q17" i="10" l="1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1" i="10"/>
  <c r="R31" i="10" s="1"/>
  <c r="Q32" i="10"/>
  <c r="R32" i="10" s="1"/>
  <c r="Q16" i="10"/>
  <c r="R16" i="10" s="1"/>
  <c r="O17" i="10"/>
  <c r="P17" i="10" s="1"/>
  <c r="O18" i="10"/>
  <c r="P18" i="10" s="1"/>
  <c r="O19" i="10"/>
  <c r="P19" i="10" s="1"/>
  <c r="O20" i="10"/>
  <c r="P20" i="10" s="1"/>
  <c r="O21" i="10"/>
  <c r="O22" i="10"/>
  <c r="P22" i="10" s="1"/>
  <c r="O23" i="10"/>
  <c r="P23" i="10" s="1"/>
  <c r="O25" i="10"/>
  <c r="P25" i="10" s="1"/>
  <c r="O26" i="10"/>
  <c r="P26" i="10" s="1"/>
  <c r="O27" i="10"/>
  <c r="P27" i="10" s="1"/>
  <c r="O28" i="10"/>
  <c r="P28" i="10" s="1"/>
  <c r="O29" i="10"/>
  <c r="P29" i="10" s="1"/>
  <c r="O30" i="10"/>
  <c r="P30" i="10" s="1"/>
  <c r="O31" i="10"/>
  <c r="P31" i="10" s="1"/>
  <c r="O32" i="10"/>
  <c r="P32" i="10" s="1"/>
  <c r="O16" i="10"/>
  <c r="P16" i="10" s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R34" i="10" l="1"/>
  <c r="O34" i="10"/>
  <c r="P34" i="10" s="1"/>
  <c r="P21" i="10"/>
  <c r="G10" i="2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J29" i="10" l="1"/>
  <c r="G31" i="10"/>
  <c r="F47" i="2" s="1"/>
  <c r="J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<sst xmlns="http://schemas.openxmlformats.org/spreadsheetml/2006/main" count="5429" uniqueCount="1469">
  <si>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</si>
  <si>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</si>
  <si>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</si>
  <si>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</si>
  <si>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</si>
  <si>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</si>
  <si>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</si>
  <si>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</si>
  <si>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</si>
  <si>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</si>
  <si>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</si>
  <si>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</si>
  <si>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</si>
  <si>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</si>
  <si>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</si>
  <si>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</si>
  <si>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</si>
  <si>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</si>
  <si>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</si>
  <si>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</si>
  <si>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</si>
  <si>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</si>
  <si>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</si>
  <si>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</si>
  <si>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</si>
  <si>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</si>
  <si>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</si>
  <si>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</si>
  <si>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</si>
  <si>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</si>
  <si>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</si>
  <si>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</si>
  <si>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</si>
  <si>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</si>
  <si>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</si>
  <si>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</si>
  <si>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</si>
  <si>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</si>
  <si>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</si>
  <si>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</si>
  <si>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</si>
  <si>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</si>
  <si>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</si>
  <si>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</si>
  <si>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</si>
  <si>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</si>
  <si>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</si>
  <si>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</si>
  <si>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</si>
  <si>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</si>
  <si>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</si>
  <si>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</si>
  <si>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</si>
  <si>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</si>
  <si>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</si>
  <si>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</si>
  <si>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</si>
  <si>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</si>
  <si>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</si>
  <si>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</si>
  <si>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</si>
  <si>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</si>
  <si>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</si>
  <si>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</si>
  <si>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</si>
  <si>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</si>
  <si>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</si>
  <si>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</si>
  <si>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</si>
  <si>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</si>
  <si>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</si>
  <si>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</si>
  <si>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</si>
  <si>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</si>
  <si>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</si>
  <si>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</si>
  <si>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</si>
  <si>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</si>
  <si>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</si>
  <si>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</si>
  <si>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</si>
  <si>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</si>
  <si>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</si>
  <si>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</si>
  <si>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</si>
  <si>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</si>
  <si>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</si>
  <si>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</si>
  <si>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</si>
  <si>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</si>
  <si>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</si>
  <si>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</si>
  <si>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</si>
  <si>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</si>
  <si>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</si>
  <si>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</si>
  <si>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</si>
  <si>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</si>
  <si>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</si>
  <si>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</si>
  <si>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</si>
  <si>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</si>
  <si>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</si>
  <si>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</si>
  <si>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</si>
  <si>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</si>
  <si>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</si>
  <si>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</si>
  <si>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</si>
  <si>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</si>
  <si>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</si>
  <si>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</si>
  <si>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</si>
  <si>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</si>
  <si>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</si>
  <si>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</si>
  <si>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</si>
  <si>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</si>
  <si>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</si>
  <si>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</si>
  <si>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</si>
  <si>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</si>
  <si>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</si>
  <si>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</si>
  <si>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</si>
  <si>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</si>
  <si>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</si>
  <si>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</si>
  <si>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</si>
  <si>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</si>
  <si>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</si>
  <si>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</si>
  <si>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</si>
  <si>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</si>
  <si>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</si>
  <si>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</si>
  <si>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</si>
  <si>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</si>
  <si>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</si>
  <si>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</si>
  <si>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</si>
  <si>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</si>
  <si>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</si>
  <si>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</si>
  <si>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</si>
  <si>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</si>
  <si>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</si>
  <si>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</si>
  <si>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</si>
  <si>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</si>
  <si>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</si>
  <si>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</si>
  <si>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</si>
  <si>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</si>
  <si>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</si>
  <si>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</si>
  <si>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</si>
  <si>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</si>
  <si>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</si>
  <si>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</si>
  <si>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</si>
  <si>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</si>
  <si>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</si>
  <si>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</si>
  <si>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</si>
  <si>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</si>
  <si>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</si>
  <si>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</si>
  <si>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</si>
  <si>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</si>
  <si>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</si>
  <si>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</si>
  <si>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</si>
  <si>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</si>
  <si>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</si>
  <si>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</si>
  <si>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</si>
  <si>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</si>
  <si>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</si>
  <si>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</si>
  <si>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</si>
  <si>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</si>
  <si>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</si>
  <si>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</si>
  <si>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</si>
  <si>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</si>
  <si>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</si>
  <si>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</si>
  <si>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</si>
  <si>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</si>
  <si>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</si>
  <si>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</si>
  <si>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</si>
  <si>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</si>
  <si>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</si>
  <si>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</si>
  <si>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</si>
  <si>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</si>
  <si>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</si>
  <si>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</si>
  <si>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</si>
  <si>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</si>
  <si>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</si>
  <si>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</si>
  <si>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</si>
  <si>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</si>
  <si>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</si>
  <si>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</si>
  <si>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</si>
  <si>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</si>
  <si>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</si>
  <si>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</si>
  <si>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</si>
  <si>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</si>
  <si>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</si>
  <si>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</si>
  <si>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</si>
  <si>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</si>
  <si>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</si>
  <si>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</si>
  <si>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</si>
  <si>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</si>
  <si>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</si>
  <si>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</si>
  <si>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</si>
  <si>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</si>
  <si>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</si>
  <si>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</si>
  <si>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</si>
  <si>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</si>
  <si>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</si>
  <si>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</si>
  <si>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</si>
  <si>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</si>
  <si>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</si>
  <si>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</si>
  <si>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</si>
  <si>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</si>
  <si>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</si>
  <si>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</si>
  <si>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</si>
  <si>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</si>
  <si>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</si>
  <si>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</si>
  <si>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</si>
  <si>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</si>
  <si>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</si>
  <si>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</si>
  <si>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</si>
  <si>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</si>
  <si>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</si>
  <si>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</si>
  <si>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</si>
  <si>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</si>
  <si>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</si>
  <si>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</si>
  <si>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</si>
  <si>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</si>
  <si>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</si>
  <si>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</si>
  <si>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</si>
  <si>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</si>
  <si>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</si>
  <si>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</si>
  <si>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</si>
  <si>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</si>
  <si>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</si>
  <si>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</si>
  <si>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</si>
  <si>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</si>
  <si>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</si>
  <si>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</si>
  <si>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</si>
  <si>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</si>
  <si>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</si>
  <si>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</si>
  <si>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</si>
  <si>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</si>
  <si>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</si>
  <si>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</si>
  <si>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</si>
  <si>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</si>
  <si>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</si>
  <si>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</si>
  <si>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</si>
  <si>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</si>
  <si>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</si>
  <si>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</si>
  <si>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</si>
  <si>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</si>
  <si>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</si>
  <si>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</si>
  <si>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</si>
  <si>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</si>
  <si>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</si>
  <si>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</si>
  <si>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</si>
  <si>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</si>
  <si>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</si>
  <si>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</si>
  <si>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</si>
  <si>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</si>
  <si>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</si>
  <si>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</si>
  <si>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</si>
  <si>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</si>
  <si>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</si>
  <si>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</si>
  <si>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</si>
  <si>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</si>
  <si>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</si>
  <si>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</si>
  <si>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</si>
  <si>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</si>
  <si>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</si>
  <si>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</si>
  <si>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</si>
  <si>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</si>
  <si>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</si>
  <si>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</si>
  <si>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</si>
  <si>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</si>
  <si>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</si>
  <si>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</si>
  <si>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</si>
  <si>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</si>
  <si>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</si>
  <si>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</si>
  <si>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</si>
  <si>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</si>
  <si>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</si>
  <si>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</si>
  <si>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</si>
  <si>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</si>
  <si>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</si>
  <si>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</si>
  <si>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</si>
  <si>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</si>
  <si>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</si>
  <si>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</si>
  <si>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</si>
  <si>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</si>
  <si>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</si>
  <si>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</si>
  <si>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</si>
  <si>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</si>
  <si>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</si>
  <si>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</si>
  <si>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</si>
  <si>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</si>
  <si>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</si>
  <si>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</si>
  <si>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</si>
  <si>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</si>
  <si>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</si>
  <si>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</si>
  <si>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</si>
  <si>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</si>
  <si>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</si>
  <si>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</si>
  <si>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</si>
  <si>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</si>
  <si>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</si>
  <si>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</si>
  <si>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</si>
  <si>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</si>
  <si>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</si>
  <si>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</si>
  <si>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</si>
  <si>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</si>
  <si>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</si>
  <si>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</si>
  <si>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</si>
  <si>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</si>
  <si>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</si>
  <si>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</si>
  <si>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</si>
  <si>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</si>
  <si>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</si>
  <si>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</si>
  <si>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</si>
  <si>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</si>
  <si>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</si>
  <si>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</si>
  <si>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</si>
  <si>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</si>
  <si>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</si>
  <si>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</si>
  <si>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</si>
  <si>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</si>
  <si>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</si>
  <si>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</si>
  <si>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</si>
  <si>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</si>
  <si>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</si>
  <si>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</si>
  <si>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</si>
  <si>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</si>
  <si>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</si>
  <si>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</si>
  <si>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</si>
  <si>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</si>
  <si>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</si>
  <si>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</si>
  <si>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</si>
  <si>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</si>
  <si>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</si>
  <si>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</si>
  <si>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</si>
  <si>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</si>
  <si>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</si>
  <si>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</si>
  <si>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</si>
  <si>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</si>
  <si>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</si>
  <si>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</si>
  <si>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</si>
  <si>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</si>
  <si>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</si>
  <si>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</si>
  <si>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</si>
  <si>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</si>
  <si>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</si>
  <si>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</si>
  <si>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</si>
  <si>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</si>
  <si>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</si>
  <si>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</si>
  <si>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</si>
  <si>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</si>
  <si>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</si>
  <si>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</si>
  <si>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</si>
  <si>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</si>
  <si>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</si>
  <si>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</si>
  <si>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</si>
  <si>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</si>
  <si>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</si>
  <si>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</si>
  <si>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</si>
  <si>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</si>
  <si>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</si>
  <si>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</si>
  <si>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</si>
  <si>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</si>
  <si>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</si>
  <si>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</si>
  <si>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</si>
  <si>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</si>
  <si>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</si>
  <si>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</si>
  <si>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</si>
  <si>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</si>
  <si>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</si>
  <si>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</si>
  <si>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</si>
  <si>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</si>
  <si>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</si>
  <si>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</si>
  <si>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</si>
  <si>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</si>
  <si>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</si>
  <si>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</si>
  <si>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</si>
  <si>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</si>
  <si>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</si>
  <si>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</si>
  <si>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</si>
  <si>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</si>
  <si>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</si>
  <si>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</si>
  <si>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</si>
  <si>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</si>
  <si>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</si>
  <si>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</si>
  <si>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</si>
  <si>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</si>
  <si>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</si>
  <si>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</si>
  <si>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</si>
  <si>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</si>
  <si>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</si>
  <si>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</si>
  <si>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</si>
  <si>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</si>
  <si>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</si>
  <si>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</si>
  <si>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</si>
  <si>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</si>
  <si>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</si>
  <si>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</si>
  <si>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</si>
  <si>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</si>
  <si>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</si>
  <si>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</si>
  <si>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</si>
  <si>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</si>
  <si>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</si>
  <si>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</si>
  <si>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</si>
  <si>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</si>
  <si>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</si>
  <si>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</si>
  <si>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</si>
  <si>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</si>
  <si>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</si>
  <si>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</si>
  <si>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</si>
  <si>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</si>
  <si>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</si>
  <si>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</si>
  <si>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</si>
  <si>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</si>
  <si>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</si>
  <si>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</si>
  <si>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</si>
  <si>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</si>
  <si>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</si>
  <si>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</si>
  <si>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</si>
  <si>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</si>
  <si>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</si>
  <si>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</si>
  <si>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</si>
  <si>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</si>
  <si>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</si>
  <si>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</si>
  <si>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</si>
  <si>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</si>
  <si>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</si>
  <si>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</si>
  <si>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</si>
  <si>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</si>
  <si>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</si>
  <si>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</si>
  <si>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</si>
  <si>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</si>
  <si>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</si>
  <si>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</si>
  <si>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</si>
  <si>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</si>
  <si>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</si>
  <si>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</si>
  <si>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</si>
  <si>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</si>
  <si>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</si>
  <si>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</si>
  <si>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</si>
  <si>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</si>
  <si>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</si>
  <si>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</si>
  <si>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</si>
  <si>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</si>
  <si>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</si>
  <si>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</si>
  <si>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</si>
  <si>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</si>
  <si>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</si>
  <si>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</si>
  <si>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</si>
  <si>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</si>
  <si>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</si>
  <si>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</si>
  <si>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</si>
  <si>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</si>
  <si>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</si>
  <si>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</si>
  <si>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</si>
  <si>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</si>
  <si>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</si>
  <si>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</si>
  <si>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</si>
  <si>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</si>
  <si>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</si>
  <si>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</si>
  <si>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</si>
  <si>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</si>
  <si>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</si>
  <si>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</si>
  <si>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</si>
  <si>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</si>
  <si>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</si>
  <si>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</si>
  <si>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</si>
  <si>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</si>
  <si>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</si>
  <si>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</si>
  <si>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</si>
  <si>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</si>
  <si>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</si>
  <si>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</si>
  <si>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</si>
  <si>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</si>
  <si>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</si>
  <si>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</si>
  <si>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</si>
  <si>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</si>
  <si>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</si>
  <si>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</si>
  <si>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</si>
  <si>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</si>
  <si>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</si>
  <si>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</si>
  <si>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</si>
  <si>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</si>
  <si>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</si>
  <si>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</si>
  <si>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</si>
  <si>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</si>
  <si>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</si>
  <si>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</si>
  <si>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</si>
  <si>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</si>
  <si>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</si>
  <si>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</si>
  <si>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</si>
  <si>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</si>
  <si>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</si>
  <si>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</si>
  <si>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</si>
  <si>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</si>
  <si>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</si>
  <si>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</si>
  <si>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</si>
  <si>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</si>
  <si>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</si>
  <si>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</si>
  <si>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</si>
  <si>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</si>
  <si>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</si>
  <si>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</si>
  <si>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</si>
  <si>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</si>
  <si>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</si>
  <si>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</si>
  <si>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</si>
  <si>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</si>
  <si>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</si>
  <si>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</si>
  <si>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</si>
  <si>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</si>
  <si>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</si>
  <si>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</si>
  <si>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</si>
  <si>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</si>
  <si>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</si>
  <si>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</si>
  <si>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</si>
  <si>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</si>
  <si>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</si>
  <si>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</si>
  <si>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</si>
  <si>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</si>
  <si>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</si>
  <si>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</si>
  <si>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</si>
  <si>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</si>
  <si>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</si>
  <si>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</si>
  <si>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</si>
  <si>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</si>
  <si>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</si>
  <si>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</si>
  <si>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</si>
  <si>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</si>
  <si>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</si>
  <si>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</si>
  <si>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</si>
  <si>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</si>
  <si>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</si>
  <si>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</si>
  <si>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</si>
  <si>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</si>
  <si>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</si>
  <si>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</si>
  <si>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</si>
  <si>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</si>
  <si>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</si>
  <si>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</si>
  <si>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</si>
  <si>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</si>
  <si>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</si>
  <si>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</si>
  <si>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</si>
  <si>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</si>
  <si>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</si>
  <si>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</si>
  <si>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</si>
  <si>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</si>
  <si>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</si>
  <si>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</si>
  <si>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</si>
  <si>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</si>
  <si>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</si>
  <si>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</si>
  <si>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</si>
  <si>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</si>
  <si>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</si>
  <si>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</si>
  <si>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</si>
  <si>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</si>
  <si>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</si>
  <si>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</si>
  <si>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</si>
  <si>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</si>
  <si>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</si>
  <si>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</si>
  <si>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</si>
  <si>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</si>
  <si>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</si>
  <si>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</si>
  <si>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</si>
  <si>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</si>
  <si>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</si>
  <si>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</si>
  <si>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</si>
  <si>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</si>
  <si>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</si>
  <si>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</si>
  <si>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</si>
  <si>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</si>
  <si>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</si>
  <si>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</si>
  <si>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</si>
  <si>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</si>
  <si>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</si>
  <si>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</si>
  <si>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</si>
  <si>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</si>
  <si>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</si>
  <si>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</si>
  <si>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</si>
  <si>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</si>
  <si>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</si>
  <si>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</si>
  <si>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</si>
  <si>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</si>
  <si>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</si>
  <si>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</si>
  <si>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</si>
  <si>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</si>
  <si>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</si>
  <si>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</si>
  <si>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</si>
  <si>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</si>
  <si>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</si>
  <si>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</si>
  <si>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</si>
  <si>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</si>
  <si>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</si>
  <si>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</si>
  <si>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</si>
  <si>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</si>
  <si>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</si>
  <si>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</si>
  <si>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</si>
  <si>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</si>
  <si>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</si>
  <si>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</si>
  <si>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</si>
  <si>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</si>
  <si>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</si>
  <si>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</si>
  <si>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</si>
  <si>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</si>
  <si>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</si>
  <si>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</si>
  <si>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</si>
  <si>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</si>
  <si>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</si>
  <si>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</si>
  <si>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</si>
  <si>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</si>
  <si>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</si>
  <si>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</si>
  <si>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</si>
  <si>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</si>
  <si>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</si>
  <si>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</si>
  <si>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</si>
  <si>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</si>
  <si>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</si>
  <si>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</si>
  <si>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</si>
  <si>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</si>
  <si>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</si>
  <si>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</si>
  <si>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</si>
  <si>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</si>
  <si>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</si>
  <si>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</si>
  <si>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</si>
  <si>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</si>
  <si>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</si>
  <si>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</si>
  <si>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</si>
  <si>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</si>
  <si>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</si>
  <si>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</si>
  <si>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</si>
  <si>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</si>
  <si>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</si>
  <si>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</si>
  <si>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</si>
  <si>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</si>
  <si>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</si>
  <si>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</si>
  <si>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</si>
  <si>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</si>
  <si>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</si>
  <si>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</si>
  <si>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</si>
  <si>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</si>
  <si>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</si>
  <si>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</si>
  <si>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</si>
  <si>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</si>
  <si>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</si>
  <si>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</si>
  <si>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</si>
  <si>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</si>
  <si>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</si>
  <si>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</si>
  <si>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</si>
  <si>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</si>
  <si>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</si>
  <si>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</si>
  <si>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</si>
  <si>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</si>
  <si>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</si>
  <si>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</si>
  <si>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</si>
  <si>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</si>
  <si>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</si>
  <si>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</si>
  <si>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</si>
  <si>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</si>
  <si>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</si>
  <si>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</si>
  <si>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</si>
  <si>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</si>
  <si>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</si>
  <si>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</si>
  <si>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</si>
  <si>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</si>
  <si>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</si>
  <si>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</si>
  <si>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</si>
  <si>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</si>
  <si>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</si>
  <si>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</si>
  <si>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</si>
  <si>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</si>
  <si>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</si>
  <si>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</si>
  <si>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</si>
  <si>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</si>
  <si>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</si>
  <si>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</si>
  <si>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</si>
  <si>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</si>
  <si>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</si>
  <si>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</si>
  <si>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</si>
  <si>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</si>
  <si>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</si>
  <si>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</si>
  <si>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</si>
  <si>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</si>
  <si>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</si>
  <si>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</si>
  <si>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</si>
  <si>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</si>
  <si>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</si>
  <si>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</si>
  <si>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</si>
  <si>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</si>
  <si>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</si>
  <si>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</si>
  <si>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</si>
  <si>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</si>
  <si>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</si>
  <si>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</si>
  <si>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</si>
  <si>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</si>
  <si>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</si>
  <si>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</si>
  <si>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</si>
  <si>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</si>
  <si>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</si>
  <si>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</si>
  <si>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</si>
  <si>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</si>
  <si>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</si>
  <si>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</si>
  <si>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</si>
  <si>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</si>
  <si>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</si>
  <si>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</si>
  <si>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</si>
  <si>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</si>
  <si>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</si>
  <si>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</si>
  <si>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</si>
  <si>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</si>
  <si>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</si>
  <si>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</si>
  <si>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</si>
  <si>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</si>
  <si>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</si>
  <si>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</si>
  <si>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</si>
  <si>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</si>
  <si>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</si>
  <si>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</si>
  <si>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</si>
  <si>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</si>
  <si>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</si>
  <si>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</si>
  <si>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</si>
  <si>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</si>
  <si>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</si>
  <si>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</si>
  <si>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</si>
  <si>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</si>
  <si>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</si>
  <si>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</si>
  <si>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</si>
  <si>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</si>
  <si>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</si>
  <si>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</si>
  <si>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</si>
  <si>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</si>
  <si>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</si>
  <si>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</si>
  <si>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</si>
  <si>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</si>
  <si>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</si>
  <si>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</si>
  <si>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</si>
  <si>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</si>
  <si>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</si>
  <si>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</si>
  <si>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</si>
  <si>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</si>
  <si>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</si>
  <si>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</si>
  <si>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</si>
  <si>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</si>
  <si>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</si>
  <si>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</si>
  <si>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</si>
  <si>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</si>
  <si>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</si>
  <si>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</si>
  <si>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</si>
  <si>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</si>
  <si>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</si>
  <si>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</si>
  <si>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</si>
  <si>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</si>
  <si>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</si>
  <si>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</si>
  <si>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</si>
  <si>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</si>
  <si>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</si>
  <si>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</si>
  <si>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</si>
  <si>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</si>
  <si>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</si>
  <si>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</si>
  <si>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</si>
  <si>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</si>
  <si>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</si>
  <si>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</si>
  <si>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</si>
  <si>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</si>
  <si>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</si>
  <si>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</si>
  <si>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</si>
  <si>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</si>
  <si>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</si>
  <si>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</si>
  <si>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</si>
  <si>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</si>
  <si>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</si>
  <si>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</si>
  <si>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</si>
  <si>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</si>
  <si>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</si>
  <si>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</si>
  <si>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</si>
  <si>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</si>
  <si>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</si>
  <si>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</si>
  <si>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</si>
  <si>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</si>
  <si>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</si>
  <si>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</si>
  <si>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</si>
  <si>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</si>
  <si>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</si>
  <si>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</si>
  <si>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</si>
  <si>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</si>
  <si>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</si>
  <si>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</si>
  <si>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</si>
  <si>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</si>
  <si>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</si>
  <si>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</si>
  <si>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</si>
  <si>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</si>
  <si>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</si>
  <si>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</si>
  <si>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</si>
  <si>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</si>
  <si>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</si>
  <si>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</si>
  <si>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</si>
  <si>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</si>
  <si>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</si>
  <si>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</si>
  <si>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</si>
  <si>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</si>
  <si>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</si>
  <si>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</si>
  <si>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</si>
  <si>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</si>
  <si>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</si>
  <si>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</si>
  <si>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</si>
  <si>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</si>
  <si>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</si>
  <si>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</si>
  <si>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</si>
  <si>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</si>
  <si>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</si>
  <si>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</si>
  <si>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</si>
  <si>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</si>
  <si>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</si>
  <si>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</si>
  <si>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</si>
  <si>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</si>
  <si>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</si>
  <si>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</si>
  <si>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</si>
  <si>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</si>
  <si>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</si>
  <si>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</si>
  <si>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</si>
  <si>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</si>
  <si>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</si>
  <si>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</si>
  <si>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</si>
  <si>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</si>
  <si>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</si>
  <si>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</si>
  <si>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</si>
  <si>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</si>
  <si>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</si>
  <si>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</si>
  <si>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</si>
  <si>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</si>
  <si>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</si>
  <si>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</si>
  <si>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</si>
  <si>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</si>
  <si>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</si>
  <si>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</si>
  <si>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</si>
  <si>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</si>
  <si>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</si>
  <si>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</si>
  <si>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</si>
  <si>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</si>
  <si>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</si>
  <si>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</si>
  <si>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</si>
  <si>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</si>
  <si>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</si>
  <si>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</si>
  <si>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</si>
  <si>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</si>
  <si>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</si>
  <si>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</si>
  <si>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</si>
  <si>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</si>
  <si>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</si>
  <si>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</si>
  <si>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</si>
  <si>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</si>
  <si>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</si>
  <si>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</si>
  <si>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</si>
  <si>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</si>
  <si>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</si>
  <si>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</si>
  <si>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</si>
  <si>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</si>
  <si>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</si>
  <si>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</si>
  <si>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</si>
  <si>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</si>
  <si>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</si>
  <si>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</si>
  <si>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</si>
  <si>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</si>
  <si>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</si>
  <si>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</si>
  <si>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</si>
  <si>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</si>
  <si>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</si>
  <si>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</si>
  <si>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</si>
  <si>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</si>
  <si>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</si>
  <si>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</si>
  <si>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</si>
  <si>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</si>
  <si>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</si>
  <si>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</si>
  <si>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</si>
  <si>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</si>
  <si>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</si>
  <si>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</si>
  <si>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</si>
  <si>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</si>
  <si>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</si>
  <si>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</si>
  <si>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</si>
  <si>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</si>
  <si>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</si>
  <si>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</si>
  <si>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</si>
  <si>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</si>
  <si>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</si>
  <si>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</si>
  <si>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</si>
  <si>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</si>
  <si>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</si>
  <si>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</si>
  <si>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</si>
  <si>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</si>
  <si>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</si>
  <si>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</si>
  <si>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</si>
  <si>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</si>
  <si>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</si>
  <si>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</si>
  <si>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</si>
  <si>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</si>
  <si>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</si>
  <si>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</si>
  <si>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</si>
  <si>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</si>
  <si>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</si>
  <si>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</si>
  <si>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</si>
  <si>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</si>
  <si>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</si>
  <si>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</si>
  <si>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</si>
  <si>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</si>
  <si>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</si>
  <si>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</si>
  <si>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</si>
  <si>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</si>
  <si>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</si>
  <si>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</si>
  <si>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</si>
  <si>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</si>
  <si>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</si>
  <si>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</si>
  <si>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</si>
  <si>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</si>
  <si>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</si>
  <si>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</si>
  <si>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</si>
  <si>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</si>
  <si>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</si>
  <si>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</si>
  <si>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</si>
  <si>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</si>
  <si>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</si>
  <si>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</si>
  <si>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</si>
  <si>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</si>
  <si>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</si>
  <si>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</si>
  <si>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</si>
  <si>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</si>
  <si>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</si>
  <si>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</si>
  <si>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</si>
  <si>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</si>
  <si>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</si>
  <si>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</si>
  <si>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</si>
  <si>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</si>
  <si>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</si>
  <si>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</si>
  <si>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</si>
  <si>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</si>
  <si>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</si>
  <si>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</si>
  <si>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</si>
  <si>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</si>
  <si>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</si>
  <si>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</si>
  <si>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</si>
  <si>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</si>
  <si>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</si>
  <si>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</si>
  <si>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</si>
  <si>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</si>
  <si>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</si>
  <si>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</si>
  <si>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</si>
  <si>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</si>
  <si>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</si>
  <si>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</si>
  <si>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</si>
  <si>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</si>
  <si>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</si>
  <si>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</si>
  <si>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</si>
  <si>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</si>
  <si>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</si>
  <si>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</si>
  <si>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</si>
  <si>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</si>
  <si>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</si>
  <si>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</si>
  <si>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</si>
  <si>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</si>
  <si>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</si>
  <si>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</si>
  <si>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</si>
  <si>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</si>
  <si>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</si>
  <si>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</si>
  <si>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</si>
  <si>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</si>
  <si>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</si>
  <si>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</si>
  <si>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</si>
  <si>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</si>
  <si>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</si>
  <si>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</si>
  <si>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</si>
  <si>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</si>
  <si>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</si>
  <si>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</si>
  <si>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</si>
  <si>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</si>
  <si>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</si>
  <si>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</si>
  <si>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</si>
  <si>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</si>
  <si>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</si>
  <si>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</si>
  <si>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</si>
  <si>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</si>
  <si>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</si>
  <si>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</si>
  <si>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</si>
  <si>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</si>
  <si>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</si>
  <si>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</si>
  <si>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</si>
  <si>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</si>
  <si>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</si>
  <si>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</si>
  <si>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</si>
  <si>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</si>
  <si>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</si>
  <si>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</si>
  <si>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</si>
  <si>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</si>
  <si>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</si>
  <si>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</si>
  <si>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</si>
  <si>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</si>
  <si>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</si>
  <si>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</si>
  <si>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</si>
  <si>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</si>
  <si>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</si>
  <si>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</si>
  <si>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</si>
  <si>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</si>
  <si>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</si>
  <si>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</si>
  <si>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</si>
  <si>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</si>
  <si>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</si>
  <si>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</si>
  <si>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</si>
  <si>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</si>
  <si>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</si>
  <si>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</si>
  <si>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</si>
  <si>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</si>
  <si>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</si>
  <si>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</si>
  <si>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</si>
  <si>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</si>
  <si>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</si>
  <si>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</si>
  <si>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</si>
  <si>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</si>
  <si>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</si>
  <si>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</si>
  <si>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</si>
  <si>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</si>
  <si>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</si>
  <si>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</si>
  <si>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</si>
  <si>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</si>
  <si>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</si>
  <si>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</si>
  <si>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</si>
  <si>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</si>
  <si>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</si>
  <si>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</si>
  <si>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</si>
  <si>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</si>
  <si>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</si>
  <si>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</si>
  <si>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</si>
  <si>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</si>
  <si>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</si>
  <si>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</si>
  <si>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</si>
  <si>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</si>
  <si>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</si>
  <si>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</si>
  <si>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</si>
  <si>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</si>
  <si>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</si>
  <si>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</si>
  <si>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</si>
  <si>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</si>
  <si>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</si>
  <si>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</si>
  <si>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</si>
  <si>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</si>
  <si>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</si>
  <si>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</si>
  <si>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</si>
  <si>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</si>
  <si>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</si>
  <si>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</si>
  <si>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</si>
  <si>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</si>
  <si>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</si>
  <si>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</si>
  <si>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</si>
  <si>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</si>
  <si>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</si>
  <si>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</si>
  <si>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</si>
  <si>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</si>
  <si>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</si>
  <si>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</si>
  <si>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</si>
  <si>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</si>
  <si>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</si>
  <si>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</si>
  <si>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</si>
  <si>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</si>
  <si>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</si>
  <si>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</si>
  <si>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</si>
  <si>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</si>
  <si>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</si>
  <si>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</si>
  <si>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</si>
  <si>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</si>
  <si>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</si>
  <si>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</si>
  <si>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</si>
  <si>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</si>
  <si>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</si>
  <si>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</si>
  <si>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</si>
  <si>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</si>
  <si>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</si>
  <si>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</si>
  <si>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</si>
  <si>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</si>
  <si>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</si>
  <si>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</si>
  <si>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</si>
  <si>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</si>
  <si>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</si>
  <si>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</si>
  <si>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</si>
  <si>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</si>
  <si>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</si>
  <si>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</si>
  <si>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</si>
  <si>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</si>
  <si>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</si>
  <si>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</si>
  <si>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</si>
  <si>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</si>
  <si>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</si>
  <si>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</si>
  <si>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</si>
  <si>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</si>
  <si>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</si>
  <si>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</si>
  <si>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</si>
  <si>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</si>
  <si>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</si>
  <si>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</si>
  <si>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</si>
  <si>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</si>
  <si>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</si>
  <si>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</si>
  <si>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</si>
  <si>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</si>
  <si>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</si>
  <si>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</si>
  <si>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</si>
  <si>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</si>
  <si>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</si>
  <si>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</si>
  <si>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</si>
  <si>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</si>
  <si>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</si>
  <si>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</si>
  <si>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</si>
  <si>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</si>
  <si>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</si>
  <si>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</si>
  <si>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</si>
  <si>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</si>
  <si>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</si>
  <si>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</si>
  <si>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</si>
  <si>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</si>
  <si>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</si>
  <si>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</si>
  <si>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</si>
  <si>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</si>
  <si>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</si>
  <si>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Alutek Puçol</t>
  </si>
  <si>
    <t>ADINOR</t>
  </si>
  <si>
    <t>Desc.</t>
  </si>
  <si>
    <t>Tarifa</t>
  </si>
  <si>
    <t>DESCUENTO</t>
  </si>
  <si>
    <t>KIT GUIA SKY DESMONT LACA NEGRO MATE 2m</t>
  </si>
  <si>
    <t>SK.ST.120</t>
  </si>
  <si>
    <t>KIT ANCLAJE TECHO PARA GUÍA PLUS DESMON</t>
  </si>
  <si>
    <t>Unicque Plegable</t>
  </si>
  <si>
    <t>ig</t>
  </si>
  <si>
    <t>SK.KGDCS.L.NM.2</t>
  </si>
  <si>
    <t>PAPL.L.NMT</t>
  </si>
  <si>
    <t>PAPLT.L.NMT</t>
  </si>
  <si>
    <t>KIT PUERTA PA PLEGABLE LACA NEGRO M TEXT</t>
  </si>
  <si>
    <t>KIT PUERTA PA PLEGABL TIRADOR NEGRO TEXT</t>
  </si>
  <si>
    <t>PAPL.20.L.NMT</t>
  </si>
  <si>
    <t>KIT HERR 2 PTAS PA PIVOT+PLEG NEGRO TEXT</t>
  </si>
  <si>
    <t>PVP / 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</si>
</sst>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20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</font>
    <font>
      <sz val="11"/>
      <color rgb="FFFFC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5" tint="0.59999389629810485"/>
        <bgColor rgb="FFDDDDDD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8" fillId="14" borderId="4" xfId="0" applyFont="1" applyFill="1" applyBorder="1" applyAlignment="1">
      <alignment horizontal="right" vertical="center"/>
    </xf>
    <xf numFmtId="165" fontId="0" fillId="14" borderId="0" xfId="0" applyNumberFormat="1" applyFill="1" applyAlignment="1">
      <alignment horizontal="right" vertical="center"/>
    </xf>
    <xf numFmtId="165" fontId="16" fillId="14" borderId="0" xfId="0" applyNumberFormat="1" applyFont="1" applyFill="1" applyAlignment="1">
      <alignment horizontal="right" vertical="center"/>
    </xf>
    <xf numFmtId="165" fontId="17" fillId="14" borderId="0" xfId="0" applyNumberFormat="1" applyFont="1" applyFill="1" applyAlignment="1">
      <alignment horizontal="right" vertical="center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8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/>
    <xf numFmtId="9" fontId="0" fillId="15" borderId="0" xfId="0" applyNumberFormat="1" applyFill="1"/>
    <xf numFmtId="0" fontId="8" fillId="15" borderId="0" xfId="0" applyFont="1" applyFill="1"/>
    <xf numFmtId="0" fontId="8" fillId="15" borderId="0" xfId="0" applyFont="1" applyFill="1" applyAlignment="1">
      <alignment horizontal="right"/>
    </xf>
    <xf numFmtId="0" fontId="0" fillId="15" borderId="0" xfId="0" applyFill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0" fontId="0" fillId="15" borderId="0" xfId="0" applyFill="1" applyAlignment="1">
      <alignment vertical="top"/>
    </xf>
    <xf numFmtId="44" fontId="0" fillId="15" borderId="0" xfId="1" applyFont="1" applyFill="1" applyAlignment="1">
      <alignment vertical="top"/>
    </xf>
    <xf numFmtId="44" fontId="8" fillId="15" borderId="0" xfId="0" applyNumberFormat="1" applyFont="1" applyFill="1"/>
    <xf numFmtId="44" fontId="0" fillId="15" borderId="0" xfId="0" applyNumberFormat="1" applyFill="1"/>
    <xf numFmtId="0" fontId="17" fillId="15" borderId="0" xfId="0" applyFont="1" applyFill="1" applyAlignment="1">
      <alignment horizontal="left" vertical="top"/>
    </xf>
    <xf numFmtId="0" fontId="17" fillId="15" borderId="0" xfId="0" applyFont="1" applyFill="1" applyAlignment="1">
      <alignment horizontal="left" vertical="top" wrapText="1"/>
    </xf>
    <xf numFmtId="0" fontId="17" fillId="15" borderId="0" xfId="0" applyFont="1" applyFill="1" applyAlignment="1">
      <alignment vertical="top"/>
    </xf>
    <xf numFmtId="44" fontId="2" fillId="15" borderId="0" xfId="1" applyFont="1" applyFill="1" applyAlignment="1">
      <alignment vertical="top"/>
    </xf>
    <xf numFmtId="0" fontId="19" fillId="15" borderId="0" xfId="0" applyFont="1" applyFill="1" applyAlignment="1">
      <alignment horizontal="left" vertical="top"/>
    </xf>
    <xf numFmtId="0" fontId="19" fillId="15" borderId="0" xfId="0" applyFont="1" applyFill="1" applyAlignment="1">
      <alignment horizontal="left" vertical="top" wrapText="1"/>
    </xf>
    <xf numFmtId="0" fontId="19" fillId="15" borderId="0" xfId="0" applyFont="1" applyFill="1" applyAlignment="1">
      <alignment vertical="top"/>
    </xf>
    <xf numFmtId="0" fontId="0" fillId="0" borderId="0" xfId="0" applyBorder="1" applyAlignment="1">
      <alignment vertical="center"/>
    </xf>
    <xf numFmtId="0" fontId="0" fillId="0" borderId="6" xfId="0" applyBorder="1"/>
    <xf numFmtId="0" fontId="0" fillId="0" borderId="0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8" fillId="0" borderId="6" xfId="0" applyFont="1" applyBorder="1"/>
    <xf numFmtId="0" fontId="0" fillId="0" borderId="6" xfId="0" applyBorder="1" applyAlignment="1">
      <alignment horizontal="right"/>
    </xf>
    <xf numFmtId="164" fontId="8" fillId="0" borderId="6" xfId="0" applyNumberFormat="1" applyFont="1" applyBorder="1"/>
    <xf numFmtId="0" fontId="8" fillId="0" borderId="6" xfId="0" applyFont="1" applyBorder="1" applyAlignment="1">
      <alignment vertical="top"/>
    </xf>
    <xf numFmtId="0" fontId="0" fillId="0" borderId="6" xfId="0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9" fontId="0" fillId="0" borderId="6" xfId="0" applyNumberFormat="1" applyBorder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44120</xdr:colOff>
      <xdr:row>1</xdr:row>
      <xdr:rowOff>47624</xdr:rowOff>
    </xdr:from>
    <xdr:to>
      <xdr:col>10</xdr:col>
      <xdr:colOff>1344703</xdr:colOff>
      <xdr:row>5</xdr:row>
      <xdr:rowOff>151420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46DF1-DDE6-E783-0888-59539025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4679" y="238124"/>
          <a:ext cx="1300583" cy="1314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R79"/>
  <sheetViews>
    <sheetView tabSelected="1" view="pageBreakPreview" topLeftCell="F1" zoomScale="130" zoomScaleNormal="80" zoomScaleSheetLayoutView="130" workbookViewId="0">
      <selection activeCell="K9" sqref="K9:R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11" max="11" width="20.85546875" customWidth="1"/>
    <col min="12" max="12" width="50" bestFit="1" customWidth="1"/>
    <col min="14" max="14" width="16.42578125" hidden="1" customWidth="1"/>
    <col min="15" max="15" width="19.5703125" hidden="1" customWidth="1"/>
    <col min="16" max="16" width="16.42578125" hidden="1" customWidth="1"/>
    <col min="17" max="17" width="16.42578125" customWidth="1"/>
  </cols>
  <sheetData>
    <row r="1" spans="1:18" x14ac:dyDescent="0.25">
      <c r="H1" s="1"/>
      <c r="I1" s="1"/>
      <c r="J1" s="1"/>
      <c r="K1" s="1"/>
      <c r="L1" s="1"/>
    </row>
    <row r="2" spans="1:18" ht="40.5" customHeight="1" x14ac:dyDescent="0.25">
      <c r="G2" s="2" t="s">
        <v>0</v>
      </c>
      <c r="H2" s="1"/>
      <c r="I2" s="1"/>
      <c r="J2" s="1"/>
      <c r="K2" s="123"/>
      <c r="L2" s="124"/>
      <c r="M2" s="125"/>
      <c r="N2" s="125"/>
      <c r="O2" s="125"/>
      <c r="P2" s="125"/>
      <c r="Q2" s="125"/>
      <c r="R2" s="126"/>
    </row>
    <row r="3" spans="1:18" ht="21" x14ac:dyDescent="0.35">
      <c r="E3" s="88" t="s">
        <v>1</v>
      </c>
      <c r="F3" s="88"/>
      <c r="G3" s="88"/>
      <c r="H3" s="48"/>
      <c r="I3" s="48"/>
      <c r="J3" s="48"/>
      <c r="K3" s="127"/>
      <c r="L3" s="120"/>
      <c r="M3" s="122"/>
      <c r="N3" s="122"/>
      <c r="O3" s="122"/>
      <c r="P3" s="122"/>
      <c r="Q3" s="122"/>
      <c r="R3" s="128"/>
    </row>
    <row r="4" spans="1:18" x14ac:dyDescent="0.25">
      <c r="K4" s="127"/>
      <c r="L4" s="120"/>
      <c r="M4" s="122"/>
      <c r="N4" s="122"/>
      <c r="O4" s="122"/>
      <c r="P4" s="122"/>
      <c r="Q4" s="122"/>
      <c r="R4" s="128"/>
    </row>
    <row r="5" spans="1:18" ht="18.75" x14ac:dyDescent="0.25">
      <c r="B5" s="89" t="s">
        <v>2</v>
      </c>
      <c r="C5" s="89" t="s">
        <v>3</v>
      </c>
      <c r="D5" s="66"/>
      <c r="E5" s="4"/>
      <c r="F5" s="4"/>
      <c r="G5" s="5" t="s">
        <v>4</v>
      </c>
      <c r="K5" s="127"/>
      <c r="L5" s="120"/>
      <c r="M5" s="122"/>
      <c r="N5" s="122"/>
      <c r="O5" s="122"/>
      <c r="P5" s="122"/>
      <c r="Q5" s="122"/>
      <c r="R5" s="128"/>
    </row>
    <row r="6" spans="1:18" x14ac:dyDescent="0.25">
      <c r="K6" s="129"/>
      <c r="L6" s="130"/>
      <c r="M6" s="131"/>
      <c r="N6" s="131"/>
      <c r="O6" s="131"/>
      <c r="P6" s="131"/>
      <c r="Q6" s="131"/>
      <c r="R6" s="132"/>
    </row>
    <row r="7" spans="1:18" ht="18.75" x14ac:dyDescent="0.25">
      <c r="B7" s="6" t="s">
        <v>5</v>
      </c>
      <c r="C7" s="7">
        <v>20250117</v>
      </c>
      <c r="G7" s="8">
        <f ca="1">TODAY()</f>
        <v>45810</v>
      </c>
      <c r="K7" s="100" t="s">
        <v>2</v>
      </c>
      <c r="L7" s="100" t="s">
        <v>3</v>
      </c>
      <c r="M7" s="66"/>
      <c r="N7" s="4"/>
      <c r="O7" s="4"/>
      <c r="P7" s="4"/>
      <c r="Q7" s="4"/>
      <c r="R7" s="5" t="s">
        <v>4</v>
      </c>
    </row>
    <row r="8" spans="1:18" x14ac:dyDescent="0.25">
      <c r="B8" s="9" t="s">
        <v>6</v>
      </c>
      <c r="C8" s="10" t="s">
        <v>1451</v>
      </c>
    </row>
    <row r="9" spans="1:18" x14ac:dyDescent="0.25">
      <c r="B9" s="3" t="s">
        <v>7</v>
      </c>
      <c r="C9" s="10" t="s">
        <v>1459</v>
      </c>
      <c r="H9" s="1"/>
      <c r="I9" s="1"/>
      <c r="J9" s="1"/>
      <c r="K9" s="133" t="s">
        <v>5</v>
      </c>
      <c r="L9" s="134">
        <v>20250117</v>
      </c>
      <c r="M9" s="121"/>
      <c r="N9" s="121"/>
      <c r="O9" s="121"/>
      <c r="P9" s="121"/>
      <c r="Q9" s="121"/>
      <c r="R9" s="135">
        <f ca="1">TODAY()</f>
        <v>45810</v>
      </c>
    </row>
    <row r="10" spans="1:18" x14ac:dyDescent="0.25">
      <c r="B10" s="3"/>
      <c r="C10" s="11"/>
      <c r="H10" s="1"/>
      <c r="I10" s="1"/>
      <c r="J10" s="1"/>
      <c r="K10" s="136" t="s">
        <v>6</v>
      </c>
      <c r="L10" s="137" t="s">
        <v>1451</v>
      </c>
      <c r="M10" s="121"/>
      <c r="N10" s="121"/>
      <c r="O10" s="121"/>
      <c r="P10" s="121"/>
      <c r="Q10" s="121"/>
      <c r="R10" s="121"/>
    </row>
    <row r="11" spans="1:18" x14ac:dyDescent="0.25">
      <c r="B11" s="3"/>
      <c r="C11" s="11"/>
      <c r="H11" s="1"/>
      <c r="I11" s="1"/>
      <c r="J11" s="1"/>
      <c r="K11" s="138" t="s">
        <v>7</v>
      </c>
      <c r="L11" s="137" t="s">
        <v>1459</v>
      </c>
      <c r="M11" s="121"/>
      <c r="N11" s="121"/>
      <c r="O11" s="121"/>
      <c r="P11" s="121"/>
      <c r="Q11" s="121"/>
      <c r="R11" s="121"/>
    </row>
    <row r="12" spans="1:18" x14ac:dyDescent="0.25">
      <c r="B12" s="12" t="s">
        <v>9</v>
      </c>
      <c r="C12" s="13" t="s">
        <v>10</v>
      </c>
      <c r="D12" s="14"/>
      <c r="E12" s="14" t="s">
        <v>11</v>
      </c>
      <c r="F12" s="83" t="s">
        <v>12</v>
      </c>
      <c r="G12" s="15" t="s">
        <v>13</v>
      </c>
      <c r="H12" s="1"/>
      <c r="K12" s="138"/>
      <c r="L12" s="139"/>
      <c r="M12" s="121"/>
      <c r="N12" s="121"/>
      <c r="O12" s="121"/>
      <c r="P12" s="121"/>
      <c r="Q12" s="121"/>
      <c r="R12" s="121"/>
    </row>
    <row r="13" spans="1:18" x14ac:dyDescent="0.25">
      <c r="A13" t="s">
        <v>14</v>
      </c>
      <c r="B13" s="16"/>
      <c r="C13" s="90" t="str">
        <f>IFERROR(VLOOKUP($B13,Tarifa_all_20240711!$A$2:$G$660,2,FALSE()),"-")</f>
        <v>-</v>
      </c>
      <c r="D13" s="90"/>
      <c r="E13" s="17"/>
      <c r="F13" s="84" t="str">
        <f>IFERROR(VLOOKUP($B13,Tarifa_all_20240711!$A$2:$G$660,5,FALSE()),"-")</f>
        <v>-</v>
      </c>
      <c r="G13" s="18" t="str">
        <f t="shared" ref="G13:G30" si="0">IFERROR(E13*F13,"-")</f>
        <v>-</v>
      </c>
      <c r="H13" s="10"/>
      <c r="I13" s="10"/>
      <c r="J13" t="s">
        <v>1460</v>
      </c>
      <c r="K13" s="138"/>
      <c r="L13" s="139"/>
      <c r="M13" s="121"/>
      <c r="N13" s="121"/>
      <c r="O13" s="121"/>
      <c r="P13" s="140">
        <v>1.5</v>
      </c>
      <c r="Q13" s="121"/>
      <c r="R13" s="121"/>
    </row>
    <row r="14" spans="1:18" x14ac:dyDescent="0.25">
      <c r="A14" t="s">
        <v>15</v>
      </c>
      <c r="B14" s="16"/>
      <c r="C14" s="90" t="str">
        <f>IFERROR(VLOOKUP($B14,Tarifa_all_20240711!$A$2:$G$660,2,FALSE()),"-")</f>
        <v>-</v>
      </c>
      <c r="D14" s="90"/>
      <c r="E14" s="17"/>
      <c r="F14" s="84" t="str">
        <f>IFERROR(VLOOKUP($B14,Tarifa_all_20240711!$A$2:$G$660,5,FALSE()),"-")</f>
        <v>-</v>
      </c>
      <c r="G14" s="18" t="str">
        <f t="shared" si="0"/>
        <v>-</v>
      </c>
      <c r="H14" s="10"/>
      <c r="I14" s="10"/>
      <c r="K14" s="101" t="s">
        <v>1452</v>
      </c>
      <c r="L14" s="102"/>
      <c r="M14" s="103"/>
      <c r="N14" s="103"/>
      <c r="O14" s="104">
        <v>0.3</v>
      </c>
      <c r="P14" s="103"/>
      <c r="Q14" s="103"/>
      <c r="R14" s="103"/>
    </row>
    <row r="15" spans="1:18" x14ac:dyDescent="0.25">
      <c r="A15" t="s">
        <v>16</v>
      </c>
      <c r="B15" s="16"/>
      <c r="C15" s="90" t="str">
        <f>IFERROR(VLOOKUP($B15,Tarifa_all_20240711!$A$2:$G$660,2,FALSE()),"-")</f>
        <v>-</v>
      </c>
      <c r="D15" s="90"/>
      <c r="E15" s="17"/>
      <c r="F15" s="84" t="str">
        <f>IFERROR(VLOOKUP($B15,Tarifa_all_20240711!$A$2:$G$660,5,FALSE()),"-")</f>
        <v>-</v>
      </c>
      <c r="G15" s="18" t="str">
        <f t="shared" si="0"/>
        <v>-</v>
      </c>
      <c r="H15" s="10"/>
      <c r="I15" s="10"/>
      <c r="J15" t="s">
        <v>1460</v>
      </c>
      <c r="K15" s="105" t="s">
        <v>496</v>
      </c>
      <c r="L15" s="105" t="s">
        <v>1453</v>
      </c>
      <c r="M15" s="106" t="s">
        <v>11</v>
      </c>
      <c r="N15" s="106" t="s">
        <v>1454</v>
      </c>
      <c r="O15" s="106" t="s">
        <v>1455</v>
      </c>
      <c r="P15" s="106" t="s">
        <v>12</v>
      </c>
      <c r="Q15" s="106" t="s">
        <v>1468</v>
      </c>
      <c r="R15" s="105"/>
    </row>
    <row r="16" spans="1:18" x14ac:dyDescent="0.25">
      <c r="A16" t="s">
        <v>17</v>
      </c>
      <c r="B16" s="16"/>
      <c r="C16" s="90" t="str">
        <f>IFERROR(VLOOKUP($B16,Tarifa_all_20240711!$A$2:$G$660,2,FALSE()),"-")</f>
        <v>-</v>
      </c>
      <c r="D16" s="90"/>
      <c r="E16" s="17"/>
      <c r="F16" s="84" t="str">
        <f>IFERROR(VLOOKUP($B16,Tarifa_all_20240711!$A$2:$G$660,5,FALSE()),"-")</f>
        <v>-</v>
      </c>
      <c r="G16" s="18" t="str">
        <f t="shared" si="0"/>
        <v>-</v>
      </c>
      <c r="H16" s="10"/>
      <c r="I16" s="10"/>
      <c r="K16" s="107" t="s">
        <v>1461</v>
      </c>
      <c r="L16" s="108" t="s">
        <v>1456</v>
      </c>
      <c r="M16" s="109">
        <v>1</v>
      </c>
      <c r="N16" s="110">
        <v>92.82</v>
      </c>
      <c r="O16" s="110">
        <f>N16*(1-$O$14)*M16</f>
        <v>64.97399999999999</v>
      </c>
      <c r="P16" s="111">
        <f>O16*$P$13</f>
        <v>97.460999999999984</v>
      </c>
      <c r="Q16" s="111">
        <f>IFERROR((N16*(1-$O$14))*($P$13),0)</f>
        <v>97.460999999999984</v>
      </c>
      <c r="R16" s="112">
        <f>M16*Q16</f>
        <v>97.460999999999984</v>
      </c>
    </row>
    <row r="17" spans="1:18" x14ac:dyDescent="0.25">
      <c r="A17" t="s">
        <v>18</v>
      </c>
      <c r="B17" s="16"/>
      <c r="C17" s="90" t="str">
        <f>IFERROR(VLOOKUP($B17,Tarifa_all_20240711!$A$2:$G$660,2,FALSE()),"-")</f>
        <v>-</v>
      </c>
      <c r="D17" s="90"/>
      <c r="E17" s="17"/>
      <c r="F17" s="84" t="str">
        <f>IFERROR(VLOOKUP($B17,Tarifa_all_20240711!$A$2:$G$660,5,FALSE()),"-")</f>
        <v>-</v>
      </c>
      <c r="G17" s="18" t="str">
        <f t="shared" si="0"/>
        <v>-</v>
      </c>
      <c r="H17" s="10"/>
      <c r="I17" s="10"/>
      <c r="K17" s="103"/>
      <c r="L17" s="103"/>
      <c r="M17" s="103"/>
      <c r="N17" s="103"/>
      <c r="O17" s="110">
        <f>N17*(1-$O$14)*M17</f>
        <v>0</v>
      </c>
      <c r="P17" s="111">
        <f>O17*$P$13</f>
        <v>0</v>
      </c>
      <c r="Q17" s="111">
        <f>IFERROR((N17*(1-$O$14))*($P$13),0)</f>
        <v>0</v>
      </c>
      <c r="R17" s="112">
        <f t="shared" ref="R17:R32" si="1">M17*Q17</f>
        <v>0</v>
      </c>
    </row>
    <row r="18" spans="1:18" x14ac:dyDescent="0.25">
      <c r="A18" t="s">
        <v>19</v>
      </c>
      <c r="B18" s="16"/>
      <c r="C18" s="90" t="str">
        <f>IFERROR(VLOOKUP($B18,Tarifa_all_20240711!$A$2:$G$660,2,FALSE()),"-")</f>
        <v>-</v>
      </c>
      <c r="D18" s="90"/>
      <c r="E18" s="17"/>
      <c r="F18" s="84" t="str">
        <f>IFERROR(VLOOKUP($B18,Tarifa_all_20240711!$A$2:$G$660,5,FALSE()),"-")</f>
        <v>-</v>
      </c>
      <c r="G18" s="18" t="str">
        <f t="shared" si="0"/>
        <v>-</v>
      </c>
      <c r="H18" s="10"/>
      <c r="I18" s="10"/>
      <c r="K18" s="107" t="s">
        <v>1457</v>
      </c>
      <c r="L18" s="108" t="s">
        <v>1458</v>
      </c>
      <c r="M18" s="109">
        <v>5</v>
      </c>
      <c r="N18" s="109">
        <v>9.8506199999999993</v>
      </c>
      <c r="O18" s="110">
        <f>N18*(1-$O$14)*M18</f>
        <v>34.477169999999994</v>
      </c>
      <c r="P18" s="111">
        <f>O18*$P$13</f>
        <v>51.715754999999987</v>
      </c>
      <c r="Q18" s="111">
        <f>IFERROR((N18*(1-$O$14))*($P$13),0)</f>
        <v>10.343150999999999</v>
      </c>
      <c r="R18" s="112">
        <f t="shared" si="1"/>
        <v>51.715754999999994</v>
      </c>
    </row>
    <row r="19" spans="1:18" x14ac:dyDescent="0.25">
      <c r="A19" t="s">
        <v>20</v>
      </c>
      <c r="B19" s="16"/>
      <c r="C19" s="90" t="str">
        <f>IFERROR(VLOOKUP($B19,Tarifa_all_20240711!$A$2:$G$660,2,FALSE()),"-")</f>
        <v>-</v>
      </c>
      <c r="D19" s="90"/>
      <c r="E19" s="17"/>
      <c r="F19" s="84" t="str">
        <f>IFERROR(VLOOKUP($B19,Tarifa_all_20240711!$A$2:$G$660,5,FALSE()),"-")</f>
        <v>-</v>
      </c>
      <c r="G19" s="18" t="str">
        <f t="shared" si="0"/>
        <v>-</v>
      </c>
      <c r="H19" s="10"/>
      <c r="I19" s="10"/>
      <c r="K19" s="107"/>
      <c r="L19" s="108"/>
      <c r="M19" s="109"/>
      <c r="N19" s="109"/>
      <c r="O19" s="110">
        <f>N19*(1-$O$14)*M19</f>
        <v>0</v>
      </c>
      <c r="P19" s="111">
        <f>O19*$P$13</f>
        <v>0</v>
      </c>
      <c r="Q19" s="111">
        <f>IFERROR((N19*(1-$O$14))*($P$13),0)</f>
        <v>0</v>
      </c>
      <c r="R19" s="112">
        <f t="shared" si="1"/>
        <v>0</v>
      </c>
    </row>
    <row r="20" spans="1:18" x14ac:dyDescent="0.25">
      <c r="A20" t="s">
        <v>21</v>
      </c>
      <c r="B20" s="16"/>
      <c r="C20" s="90" t="str">
        <f>IFERROR(VLOOKUP($B20,Tarifa_all_20240711!$A$2:$G$660,2,FALSE()),"-")</f>
        <v>-</v>
      </c>
      <c r="D20" s="90"/>
      <c r="E20" s="17"/>
      <c r="F20" s="84" t="str">
        <f>IFERROR(VLOOKUP($B20,Tarifa_all_20240711!$A$2:$G$660,5,FALSE()),"-")</f>
        <v>-</v>
      </c>
      <c r="G20" s="18" t="str">
        <f t="shared" si="0"/>
        <v>-</v>
      </c>
      <c r="H20" s="10"/>
      <c r="I20" s="10"/>
      <c r="K20" s="107" t="s">
        <v>1462</v>
      </c>
      <c r="L20" s="108" t="s">
        <v>1464</v>
      </c>
      <c r="M20" s="109">
        <v>1</v>
      </c>
      <c r="N20" s="109">
        <v>228.084</v>
      </c>
      <c r="O20" s="110">
        <f>N20*(1-$O$14)*M20</f>
        <v>159.65879999999999</v>
      </c>
      <c r="P20" s="111">
        <f>O20*$P$13</f>
        <v>239.48819999999998</v>
      </c>
      <c r="Q20" s="111">
        <f>IFERROR((N20*(1-$O$14))*($P$13),0)</f>
        <v>239.48819999999998</v>
      </c>
      <c r="R20" s="112">
        <f t="shared" si="1"/>
        <v>239.48819999999998</v>
      </c>
    </row>
    <row r="21" spans="1:18" x14ac:dyDescent="0.25">
      <c r="A21" t="s">
        <v>22</v>
      </c>
      <c r="B21" s="76"/>
      <c r="C21" s="91" t="str">
        <f>IFERROR(VLOOKUP($B21,Tarifa_all_20240711!$A$2:$G$660,2,FALSE()),"-")</f>
        <v>-</v>
      </c>
      <c r="D21" s="91"/>
      <c r="E21" s="77"/>
      <c r="F21" s="85" t="str">
        <f>IFERROR(VLOOKUP($B21,Tarifa_all_20240711!$A$2:$G$660,5,FALSE()),"-")</f>
        <v>-</v>
      </c>
      <c r="G21" s="78" t="str">
        <f t="shared" si="0"/>
        <v>-</v>
      </c>
      <c r="H21" s="10"/>
      <c r="I21" s="10"/>
      <c r="K21" s="107" t="s">
        <v>1463</v>
      </c>
      <c r="L21" s="108" t="s">
        <v>1465</v>
      </c>
      <c r="M21" s="109">
        <v>1</v>
      </c>
      <c r="N21" s="109">
        <v>244.874</v>
      </c>
      <c r="O21" s="110">
        <f>N21*(1-$O$14)*M21</f>
        <v>171.4118</v>
      </c>
      <c r="P21" s="111">
        <f>O21*$P$13</f>
        <v>257.11770000000001</v>
      </c>
      <c r="Q21" s="111">
        <f>IFERROR((N21*(1-$O$14))*($P$13),0)</f>
        <v>257.11770000000001</v>
      </c>
      <c r="R21" s="112">
        <f t="shared" si="1"/>
        <v>257.11770000000001</v>
      </c>
    </row>
    <row r="22" spans="1:18" x14ac:dyDescent="0.25">
      <c r="B22" s="79" t="s">
        <v>143</v>
      </c>
      <c r="C22" s="92" t="str">
        <f>IFERROR(VLOOKUP($B22,Tarifa_all_20240711!$A$2:$G$660,2,FALSE()),"-")</f>
        <v>PERFIL EMBELL.HORIZ. ADH LAC.NEGRO TEXTURADO</v>
      </c>
      <c r="D22" s="92"/>
      <c r="E22" s="80">
        <v>8</v>
      </c>
      <c r="F22" s="86">
        <f>IFERROR(VLOOKUP($B22,Tarifa_all_20240711!$A$2:$G$660,5,FALSE()),"-")</f>
        <v>21.794999999999998</v>
      </c>
      <c r="G22" s="81">
        <f t="shared" si="0"/>
        <v>174.35999999999999</v>
      </c>
      <c r="H22" s="10"/>
      <c r="I22" s="10"/>
      <c r="K22" s="107" t="s">
        <v>1466</v>
      </c>
      <c r="L22" s="108" t="s">
        <v>1467</v>
      </c>
      <c r="M22" s="109">
        <v>1</v>
      </c>
      <c r="N22" s="109">
        <v>94.343000000000004</v>
      </c>
      <c r="O22" s="110">
        <f>N22*(1-$O$14)*M22</f>
        <v>66.040099999999995</v>
      </c>
      <c r="P22" s="111">
        <f>O22*$P$13</f>
        <v>99.060149999999993</v>
      </c>
      <c r="Q22" s="111">
        <f>IFERROR((N22*(1-$O$14))*($P$13),0)</f>
        <v>99.060149999999993</v>
      </c>
      <c r="R22" s="112">
        <f t="shared" si="1"/>
        <v>99.060149999999993</v>
      </c>
    </row>
    <row r="23" spans="1:18" x14ac:dyDescent="0.25">
      <c r="B23" s="79"/>
      <c r="C23" s="92" t="str">
        <f>IFERROR(VLOOKUP($B23,Tarifa_all_20240711!$A$2:$G$660,2,FALSE()),"-")</f>
        <v>-</v>
      </c>
      <c r="D23" s="92"/>
      <c r="E23" s="80"/>
      <c r="F23" s="86" t="str">
        <f>IFERROR(VLOOKUP($B23,Tarifa_all_20240711!$A$2:$G$660,5,FALSE()),"-")</f>
        <v>-</v>
      </c>
      <c r="G23" s="81" t="str">
        <f t="shared" si="0"/>
        <v>-</v>
      </c>
      <c r="H23" s="10"/>
      <c r="I23" s="10"/>
      <c r="K23" s="107"/>
      <c r="L23" s="108"/>
      <c r="M23" s="109"/>
      <c r="N23" s="109"/>
      <c r="O23" s="110">
        <f>N23*(1-$O$14)*M23</f>
        <v>0</v>
      </c>
      <c r="P23" s="111">
        <f>O23*$P$13</f>
        <v>0</v>
      </c>
      <c r="Q23" s="111">
        <f>IFERROR((N23*(1-$O$14))*($P$13),0)</f>
        <v>0</v>
      </c>
      <c r="R23" s="112">
        <f t="shared" si="1"/>
        <v>0</v>
      </c>
    </row>
    <row r="24" spans="1:18" x14ac:dyDescent="0.25">
      <c r="B24" s="79"/>
      <c r="C24" s="92" t="str">
        <f>IFERROR(VLOOKUP($B24,Tarifa_all_20240711!$A$2:$G$660,2,FALSE()),"-")</f>
        <v>-</v>
      </c>
      <c r="D24" s="92"/>
      <c r="E24" s="80"/>
      <c r="F24" s="86" t="str">
        <f>IFERROR(VLOOKUP($B24,Tarifa_all_20240711!$A$2:$G$660,5,FALSE()),"-")</f>
        <v>-</v>
      </c>
      <c r="G24" s="81" t="str">
        <f t="shared" si="0"/>
        <v>-</v>
      </c>
      <c r="H24" s="10"/>
      <c r="I24" s="10"/>
      <c r="K24" s="103" t="s">
        <v>143</v>
      </c>
      <c r="L24" s="103" t="s">
        <v>144</v>
      </c>
      <c r="M24" s="109">
        <v>8</v>
      </c>
      <c r="N24" s="103">
        <v>8</v>
      </c>
      <c r="O24" s="103" t="str">
        <f>IFERROR(VLOOKUP($B21,Tarifa_all_20240711!$A$2:$G$660,5,FALSE()),"-")</f>
        <v>-</v>
      </c>
      <c r="P24" s="111">
        <v>21.8</v>
      </c>
      <c r="Q24" s="111">
        <v>21.8</v>
      </c>
      <c r="R24" s="112">
        <f t="shared" si="1"/>
        <v>174.4</v>
      </c>
    </row>
    <row r="25" spans="1:18" x14ac:dyDescent="0.25">
      <c r="B25" s="79"/>
      <c r="C25" s="92" t="str">
        <f>IFERROR(VLOOKUP($B25,Tarifa_all_20240711!$A$2:$G$660,2,FALSE()),"-")</f>
        <v>-</v>
      </c>
      <c r="D25" s="92"/>
      <c r="E25" s="80"/>
      <c r="F25" s="86" t="str">
        <f>IFERROR(VLOOKUP($B25,Tarifa_all_20240711!$A$2:$G$660,5,FALSE()),"-")</f>
        <v>-</v>
      </c>
      <c r="G25" s="81" t="str">
        <f t="shared" si="0"/>
        <v>-</v>
      </c>
      <c r="H25" s="10"/>
      <c r="I25" s="10"/>
      <c r="K25" s="113"/>
      <c r="L25" s="114"/>
      <c r="M25" s="115"/>
      <c r="N25" s="115"/>
      <c r="O25" s="116">
        <f>N25*(1-$O$14)*M25</f>
        <v>0</v>
      </c>
      <c r="P25" s="111">
        <f>O25*$P$13</f>
        <v>0</v>
      </c>
      <c r="Q25" s="111">
        <f>IFERROR((N25*(1-$O$14))*($P$13),0)</f>
        <v>0</v>
      </c>
      <c r="R25" s="112">
        <f t="shared" si="1"/>
        <v>0</v>
      </c>
    </row>
    <row r="26" spans="1:18" x14ac:dyDescent="0.25">
      <c r="B26" s="16"/>
      <c r="C26" s="90" t="str">
        <f>IFERROR(VLOOKUP($B26,Tarifa_all_20240711!$A$2:$G$660,2,FALSE()),"-")</f>
        <v>-</v>
      </c>
      <c r="D26" s="90"/>
      <c r="E26" s="17"/>
      <c r="F26" s="84" t="str">
        <f>IFERROR(VLOOKUP($B26,Tarifa_all_20240711!$A$2:$G$660,5,FALSE()),"-")</f>
        <v>-</v>
      </c>
      <c r="G26" s="18" t="str">
        <f t="shared" si="0"/>
        <v>-</v>
      </c>
      <c r="H26" s="10"/>
      <c r="I26" s="10"/>
      <c r="K26" s="117"/>
      <c r="L26" s="118"/>
      <c r="M26" s="119"/>
      <c r="N26" s="119"/>
      <c r="O26" s="116">
        <f>N26*(1-$O$14)*M26</f>
        <v>0</v>
      </c>
      <c r="P26" s="111">
        <f>O26*$P$13</f>
        <v>0</v>
      </c>
      <c r="Q26" s="111">
        <f>IFERROR((N26*(1-$O$14))*($P$13),0)</f>
        <v>0</v>
      </c>
      <c r="R26" s="112">
        <f t="shared" si="1"/>
        <v>0</v>
      </c>
    </row>
    <row r="27" spans="1:18" x14ac:dyDescent="0.25">
      <c r="B27" s="79"/>
      <c r="C27" s="92" t="str">
        <f>IFERROR(VLOOKUP($B27,Tarifa_all_20240711!$A$2:$G$660,2,FALSE()),"-")</f>
        <v>-</v>
      </c>
      <c r="D27" s="92"/>
      <c r="E27" s="80"/>
      <c r="F27" s="86" t="str">
        <f>IFERROR(VLOOKUP($B27,Tarifa_all_20240711!$A$2:$G$660,5,FALSE()),"-")</f>
        <v>-</v>
      </c>
      <c r="G27" s="81" t="str">
        <f t="shared" si="0"/>
        <v>-</v>
      </c>
      <c r="H27" s="10"/>
      <c r="I27" s="10"/>
      <c r="K27" s="107"/>
      <c r="L27" s="108"/>
      <c r="M27" s="109"/>
      <c r="N27" s="109"/>
      <c r="O27" s="110">
        <f>N27*(1-$O$14)*M27</f>
        <v>0</v>
      </c>
      <c r="P27" s="111">
        <f>O27*$P$13</f>
        <v>0</v>
      </c>
      <c r="Q27" s="111">
        <f>IFERROR((N27*(1-$O$14))*($P$13),0)</f>
        <v>0</v>
      </c>
      <c r="R27" s="112">
        <f t="shared" si="1"/>
        <v>0</v>
      </c>
    </row>
    <row r="28" spans="1:18" x14ac:dyDescent="0.25">
      <c r="B28" s="79"/>
      <c r="C28" s="92" t="str">
        <f>IFERROR(VLOOKUP($B28,Tarifa_all_20240711!$A$2:$G$660,2,FALSE()),"-")</f>
        <v>-</v>
      </c>
      <c r="D28" s="92"/>
      <c r="E28" s="80"/>
      <c r="F28" s="86" t="str">
        <f>IFERROR(VLOOKUP($B28,Tarifa_all_20240711!$A$2:$G$660,5,FALSE()),"-")</f>
        <v>-</v>
      </c>
      <c r="G28" s="81" t="str">
        <f t="shared" si="0"/>
        <v>-</v>
      </c>
      <c r="H28" s="10"/>
      <c r="I28" s="10"/>
      <c r="K28" s="107"/>
      <c r="L28" s="108"/>
      <c r="M28" s="109"/>
      <c r="N28" s="109"/>
      <c r="O28" s="110">
        <f>N28*(1-$O$14)*M28</f>
        <v>0</v>
      </c>
      <c r="P28" s="111">
        <f>O28*$P$13</f>
        <v>0</v>
      </c>
      <c r="Q28" s="111">
        <f>IFERROR((N28*(1-$O$14))*($P$13),0)</f>
        <v>0</v>
      </c>
      <c r="R28" s="112">
        <f t="shared" si="1"/>
        <v>0</v>
      </c>
    </row>
    <row r="29" spans="1:18" x14ac:dyDescent="0.25">
      <c r="B29" s="79"/>
      <c r="C29" s="92" t="str">
        <f>IFERROR(VLOOKUP($B29,Tarifa_all_20240711!$A$2:$G$660,2,FALSE()),"-")</f>
        <v>-</v>
      </c>
      <c r="D29" s="92"/>
      <c r="E29" s="80"/>
      <c r="F29" s="86" t="str">
        <f>IFERROR(VLOOKUP($B29,Tarifa_all_20240711!$A$2:$G$660,5,FALSE()),"-")</f>
        <v>-</v>
      </c>
      <c r="G29" s="81" t="str">
        <f t="shared" si="0"/>
        <v>-</v>
      </c>
      <c r="H29" s="10"/>
      <c r="J29" s="82">
        <f>SUM(G22:G29)</f>
        <v>174.35999999999999</v>
      </c>
      <c r="K29" s="107"/>
      <c r="L29" s="108"/>
      <c r="M29" s="109"/>
      <c r="N29" s="109"/>
      <c r="O29" s="110">
        <f>N29*(1-$O$14)*M29</f>
        <v>0</v>
      </c>
      <c r="P29" s="111">
        <f>O29*$P$13</f>
        <v>0</v>
      </c>
      <c r="Q29" s="111">
        <f>IFERROR((N29*(1-$O$14))*($P$13),0)</f>
        <v>0</v>
      </c>
      <c r="R29" s="112">
        <f t="shared" si="1"/>
        <v>0</v>
      </c>
    </row>
    <row r="30" spans="1:18" x14ac:dyDescent="0.25">
      <c r="B30" s="16"/>
      <c r="C30" s="90" t="str">
        <f>IFERROR(VLOOKUP($B30,Tarifa_all_20240711!$A$2:$G$660,2,FALSE()),"-")</f>
        <v>-</v>
      </c>
      <c r="D30" s="9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I30" s="10"/>
      <c r="K30" s="107"/>
      <c r="L30" s="108"/>
      <c r="M30" s="109"/>
      <c r="N30" s="109"/>
      <c r="O30" s="110">
        <f>N30*(1-$O$14)*M30</f>
        <v>0</v>
      </c>
      <c r="P30" s="111">
        <f>O30*$P$13</f>
        <v>0</v>
      </c>
      <c r="Q30" s="111">
        <f>IFERROR((N30*(1-$O$14))*($P$13),0)</f>
        <v>0</v>
      </c>
      <c r="R30" s="112">
        <f t="shared" si="1"/>
        <v>0</v>
      </c>
    </row>
    <row r="31" spans="1:18" x14ac:dyDescent="0.25">
      <c r="B31" s="19"/>
      <c r="C31" s="19"/>
      <c r="D31" s="19"/>
      <c r="E31" s="19"/>
      <c r="F31" s="20"/>
      <c r="G31" s="21">
        <f>SUM(G13:G30)</f>
        <v>174.35999999999999</v>
      </c>
      <c r="J31" s="87">
        <f>G31+P34</f>
        <v>919.2028049999999</v>
      </c>
      <c r="K31" s="107"/>
      <c r="L31" s="108"/>
      <c r="M31" s="109"/>
      <c r="N31" s="109"/>
      <c r="O31" s="110">
        <f>N31*(1-$O$14)*M31</f>
        <v>0</v>
      </c>
      <c r="P31" s="111">
        <f>O31*$P$13</f>
        <v>0</v>
      </c>
      <c r="Q31" s="111">
        <f>IFERROR((N31*(1-$O$14))*($P$13),0)</f>
        <v>0</v>
      </c>
      <c r="R31" s="112">
        <f t="shared" si="1"/>
        <v>0</v>
      </c>
    </row>
    <row r="32" spans="1:18" x14ac:dyDescent="0.25">
      <c r="B32" s="19"/>
      <c r="C32" s="19"/>
      <c r="D32" s="19"/>
      <c r="E32" s="19"/>
      <c r="F32" s="20"/>
      <c r="G32" s="20"/>
      <c r="K32" s="107"/>
      <c r="L32" s="108"/>
      <c r="M32" s="109"/>
      <c r="N32" s="109"/>
      <c r="O32" s="110">
        <f>N32*(1-$O$14)*M32</f>
        <v>0</v>
      </c>
      <c r="P32" s="111">
        <f>O32*$P$13</f>
        <v>0</v>
      </c>
      <c r="Q32" s="111">
        <f>IFERROR((N32*(1-$O$14))*($P$13),0)</f>
        <v>0</v>
      </c>
      <c r="R32" s="112">
        <f t="shared" si="1"/>
        <v>0</v>
      </c>
    </row>
    <row r="33" spans="2:18" x14ac:dyDescent="0.25">
      <c r="B33" s="22" t="s">
        <v>23</v>
      </c>
      <c r="C33" s="23"/>
      <c r="D33" s="23"/>
      <c r="E33" s="23"/>
      <c r="F33" s="23"/>
      <c r="G33" s="24"/>
      <c r="K33" s="103"/>
      <c r="L33" s="103"/>
      <c r="M33" s="103"/>
      <c r="N33" s="103"/>
      <c r="O33" s="103"/>
      <c r="P33" s="105"/>
      <c r="Q33" s="103"/>
      <c r="R33" s="103"/>
    </row>
    <row r="34" spans="2:18" ht="15" customHeight="1" x14ac:dyDescent="0.25">
      <c r="B34" s="25" t="s">
        <v>24</v>
      </c>
      <c r="C34" s="26" t="s">
        <v>74</v>
      </c>
      <c r="D34" s="26"/>
      <c r="E34" s="26"/>
      <c r="F34" s="26"/>
      <c r="G34" s="24"/>
      <c r="K34" s="103"/>
      <c r="L34" s="103"/>
      <c r="M34" s="103"/>
      <c r="N34" s="103"/>
      <c r="O34" s="112">
        <f>SUM(O16:O32)</f>
        <v>496.56186999999994</v>
      </c>
      <c r="P34" s="111">
        <f>O34*P13</f>
        <v>744.84280499999988</v>
      </c>
      <c r="Q34" s="103"/>
      <c r="R34" s="112">
        <f>SUM(R16:R32)</f>
        <v>919.24280499999998</v>
      </c>
    </row>
    <row r="35" spans="2:18" x14ac:dyDescent="0.25">
      <c r="B35" s="27" t="s">
        <v>25</v>
      </c>
      <c r="C35" s="26"/>
      <c r="D35" s="26"/>
      <c r="E35" s="26"/>
      <c r="F35" s="26"/>
      <c r="G35" s="24"/>
      <c r="K35" s="19"/>
      <c r="L35" s="19"/>
      <c r="M35" s="19"/>
      <c r="N35" s="19"/>
      <c r="O35" s="19"/>
      <c r="P35" s="19"/>
      <c r="Q35" s="19"/>
      <c r="R35" s="19"/>
    </row>
    <row r="36" spans="2:18" x14ac:dyDescent="0.25">
      <c r="B36" s="28" t="s">
        <v>1450</v>
      </c>
      <c r="C36" s="29"/>
      <c r="D36" s="29"/>
      <c r="E36" s="29"/>
      <c r="F36" s="29"/>
      <c r="G36" s="24"/>
      <c r="K36" s="22" t="s">
        <v>23</v>
      </c>
      <c r="L36" s="23"/>
      <c r="M36" s="23"/>
      <c r="N36" s="23"/>
      <c r="O36" s="23"/>
      <c r="P36" s="24"/>
      <c r="Q36" s="26"/>
      <c r="R36" s="26"/>
    </row>
    <row r="37" spans="2:18" x14ac:dyDescent="0.25">
      <c r="B37" s="27"/>
      <c r="C37" s="26"/>
      <c r="D37" s="26"/>
      <c r="E37" s="26"/>
      <c r="F37" s="26"/>
      <c r="G37" s="20"/>
      <c r="K37" s="25" t="s">
        <v>24</v>
      </c>
      <c r="L37" s="26" t="s">
        <v>74</v>
      </c>
      <c r="M37" s="26"/>
      <c r="N37" s="26"/>
      <c r="O37" s="26"/>
      <c r="P37" s="24"/>
      <c r="Q37" s="26"/>
      <c r="R37" s="26"/>
    </row>
    <row r="38" spans="2:18" x14ac:dyDescent="0.25">
      <c r="B38" s="27"/>
      <c r="C38" s="26"/>
      <c r="D38" s="26"/>
      <c r="E38" s="26"/>
      <c r="F38" s="26"/>
      <c r="G38" s="24"/>
      <c r="K38" s="27" t="s">
        <v>25</v>
      </c>
      <c r="L38" s="26"/>
      <c r="M38" s="26"/>
      <c r="N38" s="26"/>
      <c r="O38" s="26"/>
      <c r="P38" s="24"/>
      <c r="Q38" s="26"/>
      <c r="R38" s="26"/>
    </row>
    <row r="39" spans="2:18" x14ac:dyDescent="0.25">
      <c r="B39" s="30"/>
      <c r="C39" s="31"/>
      <c r="D39" s="31"/>
      <c r="E39" s="31"/>
      <c r="F39" s="31"/>
      <c r="G39" s="24"/>
      <c r="K39" s="28" t="s">
        <v>1450</v>
      </c>
      <c r="L39" s="29"/>
      <c r="M39" s="29"/>
      <c r="N39" s="29"/>
      <c r="O39" s="29"/>
      <c r="P39" s="24"/>
      <c r="Q39" s="29"/>
      <c r="R39" s="29"/>
    </row>
    <row r="40" spans="2:18" x14ac:dyDescent="0.25">
      <c r="B40" s="27"/>
      <c r="C40" s="31"/>
      <c r="D40" s="31"/>
      <c r="E40" s="31"/>
      <c r="F40" s="31"/>
      <c r="G40" s="24"/>
    </row>
    <row r="41" spans="2:18" x14ac:dyDescent="0.25">
      <c r="B41" s="26"/>
      <c r="C41" s="26"/>
      <c r="D41" s="26"/>
      <c r="E41" s="26"/>
      <c r="F41" s="26"/>
      <c r="G41" s="24"/>
    </row>
    <row r="42" spans="2:18" x14ac:dyDescent="0.25">
      <c r="B42" s="32"/>
      <c r="D42" s="32"/>
      <c r="E42" s="32"/>
      <c r="F42" s="32"/>
    </row>
    <row r="43" spans="2:18" x14ac:dyDescent="0.25">
      <c r="C43" s="33" t="s">
        <v>26</v>
      </c>
      <c r="D43" s="34" t="s">
        <v>27</v>
      </c>
      <c r="E43" s="34"/>
      <c r="F43" s="34"/>
    </row>
    <row r="44" spans="2:18" x14ac:dyDescent="0.25">
      <c r="C44" s="35" t="s">
        <v>28</v>
      </c>
      <c r="D44" s="23" t="s">
        <v>28</v>
      </c>
      <c r="E44" s="23"/>
      <c r="F44" s="23"/>
    </row>
    <row r="45" spans="2:18" x14ac:dyDescent="0.25">
      <c r="C45" s="35" t="s">
        <v>29</v>
      </c>
      <c r="D45" s="23" t="s">
        <v>29</v>
      </c>
      <c r="E45" s="23"/>
      <c r="F45" s="23"/>
    </row>
    <row r="46" spans="2:18" x14ac:dyDescent="0.25">
      <c r="C46" s="35" t="s">
        <v>30</v>
      </c>
      <c r="D46" s="23" t="s">
        <v>31</v>
      </c>
      <c r="E46" s="23"/>
      <c r="F46" s="23"/>
    </row>
    <row r="47" spans="2:18" x14ac:dyDescent="0.25">
      <c r="C47" s="35" t="s">
        <v>32</v>
      </c>
      <c r="D47" s="23" t="s">
        <v>30</v>
      </c>
      <c r="E47" s="23"/>
      <c r="F47" s="23"/>
    </row>
    <row r="48" spans="2:18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93"/>
      <c r="E52" s="93"/>
      <c r="F52" s="9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K7:L7"/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B5:C5"/>
    <mergeCell ref="C13:D13"/>
    <mergeCell ref="C14:D14"/>
  </mergeCells>
  <pageMargins left="0.7" right="0.7" top="0.75" bottom="0.75" header="0.511811023622047" footer="0.511811023622047"/>
  <pageSetup paperSize="9" scale="74" fitToHeight="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8" t="s">
        <v>78</v>
      </c>
      <c r="F2" s="88"/>
      <c r="G2" s="88"/>
    </row>
    <row r="3" spans="1:7" ht="18" customHeight="1" x14ac:dyDescent="0.35">
      <c r="E3" s="88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8" t="s">
        <v>79</v>
      </c>
      <c r="B6" s="98"/>
      <c r="C6" s="9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9" t="str">
        <f>'DESPIECE (MATANALYSIS)'!C8</f>
        <v>Alutek Puçol</v>
      </c>
      <c r="C9" s="99"/>
      <c r="D9" s="99"/>
      <c r="F9" s="3" t="s">
        <v>81</v>
      </c>
      <c r="G9" s="44">
        <f ca="1">TODAY()</f>
        <v>45810</v>
      </c>
    </row>
    <row r="10" spans="1:7" x14ac:dyDescent="0.25">
      <c r="A10" s="3" t="s">
        <v>82</v>
      </c>
      <c r="B10" s="11" t="str">
        <f>'DESPIECE (MATANALYSIS)'!C9</f>
        <v>Unicque Plegable</v>
      </c>
      <c r="C10" s="45"/>
      <c r="D10" s="45"/>
      <c r="E10" s="46"/>
      <c r="F10" s="47" t="s">
        <v>83</v>
      </c>
      <c r="G10" s="7">
        <f>'DESPIECE (MATANALYSIS)'!C7</f>
        <v>20250117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94"/>
      <c r="B46" s="94"/>
      <c r="C46" s="71"/>
      <c r="D46" s="71"/>
      <c r="E46" s="71"/>
      <c r="F46" s="72"/>
      <c r="G46" s="73"/>
    </row>
    <row r="47" spans="1:7" ht="22.7" customHeight="1" x14ac:dyDescent="0.25">
      <c r="A47" s="95" t="s">
        <v>99</v>
      </c>
      <c r="B47" s="95"/>
      <c r="C47" s="59"/>
      <c r="D47" s="59"/>
      <c r="E47" s="59"/>
      <c r="F47" s="96">
        <f>'DESPIECE (MATANALYSIS)'!G31</f>
        <v>174.35999999999999</v>
      </c>
      <c r="G47" s="96"/>
    </row>
    <row r="48" spans="1:7" s="1" customFormat="1" ht="22.7" customHeight="1" x14ac:dyDescent="0.25">
      <c r="A48" s="97" t="s">
        <v>100</v>
      </c>
      <c r="B48" s="97"/>
      <c r="C48" s="97"/>
      <c r="D48" s="97"/>
      <c r="E48" s="97"/>
      <c r="F48" s="97"/>
      <c r="G48" s="9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2" workbookViewId="0">
      <selection activeCell="A350" sqref="A350:XFD350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2025-06-02T16:25:05Z</cp:lastPrinted>
  <dcterms:created xsi:type="dcterms:W3CDTF">2024-04-15T12:43:19Z</dcterms:created>
  <dcterms:modified xsi:type="dcterms:W3CDTF">2025-06-02T16:25:21Z</dcterms:modified>
  <dc:language>es-ES</dc:language>
</cp:coreProperties>
</file>