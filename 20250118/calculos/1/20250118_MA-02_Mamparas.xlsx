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18\calculos\1\"/>
    </mc:Choice>
  </mc:AlternateContent>
  <xr:revisionPtr revIDLastSave="0" documentId="13_ncr:1_{81A01138-734B-418C-986C-409F9C725C9F}" xr6:coauthVersionLast="47" xr6:coauthVersionMax="47" xr10:uidLastSave="{00000000-0000-0000-0000-000000000000}"/>
  <bookViews>
    <workbookView xWindow="1605" yWindow="510" windowWidth="19140" windowHeight="14220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<sst xmlns="http://schemas.openxmlformats.org/spreadsheetml/2006/main" count="5396" uniqueCount="1449">
  <si>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</si>
  <si>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</si>
  <si>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</si>
  <si>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</si>
  <si>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</si>
  <si>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</si>
  <si>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</si>
  <si>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</si>
  <si>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</si>
  <si>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</si>
  <si>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</si>
  <si>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</si>
  <si>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</si>
  <si>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</si>
  <si>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</si>
  <si>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</si>
  <si>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</si>
  <si>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</si>
  <si>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</si>
  <si>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</si>
  <si>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</si>
  <si>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</si>
  <si>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</si>
  <si>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</si>
  <si>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</si>
  <si>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</si>
  <si>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</si>
  <si>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</si>
  <si>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</si>
  <si>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</si>
  <si>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</si>
  <si>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</si>
  <si>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</si>
  <si>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</si>
  <si>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</si>
  <si>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</si>
  <si>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</si>
  <si>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</si>
  <si>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</si>
  <si>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</si>
  <si>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</si>
  <si>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</si>
  <si>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</si>
  <si>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</si>
  <si>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</si>
  <si>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</si>
  <si>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</si>
  <si>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</si>
  <si>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</si>
  <si>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</si>
  <si>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</si>
  <si>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</si>
  <si>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</si>
  <si>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</si>
  <si>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</si>
  <si>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</si>
  <si>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</si>
  <si>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</si>
  <si>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</si>
  <si>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</si>
  <si>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</si>
  <si>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</si>
  <si>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</si>
  <si>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</si>
  <si>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</si>
  <si>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</si>
  <si>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</si>
  <si>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</si>
  <si>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</si>
  <si>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</si>
  <si>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</si>
  <si>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</si>
  <si>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</si>
  <si>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</si>
  <si>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</si>
  <si>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</si>
  <si>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</si>
  <si>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</si>
  <si>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</si>
  <si>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</si>
  <si>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</si>
  <si>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</si>
  <si>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</si>
  <si>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</si>
  <si>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</si>
  <si>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</si>
  <si>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</si>
  <si>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</si>
  <si>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</si>
  <si>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</si>
  <si>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</si>
  <si>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</si>
  <si>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</si>
  <si>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</si>
  <si>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</si>
  <si>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</si>
  <si>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</si>
  <si>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</si>
  <si>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</si>
  <si>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</si>
  <si>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</si>
  <si>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</si>
  <si>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</si>
  <si>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</si>
  <si>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</si>
  <si>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</si>
  <si>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</si>
  <si>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</si>
  <si>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</si>
  <si>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</si>
  <si>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</si>
  <si>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</si>
  <si>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</si>
  <si>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</si>
  <si>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</si>
  <si>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</si>
  <si>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</si>
  <si>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</si>
  <si>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</si>
  <si>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</si>
  <si>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</si>
  <si>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</si>
  <si>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</si>
  <si>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</si>
  <si>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</si>
  <si>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</si>
  <si>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</si>
  <si>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</si>
  <si>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</si>
  <si>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</si>
  <si>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</si>
  <si>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</si>
  <si>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</si>
  <si>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</si>
  <si>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</si>
  <si>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</si>
  <si>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</si>
  <si>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</si>
  <si>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</si>
  <si>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</si>
  <si>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</si>
  <si>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</si>
  <si>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</si>
  <si>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</si>
  <si>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</si>
  <si>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</si>
  <si>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</si>
  <si>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</si>
  <si>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</si>
  <si>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</si>
  <si>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</si>
  <si>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</si>
  <si>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</si>
  <si>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</si>
  <si>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</si>
  <si>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</si>
  <si>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</si>
  <si>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</si>
  <si>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</si>
  <si>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</si>
  <si>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</si>
  <si>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</si>
  <si>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</si>
  <si>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</si>
  <si>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</si>
  <si>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</si>
  <si>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</si>
  <si>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</si>
  <si>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</si>
  <si>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</si>
  <si>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</si>
  <si>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</si>
  <si>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</si>
  <si>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</si>
  <si>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</si>
  <si>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</si>
  <si>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</si>
  <si>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</si>
  <si>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</si>
  <si>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</si>
  <si>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</si>
  <si>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</si>
  <si>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</si>
  <si>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</si>
  <si>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</si>
  <si>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</si>
  <si>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</si>
  <si>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</si>
  <si>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</si>
  <si>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</si>
  <si>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</si>
  <si>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</si>
  <si>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</si>
  <si>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</si>
  <si>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</si>
  <si>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</si>
  <si>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</si>
  <si>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</si>
  <si>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</si>
  <si>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</si>
  <si>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</si>
  <si>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</si>
  <si>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</si>
  <si>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</si>
  <si>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</si>
  <si>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</si>
  <si>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</si>
  <si>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</si>
  <si>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</si>
  <si>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</si>
  <si>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</si>
  <si>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</si>
  <si>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</si>
  <si>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</si>
  <si>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</si>
  <si>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</si>
  <si>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</si>
  <si>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</si>
  <si>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</si>
  <si>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</si>
  <si>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</si>
  <si>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</si>
  <si>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</si>
  <si>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</si>
  <si>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</si>
  <si>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</si>
  <si>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</si>
  <si>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</si>
  <si>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</si>
  <si>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</si>
  <si>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</si>
  <si>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</si>
  <si>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</si>
  <si>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</si>
  <si>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</si>
  <si>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</si>
  <si>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</si>
  <si>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</si>
  <si>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</si>
  <si>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</si>
  <si>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</si>
  <si>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</si>
  <si>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</si>
  <si>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</si>
  <si>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</si>
  <si>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</si>
  <si>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</si>
  <si>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</si>
  <si>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</si>
  <si>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</si>
  <si>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</si>
  <si>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</si>
  <si>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</si>
  <si>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</si>
  <si>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</si>
  <si>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</si>
  <si>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</si>
  <si>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</si>
  <si>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</si>
  <si>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</si>
  <si>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</si>
  <si>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</si>
  <si>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</si>
  <si>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</si>
  <si>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</si>
  <si>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</si>
  <si>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</si>
  <si>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</si>
  <si>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</si>
  <si>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</si>
  <si>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</si>
  <si>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</si>
  <si>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</si>
  <si>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</si>
  <si>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</si>
  <si>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</si>
  <si>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</si>
  <si>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</si>
  <si>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</si>
  <si>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</si>
  <si>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</si>
  <si>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</si>
  <si>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</si>
  <si>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</si>
  <si>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</si>
  <si>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</si>
  <si>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</si>
  <si>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</si>
  <si>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</si>
  <si>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</si>
  <si>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</si>
  <si>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</si>
  <si>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</si>
  <si>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</si>
  <si>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</si>
  <si>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</si>
  <si>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</si>
  <si>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</si>
  <si>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</si>
  <si>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</si>
  <si>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</si>
  <si>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</si>
  <si>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</si>
  <si>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</si>
  <si>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</si>
  <si>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</si>
  <si>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</si>
  <si>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</si>
  <si>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</si>
  <si>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</si>
  <si>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</si>
  <si>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</si>
  <si>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</si>
  <si>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</si>
  <si>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</si>
  <si>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</si>
  <si>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</si>
  <si>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</si>
  <si>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</si>
  <si>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</si>
  <si>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</si>
  <si>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</si>
  <si>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</si>
  <si>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</si>
  <si>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</si>
  <si>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</si>
  <si>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</si>
  <si>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</si>
  <si>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</si>
  <si>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</si>
  <si>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</si>
  <si>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</si>
  <si>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</si>
  <si>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</si>
  <si>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</si>
  <si>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</si>
  <si>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</si>
  <si>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</si>
  <si>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</si>
  <si>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</si>
  <si>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</si>
  <si>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</si>
  <si>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</si>
  <si>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</si>
  <si>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</si>
  <si>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</si>
  <si>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</si>
  <si>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</si>
  <si>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</si>
  <si>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</si>
  <si>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</si>
  <si>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</si>
  <si>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</si>
  <si>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</si>
  <si>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</si>
  <si>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</si>
  <si>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</si>
  <si>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</si>
  <si>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</si>
  <si>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</si>
  <si>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</si>
  <si>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</si>
  <si>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</si>
  <si>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</si>
  <si>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</si>
  <si>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</si>
  <si>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</si>
  <si>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</si>
  <si>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</si>
  <si>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</si>
  <si>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</si>
  <si>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</si>
  <si>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</si>
  <si>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</si>
  <si>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</si>
  <si>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</si>
  <si>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</si>
  <si>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</si>
  <si>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</si>
  <si>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</si>
  <si>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</si>
  <si>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</si>
  <si>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</si>
  <si>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</si>
  <si>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</si>
  <si>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</si>
  <si>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</si>
  <si>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</si>
  <si>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</si>
  <si>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</si>
  <si>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</si>
  <si>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</si>
  <si>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</si>
  <si>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</si>
  <si>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</si>
  <si>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</si>
  <si>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</si>
  <si>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</si>
  <si>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</si>
  <si>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</si>
  <si>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</si>
  <si>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</si>
  <si>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</si>
  <si>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</si>
  <si>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</si>
  <si>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</si>
  <si>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</si>
  <si>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</si>
  <si>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</si>
  <si>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</si>
  <si>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</si>
  <si>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</si>
  <si>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</si>
  <si>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</si>
  <si>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</si>
  <si>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</si>
  <si>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</si>
  <si>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</si>
  <si>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</si>
  <si>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</si>
  <si>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</si>
  <si>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</si>
  <si>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</si>
  <si>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</si>
  <si>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</si>
  <si>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</si>
  <si>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</si>
  <si>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</si>
  <si>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</si>
  <si>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</si>
  <si>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</si>
  <si>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</si>
  <si>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</si>
  <si>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</si>
  <si>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</si>
  <si>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</si>
  <si>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</si>
  <si>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</si>
  <si>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</si>
  <si>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</si>
  <si>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</si>
  <si>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</si>
  <si>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</si>
  <si>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</si>
  <si>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</si>
  <si>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</si>
  <si>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</si>
  <si>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</si>
  <si>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</si>
  <si>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</si>
  <si>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</si>
  <si>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</si>
  <si>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</si>
  <si>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</si>
  <si>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</si>
  <si>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</si>
  <si>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</si>
  <si>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</si>
  <si>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</si>
  <si>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</si>
  <si>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</si>
  <si>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</si>
  <si>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</si>
  <si>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</si>
  <si>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</si>
  <si>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</si>
  <si>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</si>
  <si>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</si>
  <si>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</si>
  <si>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</si>
  <si>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</si>
  <si>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</si>
  <si>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</si>
  <si>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</si>
  <si>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</si>
  <si>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</si>
  <si>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</si>
  <si>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</si>
  <si>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</si>
  <si>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</si>
  <si>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</si>
  <si>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</si>
  <si>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</si>
  <si>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</si>
  <si>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</si>
  <si>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</si>
  <si>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</si>
  <si>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</si>
  <si>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</si>
  <si>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</si>
  <si>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</si>
  <si>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</si>
  <si>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</si>
  <si>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</si>
  <si>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</si>
  <si>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</si>
  <si>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</si>
  <si>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</si>
  <si>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</si>
  <si>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</si>
  <si>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</si>
  <si>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</si>
  <si>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</si>
  <si>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</si>
  <si>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</si>
  <si>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</si>
  <si>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</si>
  <si>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</si>
  <si>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</si>
  <si>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</si>
  <si>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</si>
  <si>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</si>
  <si>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</si>
  <si>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</si>
  <si>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</si>
  <si>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</si>
  <si>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</si>
  <si>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</si>
  <si>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</si>
  <si>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</si>
  <si>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</si>
  <si>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</si>
  <si>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</si>
  <si>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</si>
  <si>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</si>
  <si>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</si>
  <si>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</si>
  <si>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</si>
  <si>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</si>
  <si>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</si>
  <si>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</si>
  <si>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</si>
  <si>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</si>
  <si>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</si>
  <si>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</si>
  <si>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</si>
  <si>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</si>
  <si>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</si>
  <si>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</si>
  <si>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</si>
  <si>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</si>
  <si>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</si>
  <si>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</si>
  <si>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</si>
  <si>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</si>
  <si>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</si>
  <si>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</si>
  <si>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</si>
  <si>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</si>
  <si>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</si>
  <si>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</si>
  <si>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</si>
  <si>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</si>
  <si>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</si>
  <si>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</si>
  <si>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</si>
  <si>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</si>
  <si>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</si>
  <si>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</si>
  <si>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</si>
  <si>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</si>
  <si>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</si>
  <si>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</si>
  <si>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</si>
  <si>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</si>
  <si>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</si>
  <si>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</si>
  <si>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</si>
  <si>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</si>
  <si>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</si>
  <si>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</si>
  <si>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</si>
  <si>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</si>
  <si>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</si>
  <si>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</si>
  <si>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</si>
  <si>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</si>
  <si>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</si>
  <si>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</si>
  <si>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</si>
  <si>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</si>
  <si>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</si>
  <si>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</si>
  <si>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</si>
  <si>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</si>
  <si>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</si>
  <si>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</si>
  <si>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</si>
  <si>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</si>
  <si>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</si>
  <si>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</si>
  <si>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</si>
  <si>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</si>
  <si>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</si>
  <si>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</si>
  <si>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</si>
  <si>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</si>
  <si>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</si>
  <si>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</si>
  <si>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</si>
  <si>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</si>
  <si>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</si>
  <si>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</si>
  <si>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</si>
  <si>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</si>
  <si>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</si>
  <si>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</si>
  <si>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</si>
  <si>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</si>
  <si>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</si>
  <si>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</si>
  <si>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</si>
  <si>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</si>
  <si>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</si>
  <si>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</si>
  <si>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</si>
  <si>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</si>
  <si>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</si>
  <si>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</si>
  <si>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</si>
  <si>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</si>
  <si>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</si>
  <si>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</si>
  <si>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</si>
  <si>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</si>
  <si>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</si>
  <si>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</si>
  <si>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</si>
  <si>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</si>
  <si>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</si>
  <si>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</si>
  <si>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</si>
  <si>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</si>
  <si>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</si>
  <si>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</si>
  <si>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</si>
  <si>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</si>
  <si>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</si>
  <si>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</si>
  <si>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</si>
  <si>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</si>
  <si>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</si>
  <si>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</si>
  <si>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</si>
  <si>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</si>
  <si>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</si>
  <si>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</si>
  <si>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</si>
  <si>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</si>
  <si>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</si>
  <si>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</si>
  <si>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</si>
  <si>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</si>
  <si>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</si>
  <si>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</si>
  <si>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</si>
  <si>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</si>
  <si>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</si>
  <si>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</si>
  <si>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</si>
  <si>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</si>
  <si>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</si>
  <si>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</si>
  <si>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</si>
  <si>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</si>
  <si>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</si>
  <si>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</si>
  <si>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</si>
  <si>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</si>
  <si>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</si>
  <si>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</si>
  <si>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</si>
  <si>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</si>
  <si>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</si>
  <si>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</si>
  <si>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</si>
  <si>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</si>
  <si>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</si>
  <si>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</si>
  <si>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</si>
  <si>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</si>
  <si>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</si>
  <si>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</si>
  <si>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</si>
  <si>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</si>
  <si>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</si>
  <si>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</si>
  <si>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</si>
  <si>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</si>
  <si>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</si>
  <si>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</si>
  <si>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</si>
  <si>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</si>
  <si>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</si>
  <si>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</si>
  <si>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</si>
  <si>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</si>
  <si>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</si>
  <si>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</si>
  <si>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</si>
  <si>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</si>
  <si>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</si>
  <si>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</si>
  <si>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</si>
  <si>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</si>
  <si>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</si>
  <si>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</si>
  <si>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</si>
  <si>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</si>
  <si>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</si>
  <si>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</si>
  <si>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</si>
  <si>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</si>
  <si>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</si>
  <si>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</si>
  <si>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</si>
  <si>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</si>
  <si>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</si>
  <si>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</si>
  <si>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</si>
  <si>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</si>
  <si>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</si>
  <si>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</si>
  <si>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</si>
  <si>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</si>
  <si>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</si>
  <si>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</si>
  <si>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</si>
  <si>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</si>
  <si>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</si>
  <si>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</si>
  <si>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</si>
  <si>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</si>
  <si>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</si>
  <si>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</si>
  <si>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</si>
  <si>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</si>
  <si>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</si>
  <si>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</si>
  <si>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</si>
  <si>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</si>
  <si>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</si>
  <si>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</si>
  <si>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</si>
  <si>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</si>
  <si>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</si>
  <si>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</si>
  <si>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</si>
  <si>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</si>
  <si>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</si>
  <si>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</si>
  <si>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</si>
  <si>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</si>
  <si>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</si>
  <si>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</si>
  <si>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</si>
  <si>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</si>
  <si>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</si>
  <si>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</si>
  <si>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</si>
  <si>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</si>
  <si>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</si>
  <si>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</si>
  <si>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</si>
  <si>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</si>
  <si>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</si>
  <si>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</si>
  <si>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</si>
  <si>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</si>
  <si>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</si>
  <si>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</si>
  <si>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</si>
  <si>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</si>
  <si>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</si>
  <si>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</si>
  <si>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</si>
  <si>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</si>
  <si>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</si>
  <si>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</si>
  <si>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</si>
  <si>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</si>
  <si>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</si>
  <si>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</si>
  <si>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</si>
  <si>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</si>
  <si>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</si>
  <si>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</si>
  <si>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</si>
  <si>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</si>
  <si>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</si>
  <si>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</si>
  <si>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</si>
  <si>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</si>
  <si>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</si>
  <si>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</si>
  <si>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</si>
  <si>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</si>
  <si>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</si>
  <si>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</si>
  <si>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</si>
  <si>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</si>
  <si>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</si>
  <si>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</si>
  <si>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</si>
  <si>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</si>
  <si>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</si>
  <si>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</si>
  <si>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</si>
  <si>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</si>
  <si>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</si>
  <si>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</si>
  <si>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</si>
  <si>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</si>
  <si>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</si>
  <si>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</si>
  <si>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</si>
  <si>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</si>
  <si>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</si>
  <si>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</si>
  <si>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</si>
  <si>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</si>
  <si>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</si>
  <si>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</si>
  <si>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</si>
  <si>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</si>
  <si>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</si>
  <si>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</si>
  <si>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</si>
  <si>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</si>
  <si>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</si>
  <si>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</si>
  <si>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</si>
  <si>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</si>
  <si>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</si>
  <si>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</si>
  <si>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</si>
  <si>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</si>
  <si>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</si>
  <si>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</si>
  <si>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</si>
  <si>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</si>
  <si>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</si>
  <si>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</si>
  <si>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</si>
  <si>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</si>
  <si>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</si>
  <si>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</si>
  <si>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</si>
  <si>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</si>
  <si>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</si>
  <si>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</si>
  <si>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</si>
  <si>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</si>
  <si>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</si>
  <si>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</si>
  <si>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</si>
  <si>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</si>
  <si>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</si>
  <si>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</si>
  <si>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</si>
  <si>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</si>
  <si>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</si>
  <si>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</si>
  <si>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</si>
  <si>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</si>
  <si>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</si>
  <si>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</si>
  <si>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</si>
  <si>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</si>
  <si>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</si>
  <si>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</si>
  <si>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</si>
  <si>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</si>
  <si>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</si>
  <si>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</si>
  <si>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</si>
  <si>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</si>
  <si>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</si>
  <si>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</si>
  <si>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</si>
  <si>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</si>
  <si>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</si>
  <si>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</si>
  <si>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</si>
  <si>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</si>
  <si>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</si>
  <si>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</si>
  <si>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</si>
  <si>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</si>
  <si>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</si>
  <si>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</si>
  <si>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</si>
  <si>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</si>
  <si>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</si>
  <si>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</si>
  <si>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</si>
  <si>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</si>
  <si>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</si>
  <si>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</si>
  <si>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</si>
  <si>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</si>
  <si>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</si>
  <si>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</si>
  <si>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</si>
  <si>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</si>
  <si>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</si>
  <si>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</si>
  <si>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</si>
  <si>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</si>
  <si>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</si>
  <si>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</si>
  <si>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</si>
  <si>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</si>
  <si>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</si>
  <si>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</si>
  <si>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</si>
  <si>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</si>
  <si>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</si>
  <si>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</si>
  <si>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</si>
  <si>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</si>
  <si>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</si>
  <si>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</si>
  <si>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</si>
  <si>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</si>
  <si>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</si>
  <si>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</si>
  <si>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</si>
  <si>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</si>
  <si>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</si>
  <si>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</si>
  <si>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</si>
  <si>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</si>
  <si>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</si>
  <si>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</si>
  <si>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</si>
  <si>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</si>
  <si>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</si>
  <si>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</si>
  <si>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</si>
  <si>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</si>
  <si>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</si>
  <si>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</si>
  <si>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</si>
  <si>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</si>
  <si>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</si>
  <si>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</si>
  <si>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</si>
  <si>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</si>
  <si>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</si>
  <si>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</si>
  <si>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</si>
  <si>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</si>
  <si>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</si>
  <si>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</si>
  <si>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</si>
  <si>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</si>
  <si>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</si>
  <si>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</si>
  <si>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</si>
  <si>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</si>
  <si>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</si>
  <si>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</si>
  <si>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</si>
  <si>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</si>
  <si>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</si>
  <si>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</si>
  <si>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</si>
  <si>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</si>
  <si>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</si>
  <si>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</si>
  <si>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</si>
  <si>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</si>
  <si>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</si>
  <si>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</si>
  <si>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</si>
  <si>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</si>
  <si>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</si>
  <si>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</si>
  <si>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</si>
  <si>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</si>
  <si>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</si>
  <si>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</si>
  <si>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</si>
  <si>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</si>
  <si>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</si>
  <si>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</si>
  <si>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</si>
  <si>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</si>
  <si>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</si>
  <si>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</si>
  <si>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</si>
  <si>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</si>
  <si>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</si>
  <si>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</si>
  <si>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</si>
  <si>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</si>
  <si>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</si>
  <si>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</si>
  <si>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</si>
  <si>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</si>
  <si>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</si>
  <si>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</si>
  <si>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</si>
  <si>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</si>
  <si>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</si>
  <si>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</si>
  <si>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</si>
  <si>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</si>
  <si>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</si>
  <si>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</si>
  <si>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</si>
  <si>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</si>
  <si>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</si>
  <si>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</si>
  <si>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</si>
  <si>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</si>
  <si>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</si>
  <si>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</si>
  <si>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</si>
  <si>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</si>
  <si>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</si>
  <si>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</si>
  <si>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</si>
  <si>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</si>
  <si>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</si>
  <si>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</si>
  <si>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</si>
  <si>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</si>
  <si>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</si>
  <si>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</si>
  <si>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</si>
  <si>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</si>
  <si>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</si>
  <si>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</si>
  <si>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</si>
  <si>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</si>
  <si>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</si>
  <si>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</si>
  <si>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</si>
  <si>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</si>
  <si>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</si>
  <si>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</si>
  <si>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</si>
  <si>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</si>
  <si>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</si>
  <si>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</si>
  <si>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</si>
  <si>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</si>
  <si>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</si>
  <si>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</si>
  <si>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</si>
  <si>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</si>
  <si>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</si>
  <si>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</si>
  <si>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</si>
  <si>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</si>
  <si>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</si>
  <si>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</si>
  <si>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</si>
  <si>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</si>
  <si>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</si>
  <si>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</si>
  <si>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</si>
  <si>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</si>
  <si>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</si>
  <si>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</si>
  <si>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</si>
  <si>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</si>
  <si>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</si>
  <si>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</si>
  <si>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</si>
  <si>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</si>
  <si>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</si>
  <si>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</si>
  <si>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</si>
  <si>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</si>
  <si>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</si>
  <si>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</si>
  <si>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</si>
  <si>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</si>
  <si>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</si>
  <si>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</si>
  <si>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</si>
  <si>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</si>
  <si>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</si>
  <si>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</si>
  <si>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</si>
  <si>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</si>
  <si>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</si>
  <si>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</si>
  <si>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</si>
  <si>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</si>
  <si>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</si>
  <si>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</si>
  <si>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</si>
  <si>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</si>
  <si>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</si>
  <si>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</si>
  <si>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</si>
  <si>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</si>
  <si>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</si>
  <si>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</si>
  <si>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</si>
  <si>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</si>
  <si>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</si>
  <si>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</si>
  <si>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</si>
  <si>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</si>
  <si>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</si>
  <si>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</si>
  <si>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</si>
  <si>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</si>
  <si>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</si>
  <si>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</si>
  <si>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</si>
  <si>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</si>
  <si>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</si>
  <si>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</si>
  <si>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</si>
  <si>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</si>
  <si>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</si>
  <si>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</si>
  <si>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</si>
  <si>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</si>
  <si>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</si>
  <si>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</si>
  <si>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</si>
  <si>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</si>
  <si>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</si>
  <si>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</si>
  <si>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</si>
  <si>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</si>
  <si>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</si>
  <si>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</si>
  <si>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</si>
  <si>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</si>
  <si>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</si>
  <si>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</si>
  <si>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</si>
  <si>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</si>
  <si>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</si>
  <si>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</si>
  <si>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</si>
  <si>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</si>
  <si>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</si>
  <si>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</si>
  <si>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</si>
  <si>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</si>
  <si>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</si>
  <si>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</si>
  <si>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</si>
  <si>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</si>
  <si>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</si>
  <si>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</si>
  <si>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</si>
  <si>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</si>
  <si>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</si>
  <si>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</si>
  <si>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</si>
  <si>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</si>
  <si>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</si>
  <si>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</si>
  <si>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</si>
  <si>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</si>
  <si>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</si>
  <si>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</si>
  <si>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</si>
  <si>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</si>
  <si>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</si>
  <si>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</si>
  <si>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</si>
  <si>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</si>
  <si>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</si>
  <si>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</si>
  <si>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</si>
  <si>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</si>
  <si>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</si>
  <si>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</si>
  <si>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</si>
  <si>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</si>
  <si>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</si>
  <si>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</si>
  <si>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</si>
  <si>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</si>
  <si>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</si>
  <si>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</si>
  <si>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</si>
  <si>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</si>
  <si>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</si>
  <si>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</si>
  <si>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</si>
  <si>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</si>
  <si>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</si>
  <si>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</si>
  <si>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</si>
  <si>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</si>
  <si>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</si>
  <si>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</si>
  <si>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</si>
  <si>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</si>
  <si>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</si>
  <si>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</si>
  <si>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</si>
  <si>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</si>
  <si>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</si>
  <si>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</si>
  <si>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</si>
  <si>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</si>
  <si>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</si>
  <si>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</si>
  <si>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</si>
  <si>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</si>
  <si>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</si>
  <si>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</si>
  <si>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</si>
  <si>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</si>
  <si>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</si>
  <si>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</si>
  <si>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</si>
  <si>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</si>
  <si>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</si>
  <si>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</si>
  <si>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</si>
  <si>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</si>
  <si>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</si>
  <si>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</si>
  <si>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</si>
  <si>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</si>
  <si>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</si>
  <si>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</si>
  <si>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</si>
  <si>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</si>
  <si>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</si>
  <si>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</si>
  <si>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</si>
  <si>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</si>
  <si>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</si>
  <si>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</si>
  <si>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</si>
  <si>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</si>
  <si>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</si>
  <si>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</si>
  <si>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</si>
  <si>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</si>
  <si>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</si>
  <si>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</si>
  <si>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</si>
  <si>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</si>
  <si>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</si>
  <si>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</si>
  <si>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</si>
  <si>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</si>
  <si>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</si>
  <si>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</si>
  <si>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</si>
  <si>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</si>
  <si>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</si>
  <si>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</si>
  <si>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</si>
  <si>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</si>
  <si>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</si>
  <si>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</si>
  <si>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</si>
  <si>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</si>
  <si>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</si>
  <si>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</si>
  <si>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</si>
  <si>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</si>
  <si>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</si>
  <si>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</si>
  <si>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</si>
  <si>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</si>
  <si>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</si>
  <si>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</si>
  <si>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</si>
  <si>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</si>
  <si>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</si>
  <si>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</si>
  <si>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</si>
  <si>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</si>
  <si>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</si>
  <si>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</si>
  <si>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</si>
  <si>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</si>
  <si>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</si>
  <si>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</si>
  <si>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</si>
  <si>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</si>
  <si>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</si>
  <si>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</si>
  <si>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</si>
  <si>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</si>
  <si>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</si>
  <si>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</si>
  <si>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</si>
  <si>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</si>
  <si>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</si>
  <si>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</si>
  <si>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</si>
  <si>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</si>
  <si>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</si>
  <si>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</si>
  <si>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</si>
  <si>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</si>
  <si>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</si>
  <si>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</si>
  <si>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</si>
  <si>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</si>
  <si>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</si>
  <si>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</si>
  <si>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</si>
  <si>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</si>
  <si>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</si>
  <si>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</si>
  <si>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</si>
  <si>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</si>
  <si>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</si>
  <si>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</si>
  <si>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</si>
  <si>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</si>
  <si>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</si>
  <si>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</si>
  <si>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</si>
  <si>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</si>
  <si>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</si>
  <si>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</si>
  <si>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</si>
  <si>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</si>
  <si>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</si>
  <si>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</si>
  <si>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</si>
  <si>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</si>
  <si>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</si>
  <si>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</si>
  <si>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</si>
  <si>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</si>
  <si>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</si>
  <si>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</si>
  <si>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</si>
  <si>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</si>
  <si>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</si>
  <si>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</si>
  <si>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</si>
  <si>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</si>
  <si>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</si>
  <si>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</si>
  <si>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</si>
  <si>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</si>
  <si>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</si>
  <si>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</si>
  <si>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</si>
  <si>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</si>
  <si>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</si>
  <si>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</si>
  <si>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</si>
  <si>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</si>
  <si>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</si>
  <si>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</si>
  <si>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</si>
  <si>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</si>
  <si>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</si>
  <si>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</si>
  <si>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</si>
  <si>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</si>
  <si>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</si>
  <si>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</si>
  <si>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</si>
  <si>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</si>
  <si>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</si>
  <si>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</si>
  <si>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</si>
  <si>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</si>
  <si>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</si>
  <si>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</si>
  <si>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</si>
  <si>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</si>
  <si>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</si>
  <si>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</si>
  <si>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</si>
  <si>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</si>
  <si>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</si>
  <si>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</si>
  <si>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</si>
  <si>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</si>
  <si>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</si>
  <si>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</si>
  <si>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</si>
  <si>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</si>
  <si>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</si>
  <si>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</si>
  <si>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</si>
  <si>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</si>
  <si>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</si>
  <si>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</si>
  <si>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</si>
  <si>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</si>
  <si>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</si>
  <si>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</si>
  <si>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</si>
  <si>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</si>
  <si>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</si>
  <si>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</si>
  <si>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</si>
  <si>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</si>
  <si>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</si>
  <si>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</si>
  <si>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</si>
  <si>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</si>
  <si>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</si>
  <si>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</si>
  <si>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</si>
  <si>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</si>
  <si>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</si>
  <si>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</si>
  <si>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</si>
  <si>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</si>
  <si>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</si>
  <si>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</si>
  <si>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</si>
  <si>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</si>
  <si>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</si>
  <si>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</si>
  <si>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</si>
  <si>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</si>
  <si>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</si>
  <si>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</si>
  <si>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</si>
  <si>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</si>
  <si>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</si>
  <si>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</si>
  <si>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</si>
  <si>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</si>
  <si>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</si>
  <si>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</si>
  <si>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</si>
  <si>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</si>
  <si>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</si>
  <si>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</si>
  <si>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</si>
  <si>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</si>
  <si>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</si>
  <si>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</si>
  <si>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</si>
  <si>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</si>
  <si>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</si>
  <si>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</si>
  <si>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Suventana</t>
  </si>
  <si>
    <t>Mamparas MA-02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</si>
</sst>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85" zoomScaleNormal="85" workbookViewId="0">
      <selection activeCell="F27" sqref="F27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7" t="s">
        <v>1</v>
      </c>
      <c r="F3" s="77"/>
      <c r="G3" s="77"/>
      <c r="H3" s="78"/>
      <c r="I3" s="78"/>
      <c r="J3" s="78"/>
      <c r="K3" s="78"/>
      <c r="L3" s="78"/>
    </row>
    <row r="5" spans="1:12" ht="18.75" x14ac:dyDescent="0.25">
      <c r="B5" s="79" t="s">
        <v>2</v>
      </c>
      <c r="C5" s="7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20250118</v>
      </c>
      <c r="G7" s="8">
        <f ca="1">TODAY()</f>
        <v>45803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/>
      <c r="C13" s="80" t="str">
        <f>IFERROR(VLOOKUP($B13,Tarifa_all_20240711!$A$2:$G$660,2,FALSE()),"-")</f>
        <v>-</v>
      </c>
      <c r="D13" s="80"/>
      <c r="E13" s="17"/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1434</v>
      </c>
      <c r="B14" s="16"/>
      <c r="C14" s="80" t="str">
        <f>IFERROR(VLOOKUP($B14,Tarifa_all_20240711!$A$2:$G$660,2,FALSE()),"-")</f>
        <v>-</v>
      </c>
      <c r="D14" s="80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1435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1436</v>
      </c>
      <c r="B16" s="16"/>
      <c r="C16" s="80" t="str">
        <f>IFERROR(VLOOKUP($B16,Tarifa_all_20240711!$A$2:$G$660,2,FALSE()),"-")</f>
        <v>-</v>
      </c>
      <c r="D16" s="80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28</v>
      </c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/>
      <c r="C18" s="80" t="str">
        <f>IFERROR(VLOOKUP($B18,Tarifa_all_20240711!$A$2:$G$660,2,FALSE()),"-")</f>
        <v>-</v>
      </c>
      <c r="D18" s="80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B19" s="16" t="s">
        <v>446</v>
      </c>
      <c r="C19" s="80" t="str">
        <f>IFERROR(VLOOKUP($B19,Tarifa_all_20240711!$A$2:$G$660,2,FALSE()),"-")</f>
        <v>MARCO FIJOS 35MM D-DECOR FIJO NEGRO TEXT 6,5 MTS</v>
      </c>
      <c r="D19" s="80"/>
      <c r="E19" s="17">
        <v>4</v>
      </c>
      <c r="F19" s="18">
        <f>IFERROR(VLOOKUP($B19,Tarifa_all_20240711!$A$2:$G$660,5,FALSE()),"-")</f>
        <v>60.045000000000002</v>
      </c>
      <c r="G19" s="18">
        <f t="shared" si="0"/>
        <v>240.18</v>
      </c>
      <c r="H19" s="1"/>
    </row>
    <row r="20" spans="1:8" x14ac:dyDescent="0.25">
      <c r="B20" s="16" t="s">
        <v>426</v>
      </c>
      <c r="C20" s="80" t="str">
        <f>IFERROR(VLOOKUP($B20,Tarifa_all_20240711!$A$2:$G$660,2,FALSE()),"-")</f>
        <v>ANCLAJE TAPA 35MM D-DECOR FIJO NEGRO TEXT 6,5 MTS</v>
      </c>
      <c r="D20" s="80"/>
      <c r="E20" s="17">
        <v>4</v>
      </c>
      <c r="F20" s="18">
        <f>IFERROR(VLOOKUP($B20,Tarifa_all_20240711!$A$2:$G$660,5,FALSE()),"-")</f>
        <v>29.0625</v>
      </c>
      <c r="G20" s="18">
        <f t="shared" si="0"/>
        <v>116.25</v>
      </c>
      <c r="H20" s="1"/>
    </row>
    <row r="21" spans="1:8" x14ac:dyDescent="0.25">
      <c r="B21" s="16" t="s">
        <v>466</v>
      </c>
      <c r="C21" s="80" t="str">
        <f>IFERROR(VLOOKUP($B21,Tarifa_all_20240711!$A$2:$G$660,2,FALSE()),"-")</f>
        <v>TAPA MARCO 35MM D-DECOR FIJO NEGRO TEXT 6,5 MTS</v>
      </c>
      <c r="D21" s="80"/>
      <c r="E21" s="17">
        <v>4</v>
      </c>
      <c r="F21" s="18">
        <f>IFERROR(VLOOKUP($B21,Tarifa_all_20240711!$A$2:$G$660,5,FALSE()),"-")</f>
        <v>24.487499999999997</v>
      </c>
      <c r="G21" s="18">
        <f t="shared" si="0"/>
        <v>97.949999999999989</v>
      </c>
      <c r="H21" s="1"/>
    </row>
    <row r="22" spans="1:8" x14ac:dyDescent="0.25">
      <c r="B22" s="16"/>
      <c r="C22" s="80" t="str">
        <f>IFERROR(VLOOKUP($B22,Tarifa_all_20240711!$A$2:$G$660,2,FALSE()),"-")</f>
        <v>-</v>
      </c>
      <c r="D22" s="8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0" t="str">
        <f>IFERROR(VLOOKUP($B23,Tarifa_all_20240711!$A$2:$G$660,2,FALSE()),"-")</f>
        <v>-</v>
      </c>
      <c r="D23" s="80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 t="s">
        <v>283</v>
      </c>
      <c r="C25" s="80" t="str">
        <f>IFERROR(VLOOKUP($B25,Tarifa_all_20240711!$A$2:$G$660,2,FALSE()),"-")</f>
        <v>Tope Domo Decor</v>
      </c>
      <c r="D25" s="80"/>
      <c r="E25" s="17">
        <v>20</v>
      </c>
      <c r="F25" s="18">
        <f>IFERROR(VLOOKUP($B25,Tarifa_all_20240711!$A$2:$G$660,5,FALSE()),"-")</f>
        <v>1.4175</v>
      </c>
      <c r="G25" s="18">
        <f t="shared" si="0"/>
        <v>28.35</v>
      </c>
      <c r="H25" s="1"/>
    </row>
    <row r="26" spans="1:8" x14ac:dyDescent="0.25">
      <c r="B26" s="16" t="s">
        <v>285</v>
      </c>
      <c r="C26" s="80" t="str">
        <f>IFERROR(VLOOKUP($B26,Tarifa_all_20240711!$A$2:$G$660,2,FALSE()),"-")</f>
        <v>PERFIL 3 MTS REDUCTOR PARA VIDRIO 6mm</v>
      </c>
      <c r="D26" s="80"/>
      <c r="E26" s="17">
        <v>10</v>
      </c>
      <c r="F26" s="18">
        <f>IFERROR(VLOOKUP($B26,Tarifa_all_20240711!$A$2:$G$660,5,FALSE()),"-")</f>
        <v>3.4275000000000002</v>
      </c>
      <c r="G26" s="18">
        <f t="shared" si="0"/>
        <v>34.275000000000006</v>
      </c>
      <c r="H26" s="1"/>
    </row>
    <row r="27" spans="1:8" x14ac:dyDescent="0.25">
      <c r="B27" s="16">
        <v>31229</v>
      </c>
      <c r="C27" s="80" t="str">
        <f>IFERROR(VLOOKUP($B27,Tarifa_all_20240711!$A$2:$G$660,2,FALSE()),"-")</f>
        <v>COMPLEMENTO FIJACION DOMO DECOR: BARRAS 3 MTS</v>
      </c>
      <c r="D27" s="80"/>
      <c r="E27" s="17">
        <v>6</v>
      </c>
      <c r="F27" s="18">
        <f>IFERROR(VLOOKUP($B27,Tarifa_all_20240711!$A$2:$G$660,5,FALSE()),"-")</f>
        <v>11.317499999999999</v>
      </c>
      <c r="G27" s="18">
        <f t="shared" si="0"/>
        <v>67.905000000000001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584.91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1"/>
      <c r="E52" s="81"/>
      <c r="F52" s="81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7" t="s">
        <v>70</v>
      </c>
      <c r="F2" s="77"/>
      <c r="G2" s="77"/>
    </row>
    <row r="3" spans="1:7" ht="18" customHeight="1" x14ac:dyDescent="0.35">
      <c r="E3" s="77" t="s">
        <v>1</v>
      </c>
      <c r="F3" s="77"/>
      <c r="G3" s="7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Suventana</v>
      </c>
      <c r="C9" s="87"/>
      <c r="D9" s="87"/>
      <c r="F9" s="3" t="s">
        <v>73</v>
      </c>
      <c r="G9" s="44">
        <f ca="1">TODAY()</f>
        <v>45803</v>
      </c>
    </row>
    <row r="10" spans="1:7" x14ac:dyDescent="0.25">
      <c r="A10" s="3" t="s">
        <v>74</v>
      </c>
      <c r="B10" s="11" t="str">
        <f>'DESPIECE (MATANALYSIS)'!C9</f>
        <v>Mamparas MA-02</v>
      </c>
      <c r="C10" s="45"/>
      <c r="D10" s="45"/>
      <c r="E10" s="46"/>
      <c r="F10" s="47" t="s">
        <v>75</v>
      </c>
      <c r="G10" s="7">
        <f>'DESPIECE (MATANALYSIS)'!C7</f>
        <v>20250118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584.91</v>
      </c>
    </row>
    <row r="45" spans="1:7" ht="22.7" customHeight="1" x14ac:dyDescent="0.25">
      <c r="A45" s="82" t="s">
        <v>1445</v>
      </c>
      <c r="B45" s="82"/>
      <c r="C45" s="72"/>
      <c r="D45" s="72"/>
      <c r="E45" s="72"/>
      <c r="F45" s="73">
        <v>-0.1</v>
      </c>
      <c r="G45" s="74">
        <f>G44*(1+F45)</f>
        <v>526.41899999999998</v>
      </c>
    </row>
    <row r="46" spans="1:7" ht="22.7" customHeight="1" x14ac:dyDescent="0.25">
      <c r="A46" s="83" t="s">
        <v>84</v>
      </c>
      <c r="B46" s="83"/>
      <c r="C46" s="59"/>
      <c r="D46" s="59"/>
      <c r="E46" s="59"/>
      <c r="F46" s="84">
        <f>G45</f>
        <v>526.41899999999998</v>
      </c>
      <c r="G46" s="84"/>
    </row>
    <row r="47" spans="1:7" s="1" customFormat="1" ht="22.7" customHeight="1" x14ac:dyDescent="0.25">
      <c r="A47" s="85" t="s">
        <v>85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2025-05-26T10:33:15Z</dcterms:modified>
  <dc:language>es-ES</dc:language>
</cp:coreProperties>
</file>