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6\calculos\1\"/>
    </mc:Choice>
  </mc:AlternateContent>
  <xr:revisionPtr revIDLastSave="0" documentId="13_ncr:1_{1EBA9E95-5806-4DFA-9440-08CADFBCC0E9}" xr6:coauthVersionLast="47" xr6:coauthVersionMax="47" xr10:uidLastSave="{00000000-0000-0000-0000-000000000000}"/>
  <bookViews>
    <workbookView xWindow="1890" yWindow="480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<sst xmlns="http://schemas.openxmlformats.org/spreadsheetml/2006/main" count="5407" uniqueCount="1456">
  <si>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</si>
  <si>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</si>
  <si>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</si>
  <si>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</si>
  <si>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</si>
  <si>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</si>
  <si>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</si>
  <si>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</si>
  <si>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</si>
  <si>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</si>
  <si>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</si>
  <si>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</si>
  <si>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</si>
  <si>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</si>
  <si>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</si>
  <si>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</si>
  <si>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</si>
  <si>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</si>
  <si>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</si>
  <si>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</si>
  <si>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</si>
  <si>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</si>
  <si>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</si>
  <si>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</si>
  <si>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</si>
  <si>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</si>
  <si>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</si>
  <si>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</si>
  <si>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</si>
  <si>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</si>
  <si>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</si>
  <si>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</si>
  <si>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</si>
  <si>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</si>
  <si>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</si>
  <si>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</si>
  <si>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</si>
  <si>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</si>
  <si>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</si>
  <si>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</si>
  <si>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</si>
  <si>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</si>
  <si>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</si>
  <si>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</si>
  <si>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</si>
  <si>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</si>
  <si>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</si>
  <si>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</si>
  <si>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</si>
  <si>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</si>
  <si>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</si>
  <si>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</si>
  <si>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</si>
  <si>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</si>
  <si>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</si>
  <si>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</si>
  <si>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</si>
  <si>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</si>
  <si>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</si>
  <si>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</si>
  <si>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</si>
  <si>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</si>
  <si>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</si>
  <si>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</si>
  <si>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</si>
  <si>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</si>
  <si>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</si>
  <si>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</si>
  <si>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</si>
  <si>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</si>
  <si>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</si>
  <si>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</si>
  <si>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</si>
  <si>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</si>
  <si>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</si>
  <si>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</si>
  <si>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</si>
  <si>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</si>
  <si>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</si>
  <si>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</si>
  <si>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</si>
  <si>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</si>
  <si>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</si>
  <si>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</si>
  <si>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</si>
  <si>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</si>
  <si>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</si>
  <si>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</si>
  <si>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</si>
  <si>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</si>
  <si>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</si>
  <si>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</si>
  <si>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</si>
  <si>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</si>
  <si>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</si>
  <si>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</si>
  <si>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</si>
  <si>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</si>
  <si>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</si>
  <si>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</si>
  <si>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</si>
  <si>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</si>
  <si>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</si>
  <si>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</si>
  <si>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</si>
  <si>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</si>
  <si>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</si>
  <si>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</si>
  <si>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</si>
  <si>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</si>
  <si>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</si>
  <si>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</si>
  <si>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</si>
  <si>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</si>
  <si>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</si>
  <si>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</si>
  <si>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</si>
  <si>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</si>
  <si>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</si>
  <si>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</si>
  <si>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</si>
  <si>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</si>
  <si>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</si>
  <si>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</si>
  <si>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</si>
  <si>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</si>
  <si>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</si>
  <si>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</si>
  <si>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</si>
  <si>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</si>
  <si>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</si>
  <si>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</si>
  <si>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</si>
  <si>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</si>
  <si>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</si>
  <si>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</si>
  <si>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</si>
  <si>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</si>
  <si>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</si>
  <si>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</si>
  <si>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</si>
  <si>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</si>
  <si>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</si>
  <si>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</si>
  <si>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</si>
  <si>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</si>
  <si>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</si>
  <si>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</si>
  <si>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</si>
  <si>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</si>
  <si>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</si>
  <si>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</si>
  <si>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</si>
  <si>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</si>
  <si>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</si>
  <si>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</si>
  <si>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</si>
  <si>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</si>
  <si>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</si>
  <si>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</si>
  <si>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</si>
  <si>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</si>
  <si>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</si>
  <si>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</si>
  <si>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</si>
  <si>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</si>
  <si>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</si>
  <si>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</si>
  <si>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</si>
  <si>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</si>
  <si>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</si>
  <si>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</si>
  <si>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</si>
  <si>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</si>
  <si>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</si>
  <si>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</si>
  <si>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</si>
  <si>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</si>
  <si>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</si>
  <si>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</si>
  <si>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</si>
  <si>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</si>
  <si>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</si>
  <si>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</si>
  <si>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</si>
  <si>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</si>
  <si>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</si>
  <si>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</si>
  <si>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</si>
  <si>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</si>
  <si>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</si>
  <si>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</si>
  <si>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</si>
  <si>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</si>
  <si>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</si>
  <si>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</si>
  <si>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</si>
  <si>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</si>
  <si>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</si>
  <si>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</si>
  <si>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</si>
  <si>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</si>
  <si>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</si>
  <si>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</si>
  <si>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</si>
  <si>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</si>
  <si>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</si>
  <si>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</si>
  <si>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</si>
  <si>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</si>
  <si>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</si>
  <si>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</si>
  <si>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</si>
  <si>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</si>
  <si>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</si>
  <si>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</si>
  <si>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</si>
  <si>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</si>
  <si>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</si>
  <si>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</si>
  <si>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</si>
  <si>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</si>
  <si>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</si>
  <si>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</si>
  <si>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</si>
  <si>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</si>
  <si>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</si>
  <si>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</si>
  <si>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</si>
  <si>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</si>
  <si>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</si>
  <si>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</si>
  <si>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</si>
  <si>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</si>
  <si>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</si>
  <si>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</si>
  <si>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</si>
  <si>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</si>
  <si>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</si>
  <si>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</si>
  <si>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</si>
  <si>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</si>
  <si>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</si>
  <si>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</si>
  <si>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</si>
  <si>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</si>
  <si>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</si>
  <si>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</si>
  <si>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</si>
  <si>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</si>
  <si>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</si>
  <si>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</si>
  <si>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</si>
  <si>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</si>
  <si>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</si>
  <si>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</si>
  <si>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</si>
  <si>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</si>
  <si>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</si>
  <si>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</si>
  <si>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</si>
  <si>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</si>
  <si>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</si>
  <si>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</si>
  <si>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</si>
  <si>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</si>
  <si>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</si>
  <si>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</si>
  <si>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</si>
  <si>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</si>
  <si>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</si>
  <si>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</si>
  <si>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</si>
  <si>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</si>
  <si>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</si>
  <si>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</si>
  <si>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</si>
  <si>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</si>
  <si>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</si>
  <si>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</si>
  <si>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</si>
  <si>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</si>
  <si>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</si>
  <si>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</si>
  <si>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</si>
  <si>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</si>
  <si>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</si>
  <si>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</si>
  <si>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</si>
  <si>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</si>
  <si>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</si>
  <si>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</si>
  <si>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</si>
  <si>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</si>
  <si>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</si>
  <si>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</si>
  <si>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</si>
  <si>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</si>
  <si>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</si>
  <si>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</si>
  <si>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</si>
  <si>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</si>
  <si>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</si>
  <si>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</si>
  <si>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</si>
  <si>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</si>
  <si>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</si>
  <si>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</si>
  <si>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</si>
  <si>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</si>
  <si>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</si>
  <si>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</si>
  <si>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</si>
  <si>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</si>
  <si>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</si>
  <si>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</si>
  <si>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</si>
  <si>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</si>
  <si>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</si>
  <si>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</si>
  <si>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</si>
  <si>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</si>
  <si>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</si>
  <si>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</si>
  <si>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</si>
  <si>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</si>
  <si>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</si>
  <si>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</si>
  <si>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</si>
  <si>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</si>
  <si>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</si>
  <si>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</si>
  <si>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</si>
  <si>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</si>
  <si>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</si>
  <si>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</si>
  <si>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</si>
  <si>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</si>
  <si>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</si>
  <si>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</si>
  <si>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</si>
  <si>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</si>
  <si>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</si>
  <si>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</si>
  <si>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</si>
  <si>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</si>
  <si>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</si>
  <si>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</si>
  <si>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</si>
  <si>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</si>
  <si>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</si>
  <si>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</si>
  <si>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</si>
  <si>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</si>
  <si>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</si>
  <si>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</si>
  <si>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</si>
  <si>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</si>
  <si>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</si>
  <si>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</si>
  <si>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</si>
  <si>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</si>
  <si>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</si>
  <si>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</si>
  <si>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</si>
  <si>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</si>
  <si>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</si>
  <si>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</si>
  <si>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</si>
  <si>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</si>
  <si>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</si>
  <si>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</si>
  <si>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</si>
  <si>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</si>
  <si>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</si>
  <si>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</si>
  <si>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</si>
  <si>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</si>
  <si>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</si>
  <si>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</si>
  <si>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</si>
  <si>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</si>
  <si>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</si>
  <si>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</si>
  <si>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</si>
  <si>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</si>
  <si>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</si>
  <si>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</si>
  <si>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</si>
  <si>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</si>
  <si>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</si>
  <si>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</si>
  <si>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</si>
  <si>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</si>
  <si>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</si>
  <si>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</si>
  <si>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</si>
  <si>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</si>
  <si>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</si>
  <si>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</si>
  <si>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</si>
  <si>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</si>
  <si>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</si>
  <si>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</si>
  <si>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</si>
  <si>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</si>
  <si>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</si>
  <si>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</si>
  <si>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</si>
  <si>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</si>
  <si>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</si>
  <si>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</si>
  <si>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</si>
  <si>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</si>
  <si>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</si>
  <si>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</si>
  <si>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</si>
  <si>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</si>
  <si>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</si>
  <si>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</si>
  <si>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</si>
  <si>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</si>
  <si>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</si>
  <si>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</si>
  <si>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</si>
  <si>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</si>
  <si>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</si>
  <si>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</si>
  <si>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</si>
  <si>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</si>
  <si>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</si>
  <si>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</si>
  <si>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</si>
  <si>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</si>
  <si>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</si>
  <si>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</si>
  <si>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</si>
  <si>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</si>
  <si>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</si>
  <si>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</si>
  <si>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</si>
  <si>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</si>
  <si>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</si>
  <si>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</si>
  <si>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</si>
  <si>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</si>
  <si>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</si>
  <si>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</si>
  <si>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</si>
  <si>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</si>
  <si>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</si>
  <si>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</si>
  <si>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</si>
  <si>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</si>
  <si>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</si>
  <si>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</si>
  <si>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</si>
  <si>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</si>
  <si>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</si>
  <si>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</si>
  <si>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</si>
  <si>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</si>
  <si>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</si>
  <si>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</si>
  <si>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</si>
  <si>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</si>
  <si>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</si>
  <si>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</si>
  <si>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</si>
  <si>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</si>
  <si>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</si>
  <si>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</si>
  <si>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</si>
  <si>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</si>
  <si>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</si>
  <si>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</si>
  <si>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</si>
  <si>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</si>
  <si>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</si>
  <si>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</si>
  <si>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</si>
  <si>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</si>
  <si>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</si>
  <si>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</si>
  <si>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</si>
  <si>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</si>
  <si>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</si>
  <si>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</si>
  <si>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</si>
  <si>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</si>
  <si>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</si>
  <si>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</si>
  <si>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</si>
  <si>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</si>
  <si>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</si>
  <si>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</si>
  <si>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</si>
  <si>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</si>
  <si>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</si>
  <si>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</si>
  <si>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</si>
  <si>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</si>
  <si>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</si>
  <si>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</si>
  <si>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</si>
  <si>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</si>
  <si>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</si>
  <si>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</si>
  <si>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</si>
  <si>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</si>
  <si>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</si>
  <si>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</si>
  <si>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</si>
  <si>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</si>
  <si>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</si>
  <si>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</si>
  <si>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</si>
  <si>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</si>
  <si>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</si>
  <si>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</si>
  <si>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</si>
  <si>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</si>
  <si>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</si>
  <si>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</si>
  <si>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</si>
  <si>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</si>
  <si>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</si>
  <si>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</si>
  <si>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</si>
  <si>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</si>
  <si>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</si>
  <si>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</si>
  <si>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</si>
  <si>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</si>
  <si>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</si>
  <si>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</si>
  <si>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</si>
  <si>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</si>
  <si>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</si>
  <si>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</si>
  <si>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</si>
  <si>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</si>
  <si>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</si>
  <si>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</si>
  <si>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</si>
  <si>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</si>
  <si>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</si>
  <si>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</si>
  <si>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</si>
  <si>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</si>
  <si>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</si>
  <si>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</si>
  <si>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</si>
  <si>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</si>
  <si>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</si>
  <si>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</si>
  <si>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</si>
  <si>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</si>
  <si>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</si>
  <si>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</si>
  <si>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</si>
  <si>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</si>
  <si>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</si>
  <si>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</si>
  <si>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</si>
  <si>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</si>
  <si>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</si>
  <si>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</si>
  <si>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</si>
  <si>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</si>
  <si>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</si>
  <si>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</si>
  <si>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</si>
  <si>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</si>
  <si>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</si>
  <si>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</si>
  <si>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</si>
  <si>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</si>
  <si>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</si>
  <si>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</si>
  <si>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</si>
  <si>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</si>
  <si>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</si>
  <si>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</si>
  <si>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</si>
  <si>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</si>
  <si>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</si>
  <si>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</si>
  <si>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</si>
  <si>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</si>
  <si>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</si>
  <si>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</si>
  <si>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</si>
  <si>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</si>
  <si>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</si>
  <si>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</si>
  <si>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</si>
  <si>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</si>
  <si>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</si>
  <si>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</si>
  <si>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</si>
  <si>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</si>
  <si>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</si>
  <si>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</si>
  <si>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</si>
  <si>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</si>
  <si>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</si>
  <si>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</si>
  <si>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</si>
  <si>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</si>
  <si>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</si>
  <si>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</si>
  <si>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</si>
  <si>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</si>
  <si>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</si>
  <si>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</si>
  <si>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</si>
  <si>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</si>
  <si>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</si>
  <si>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</si>
  <si>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</si>
  <si>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</si>
  <si>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</si>
  <si>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</si>
  <si>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</si>
  <si>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</si>
  <si>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</si>
  <si>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</si>
  <si>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</si>
  <si>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</si>
  <si>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</si>
  <si>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</si>
  <si>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</si>
  <si>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</si>
  <si>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</si>
  <si>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</si>
  <si>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</si>
  <si>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</si>
  <si>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</si>
  <si>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</si>
  <si>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</si>
  <si>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</si>
  <si>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</si>
  <si>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</si>
  <si>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</si>
  <si>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</si>
  <si>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</si>
  <si>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</si>
  <si>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</si>
  <si>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</si>
  <si>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</si>
  <si>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</si>
  <si>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</si>
  <si>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</si>
  <si>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</si>
  <si>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</si>
  <si>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</si>
  <si>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</si>
  <si>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</si>
  <si>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</si>
  <si>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</si>
  <si>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</si>
  <si>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</si>
  <si>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</si>
  <si>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</si>
  <si>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</si>
  <si>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</si>
  <si>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</si>
  <si>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</si>
  <si>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</si>
  <si>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</si>
  <si>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</si>
  <si>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</si>
  <si>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</si>
  <si>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</si>
  <si>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</si>
  <si>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</si>
  <si>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</si>
  <si>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</si>
  <si>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</si>
  <si>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</si>
  <si>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</si>
  <si>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</si>
  <si>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</si>
  <si>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</si>
  <si>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</si>
  <si>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</si>
  <si>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</si>
  <si>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</si>
  <si>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</si>
  <si>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</si>
  <si>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</si>
  <si>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</si>
  <si>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</si>
  <si>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</si>
  <si>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</si>
  <si>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</si>
  <si>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</si>
  <si>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</si>
  <si>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</si>
  <si>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</si>
  <si>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</si>
  <si>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</si>
  <si>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</si>
  <si>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</si>
  <si>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</si>
  <si>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</si>
  <si>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</si>
  <si>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</si>
  <si>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</si>
  <si>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</si>
  <si>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</si>
  <si>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</si>
  <si>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</si>
  <si>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</si>
  <si>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</si>
  <si>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</si>
  <si>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</si>
  <si>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</si>
  <si>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</si>
  <si>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</si>
  <si>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</si>
  <si>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</si>
  <si>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</si>
  <si>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</si>
  <si>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</si>
  <si>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</si>
  <si>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</si>
  <si>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</si>
  <si>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</si>
  <si>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</si>
  <si>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</si>
  <si>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</si>
  <si>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</si>
  <si>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</si>
  <si>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</si>
  <si>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</si>
  <si>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</si>
  <si>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</si>
  <si>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</si>
  <si>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</si>
  <si>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</si>
  <si>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</si>
  <si>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</si>
  <si>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</si>
  <si>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</si>
  <si>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</si>
  <si>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</si>
  <si>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</si>
  <si>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</si>
  <si>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</si>
  <si>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</si>
  <si>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</si>
  <si>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</si>
  <si>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</si>
  <si>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</si>
  <si>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</si>
  <si>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</si>
  <si>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</si>
  <si>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</si>
  <si>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</si>
  <si>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</si>
  <si>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</si>
  <si>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</si>
  <si>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</si>
  <si>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</si>
  <si>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</si>
  <si>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</si>
  <si>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</si>
  <si>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</si>
  <si>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</si>
  <si>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</si>
  <si>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</si>
  <si>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</si>
  <si>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</si>
  <si>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</si>
  <si>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</si>
  <si>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</si>
  <si>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</si>
  <si>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</si>
  <si>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</si>
  <si>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</si>
  <si>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</si>
  <si>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</si>
  <si>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</si>
  <si>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</si>
  <si>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</si>
  <si>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</si>
  <si>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</si>
  <si>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</si>
  <si>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</si>
  <si>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</si>
  <si>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</si>
  <si>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</si>
  <si>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</si>
  <si>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</si>
  <si>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</si>
  <si>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</si>
  <si>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</si>
  <si>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</si>
  <si>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</si>
  <si>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</si>
  <si>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</si>
  <si>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</si>
  <si>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</si>
  <si>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</si>
  <si>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</si>
  <si>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</si>
  <si>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</si>
  <si>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</si>
  <si>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</si>
  <si>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</si>
  <si>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</si>
  <si>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</si>
  <si>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</si>
  <si>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</si>
  <si>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</si>
  <si>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</si>
  <si>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</si>
  <si>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</si>
  <si>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</si>
  <si>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</si>
  <si>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</si>
  <si>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</si>
  <si>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</si>
  <si>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</si>
  <si>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</si>
  <si>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</si>
  <si>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</si>
  <si>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</si>
  <si>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</si>
  <si>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</si>
  <si>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</si>
  <si>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</si>
  <si>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</si>
  <si>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</si>
  <si>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</si>
  <si>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</si>
  <si>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</si>
  <si>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</si>
  <si>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</si>
  <si>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</si>
  <si>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</si>
  <si>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</si>
  <si>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</si>
  <si>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</si>
  <si>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</si>
  <si>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</si>
  <si>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</si>
  <si>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</si>
  <si>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</si>
  <si>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</si>
  <si>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</si>
  <si>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</si>
  <si>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</si>
  <si>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</si>
  <si>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</si>
  <si>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</si>
  <si>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</si>
  <si>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</si>
  <si>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</si>
  <si>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</si>
  <si>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</si>
  <si>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</si>
  <si>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</si>
  <si>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</si>
  <si>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</si>
  <si>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</si>
  <si>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</si>
  <si>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</si>
  <si>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</si>
  <si>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</si>
  <si>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</si>
  <si>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</si>
  <si>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</si>
  <si>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</si>
  <si>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</si>
  <si>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</si>
  <si>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</si>
  <si>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</si>
  <si>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</si>
  <si>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</si>
  <si>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</si>
  <si>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</si>
  <si>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</si>
  <si>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</si>
  <si>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</si>
  <si>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</si>
  <si>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</si>
  <si>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</si>
  <si>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</si>
  <si>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</si>
  <si>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</si>
  <si>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</si>
  <si>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</si>
  <si>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</si>
  <si>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</si>
  <si>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</si>
  <si>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</si>
  <si>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</si>
  <si>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</si>
  <si>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</si>
  <si>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</si>
  <si>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</si>
  <si>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</si>
  <si>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</si>
  <si>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</si>
  <si>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</si>
  <si>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</si>
  <si>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</si>
  <si>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</si>
  <si>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</si>
  <si>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</si>
  <si>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</si>
  <si>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</si>
  <si>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</si>
  <si>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</si>
  <si>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</si>
  <si>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</si>
  <si>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</si>
  <si>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</si>
  <si>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</si>
  <si>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</si>
  <si>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</si>
  <si>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</si>
  <si>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</si>
  <si>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</si>
  <si>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</si>
  <si>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</si>
  <si>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</si>
  <si>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</si>
  <si>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</si>
  <si>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</si>
  <si>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</si>
  <si>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</si>
  <si>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</si>
  <si>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</si>
  <si>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</si>
  <si>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</si>
  <si>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</si>
  <si>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</si>
  <si>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</si>
  <si>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</si>
  <si>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</si>
  <si>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</si>
  <si>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</si>
  <si>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</si>
  <si>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</si>
  <si>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</si>
  <si>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</si>
  <si>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</si>
  <si>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</si>
  <si>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</si>
  <si>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</si>
  <si>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</si>
  <si>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</si>
  <si>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</si>
  <si>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</si>
  <si>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</si>
  <si>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</si>
  <si>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</si>
  <si>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</si>
  <si>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</si>
  <si>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</si>
  <si>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</si>
  <si>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</si>
  <si>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</si>
  <si>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</si>
  <si>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</si>
  <si>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</si>
  <si>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</si>
  <si>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</si>
  <si>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</si>
  <si>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</si>
  <si>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</si>
  <si>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</si>
  <si>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</si>
  <si>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</si>
  <si>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</si>
  <si>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</si>
  <si>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</si>
  <si>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</si>
  <si>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</si>
  <si>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</si>
  <si>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</si>
  <si>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</si>
  <si>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</si>
  <si>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</si>
  <si>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</si>
  <si>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</si>
  <si>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</si>
  <si>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</si>
  <si>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</si>
  <si>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</si>
  <si>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</si>
  <si>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</si>
  <si>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</si>
  <si>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</si>
  <si>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</si>
  <si>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</si>
  <si>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</si>
  <si>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</si>
  <si>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</si>
  <si>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</si>
  <si>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</si>
  <si>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</si>
  <si>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</si>
  <si>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</si>
  <si>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</si>
  <si>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</si>
  <si>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</si>
  <si>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</si>
  <si>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</si>
  <si>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</si>
  <si>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</si>
  <si>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</si>
  <si>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</si>
  <si>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</si>
  <si>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</si>
  <si>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</si>
  <si>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</si>
  <si>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</si>
  <si>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</si>
  <si>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</si>
  <si>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</si>
  <si>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</si>
  <si>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</si>
  <si>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</si>
  <si>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</si>
  <si>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</si>
  <si>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</si>
  <si>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</si>
  <si>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</si>
  <si>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</si>
  <si>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</si>
  <si>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</si>
  <si>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</si>
  <si>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</si>
  <si>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</si>
  <si>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</si>
  <si>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</si>
  <si>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</si>
  <si>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</si>
  <si>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</si>
  <si>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</si>
  <si>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</si>
  <si>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</si>
  <si>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</si>
  <si>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</si>
  <si>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</si>
  <si>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</si>
  <si>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</si>
  <si>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</si>
  <si>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</si>
  <si>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</si>
  <si>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</si>
  <si>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</si>
  <si>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</si>
  <si>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</si>
  <si>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</si>
  <si>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</si>
  <si>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</si>
  <si>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</si>
  <si>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</si>
  <si>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</si>
  <si>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</si>
  <si>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</si>
  <si>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</si>
  <si>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</si>
  <si>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</si>
  <si>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</si>
  <si>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</si>
  <si>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</si>
  <si>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</si>
  <si>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</si>
  <si>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</si>
  <si>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</si>
  <si>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</si>
  <si>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</si>
  <si>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</si>
  <si>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</si>
  <si>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</si>
  <si>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</si>
  <si>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</si>
  <si>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</si>
  <si>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</si>
  <si>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</si>
  <si>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</si>
  <si>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</si>
  <si>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</si>
  <si>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</si>
  <si>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</si>
  <si>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</si>
  <si>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</si>
  <si>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</si>
  <si>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</si>
  <si>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</si>
  <si>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</si>
  <si>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</si>
  <si>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</si>
  <si>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</si>
  <si>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</si>
  <si>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</si>
  <si>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</si>
  <si>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</si>
  <si>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</si>
  <si>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</si>
  <si>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</si>
  <si>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</si>
  <si>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</si>
  <si>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</si>
  <si>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</si>
  <si>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</si>
  <si>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</si>
  <si>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</si>
  <si>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</si>
  <si>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</si>
  <si>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</si>
  <si>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</si>
  <si>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</si>
  <si>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</si>
  <si>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</si>
  <si>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</si>
  <si>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</si>
  <si>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</si>
  <si>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</si>
  <si>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</si>
  <si>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</si>
  <si>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</si>
  <si>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</si>
  <si>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</si>
  <si>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</si>
  <si>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</si>
  <si>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</si>
  <si>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</si>
  <si>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</si>
  <si>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</si>
  <si>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</si>
  <si>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</si>
  <si>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</si>
  <si>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</si>
  <si>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</si>
  <si>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</si>
  <si>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</si>
  <si>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</si>
  <si>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</si>
  <si>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</si>
  <si>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</si>
  <si>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</si>
  <si>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</si>
  <si>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</si>
  <si>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</si>
  <si>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</si>
  <si>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</si>
  <si>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</si>
  <si>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</si>
  <si>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</si>
  <si>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</si>
  <si>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</si>
  <si>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</si>
  <si>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</si>
  <si>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</si>
  <si>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</si>
  <si>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</si>
  <si>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</si>
  <si>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</si>
  <si>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</si>
  <si>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</si>
  <si>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</si>
  <si>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</si>
  <si>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</si>
  <si>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</si>
  <si>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</si>
  <si>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</si>
  <si>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</si>
  <si>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</si>
  <si>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</si>
  <si>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</si>
  <si>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</si>
  <si>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</si>
  <si>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</si>
  <si>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</si>
  <si>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</si>
  <si>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</si>
  <si>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</si>
  <si>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</si>
  <si>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</si>
  <si>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</si>
  <si>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</si>
  <si>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</si>
  <si>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</si>
  <si>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</si>
  <si>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</si>
  <si>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</si>
  <si>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</si>
  <si>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</si>
  <si>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</si>
  <si>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</si>
  <si>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</si>
  <si>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</si>
  <si>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</si>
  <si>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</si>
  <si>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</si>
  <si>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</si>
  <si>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</si>
  <si>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</si>
  <si>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</si>
  <si>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</si>
  <si>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</si>
  <si>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</si>
  <si>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</si>
  <si>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</si>
  <si>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</si>
  <si>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</si>
  <si>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</si>
  <si>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</si>
  <si>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</si>
  <si>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</si>
  <si>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</si>
  <si>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</si>
  <si>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</si>
  <si>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</si>
  <si>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</si>
  <si>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</si>
  <si>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</si>
  <si>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</si>
  <si>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</si>
  <si>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</si>
  <si>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</si>
  <si>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</si>
  <si>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</si>
  <si>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</si>
  <si>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</si>
  <si>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</si>
  <si>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</si>
  <si>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</si>
  <si>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</si>
  <si>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</si>
  <si>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</si>
  <si>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</si>
  <si>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</si>
  <si>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</si>
  <si>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</si>
  <si>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</si>
  <si>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</si>
  <si>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</si>
  <si>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</si>
  <si>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</si>
  <si>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</si>
  <si>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</si>
  <si>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</si>
  <si>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</si>
  <si>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</si>
  <si>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</si>
  <si>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</si>
  <si>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</si>
  <si>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</si>
  <si>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</si>
  <si>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</si>
  <si>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</si>
  <si>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</si>
  <si>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</si>
  <si>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</si>
  <si>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</si>
  <si>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</si>
  <si>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</si>
  <si>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</si>
  <si>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</si>
  <si>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</si>
  <si>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</si>
  <si>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</si>
  <si>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</si>
  <si>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</si>
  <si>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</si>
  <si>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</si>
  <si>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</si>
  <si>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</si>
  <si>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</si>
  <si>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</si>
  <si>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</si>
  <si>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</si>
  <si>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</si>
  <si>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</si>
  <si>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</si>
  <si>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</si>
  <si>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</si>
  <si>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</si>
  <si>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</si>
  <si>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</si>
  <si>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</si>
  <si>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</si>
  <si>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</si>
  <si>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</si>
  <si>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</si>
  <si>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</si>
  <si>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</si>
  <si>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</si>
  <si>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</si>
  <si>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</si>
  <si>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</si>
  <si>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</si>
  <si>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</si>
  <si>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</si>
  <si>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</si>
  <si>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</si>
  <si>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</si>
  <si>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</si>
  <si>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</si>
  <si>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</si>
  <si>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</si>
  <si>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</si>
  <si>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</si>
  <si>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</si>
  <si>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</si>
  <si>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</si>
  <si>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</si>
  <si>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</si>
  <si>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</si>
  <si>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</si>
  <si>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</si>
  <si>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</si>
  <si>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</si>
  <si>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</si>
  <si>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</si>
  <si>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</si>
  <si>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</si>
  <si>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</si>
  <si>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</si>
  <si>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</si>
  <si>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</si>
  <si>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</si>
  <si>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</si>
  <si>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</si>
  <si>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</si>
  <si>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</si>
  <si>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</si>
  <si>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</si>
  <si>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</si>
  <si>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</si>
  <si>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</si>
  <si>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</si>
  <si>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</si>
  <si>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</si>
  <si>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</si>
  <si>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</si>
  <si>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</si>
  <si>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</si>
  <si>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</si>
  <si>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</si>
  <si>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</si>
  <si>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</si>
  <si>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</si>
  <si>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</si>
  <si>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</si>
  <si>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</si>
  <si>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</si>
  <si>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</si>
  <si>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</si>
  <si>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</si>
  <si>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</si>
  <si>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</si>
  <si>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</si>
  <si>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</si>
  <si>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</si>
  <si>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</si>
  <si>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</si>
  <si>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</si>
  <si>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</si>
  <si>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</si>
  <si>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</si>
  <si>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</si>
  <si>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</si>
  <si>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</si>
  <si>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</si>
  <si>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</si>
  <si>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</si>
  <si>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</si>
  <si>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</si>
  <si>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</si>
  <si>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</si>
  <si>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</si>
  <si>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</si>
  <si>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</si>
  <si>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</si>
  <si>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</si>
  <si>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</si>
  <si>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</si>
  <si>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</si>
  <si>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</si>
  <si>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</si>
  <si>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</si>
  <si>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</si>
  <si>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</si>
  <si>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</si>
  <si>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</si>
  <si>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</si>
  <si>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</si>
  <si>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</si>
  <si>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</si>
  <si>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</si>
  <si>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</si>
  <si>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</si>
  <si>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</si>
  <si>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</si>
  <si>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</si>
  <si>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</si>
  <si>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</si>
  <si>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</si>
  <si>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</si>
  <si>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</si>
  <si>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</si>
  <si>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</si>
  <si>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</si>
  <si>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</si>
  <si>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</si>
  <si>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</si>
  <si>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</si>
  <si>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</si>
  <si>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</si>
  <si>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</si>
  <si>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</si>
  <si>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</si>
  <si>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</si>
  <si>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</si>
  <si>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</si>
  <si>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</si>
  <si>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</si>
  <si>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</si>
  <si>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</si>
  <si>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</si>
  <si>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</si>
  <si>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</si>
  <si>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</si>
  <si>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</si>
  <si>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</si>
  <si>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</si>
  <si>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</si>
  <si>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</si>
  <si>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</si>
  <si>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</si>
  <si>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</si>
  <si>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</si>
  <si>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</si>
  <si>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</si>
  <si>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</si>
  <si>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</si>
  <si>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</si>
  <si>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</si>
  <si>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Corredera 3H guía oculta</t>
  </si>
  <si>
    <t>Pedro Moreno - P1</t>
  </si>
  <si>
    <t>3750x2200 mm</t>
  </si>
  <si>
    <t>35081 + 35011, Empotrada desmontable 3C, 4m.</t>
  </si>
  <si>
    <t>3540GD - 60 Kgrs</t>
  </si>
  <si>
    <t>35037 - 60 Kgrs.</t>
  </si>
  <si>
    <t>35054 - CAVE adhesivo</t>
  </si>
  <si>
    <t>Inferior, Arrastre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</si>
</sst>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145677</xdr:colOff>
      <xdr:row>13</xdr:row>
      <xdr:rowOff>22411</xdr:rowOff>
    </xdr:from>
    <xdr:to>
      <xdr:col>6</xdr:col>
      <xdr:colOff>548632</xdr:colOff>
      <xdr:row>24</xdr:row>
      <xdr:rowOff>86911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11E9245-74BD-6C4E-5AE4-B8E36D11B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59" y="2644587"/>
          <a:ext cx="411210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B23" sqref="B23:G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20250056</v>
      </c>
      <c r="G7" s="8">
        <f ca="1">TODAY()</f>
        <v>45727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1316</v>
      </c>
      <c r="C13" s="79" t="str">
        <f>IFERROR(VLOOKUP($B13,Tarifa_all_20240711!$A$2:$G$660,2,FALSE()),"-")</f>
        <v>CASC.TRIPLE GUIA DESM.LAC.6 ESP.2-4 MTS</v>
      </c>
      <c r="D13" s="79"/>
      <c r="E13" s="17">
        <v>1</v>
      </c>
      <c r="F13" s="18">
        <f>IFERROR(VLOOKUP($B13,Tarifa_all_20240711!$A$2:$G$660,5,FALSE()),"-")</f>
        <v>290.3175</v>
      </c>
      <c r="G13" s="18">
        <f t="shared" ref="G13:G30" si="0">IFERROR(E13*F13,"-")</f>
        <v>290.3175</v>
      </c>
      <c r="H13" s="1"/>
    </row>
    <row r="14" spans="1:12" x14ac:dyDescent="0.25">
      <c r="A14" t="s">
        <v>15</v>
      </c>
      <c r="B14" s="16" t="s">
        <v>976</v>
      </c>
      <c r="C14" s="79" t="str">
        <f>IFERROR(VLOOKUP($B14,Tarifa_all_20240711!$A$2:$G$660,2,FALSE()),"-")</f>
        <v>GUIA SKY PLUS DESMONT.LAC.6 ESP.2-4 MTS</v>
      </c>
      <c r="D14" s="79"/>
      <c r="E14" s="17">
        <v>3</v>
      </c>
      <c r="F14" s="18">
        <f>IFERROR(VLOOKUP($B14,Tarifa_all_20240711!$A$2:$G$660,5,FALSE()),"-")</f>
        <v>95.8125</v>
      </c>
      <c r="G14" s="18">
        <f t="shared" si="0"/>
        <v>287.4375</v>
      </c>
      <c r="H14" s="1"/>
    </row>
    <row r="15" spans="1:12" x14ac:dyDescent="0.25">
      <c r="A15" t="s">
        <v>16</v>
      </c>
      <c r="B15" s="16" t="s">
        <v>293</v>
      </c>
      <c r="C15" s="79" t="str">
        <f>IFERROR(VLOOKUP($B15,Tarifa_all_20240711!$A$2:$G$660,2,FALSE()),"-")</f>
        <v>KIT ANCLAJE TECHO PARA GUIA PLADUR PLUS DEMONTABLE</v>
      </c>
      <c r="D15" s="79"/>
      <c r="E15" s="17">
        <v>10</v>
      </c>
      <c r="F15" s="18">
        <f>IFERROR(VLOOKUP($B15,Tarifa_all_20240711!$A$2:$G$660,5,FALSE()),"-")</f>
        <v>11.737500000000001</v>
      </c>
      <c r="G15" s="18">
        <f t="shared" si="0"/>
        <v>117.375</v>
      </c>
      <c r="H15" s="1"/>
    </row>
    <row r="16" spans="1:12" x14ac:dyDescent="0.25">
      <c r="A16" t="s">
        <v>17</v>
      </c>
      <c r="B16" s="16" t="s">
        <v>562</v>
      </c>
      <c r="C16" s="79" t="str">
        <f>IFERROR(VLOOKUP($B16,Tarifa_all_20240711!$A$2:$G$660,2,FALSE()),"-")</f>
        <v>KIT AMORTIGUADOR SKY GUIA DESMONT. BIDIRECCIONAL 60KG</v>
      </c>
      <c r="D16" s="79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1"/>
    </row>
    <row r="17" spans="1:8" x14ac:dyDescent="0.25">
      <c r="A17" t="s">
        <v>18</v>
      </c>
      <c r="B17" s="16" t="s">
        <v>130</v>
      </c>
      <c r="C17" s="79" t="str">
        <f>IFERROR(VLOOKUP($B17,Tarifa_all_20240711!$A$2:$G$660,2,FALSE()),"-")</f>
        <v>KIT PUERTA PA CORREDERA LAC.NEGRO TEXTURADO</v>
      </c>
      <c r="D17" s="79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3</v>
      </c>
      <c r="F18" s="18">
        <f>IFERROR(VLOOKUP($B18,Tarifa_all_20240711!$A$2:$G$660,5,FALSE()),"-")</f>
        <v>16.634999999999998</v>
      </c>
      <c r="G18" s="18">
        <f t="shared" si="0"/>
        <v>49.904999999999994</v>
      </c>
      <c r="H18" s="1"/>
    </row>
    <row r="19" spans="1:8" x14ac:dyDescent="0.25">
      <c r="A19" t="s">
        <v>20</v>
      </c>
      <c r="B19" s="16" t="s">
        <v>511</v>
      </c>
      <c r="C19" s="79" t="str">
        <f>IFERROR(VLOOKUP($B19,Tarifa_all_20240711!$A$2:$G$660,2,FALSE()),"-")</f>
        <v>TIRADOR RECT.ADH CAVE LAC.NEGRO TEXTURADO: 2 UDS</v>
      </c>
      <c r="D19" s="79"/>
      <c r="E19" s="17">
        <v>3</v>
      </c>
      <c r="F19" s="18">
        <f>IFERROR(VLOOKUP($B19,Tarifa_all_20240711!$A$2:$G$660,5,FALSE()),"-")</f>
        <v>59.122500000000002</v>
      </c>
      <c r="G19" s="18">
        <f t="shared" si="0"/>
        <v>177.36750000000001</v>
      </c>
      <c r="H19" s="1"/>
    </row>
    <row r="20" spans="1:8" x14ac:dyDescent="0.25">
      <c r="A20" t="s">
        <v>21</v>
      </c>
      <c r="B20" s="16" t="s">
        <v>1132</v>
      </c>
      <c r="C20" s="79" t="str">
        <f>IFERROR(VLOOKUP($B20,Tarifa_all_20240711!$A$2:$G$660,2,FALSE()),"-")</f>
        <v>GUIADOR FIJO PA LAC.NEGRO TEXTURADO</v>
      </c>
      <c r="D20" s="79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1"/>
    </row>
    <row r="21" spans="1:8" x14ac:dyDescent="0.25">
      <c r="A21" t="s">
        <v>22</v>
      </c>
      <c r="B21" s="16" t="s">
        <v>324</v>
      </c>
      <c r="C21" s="79" t="str">
        <f>IFERROR(VLOOKUP($B21,Tarifa_all_20240711!$A$2:$G$660,2,FALSE()),"-")</f>
        <v>ARRASTRE PUERTA PA DCHA LAC.NEGRO MATE</v>
      </c>
      <c r="D21" s="79"/>
      <c r="E21" s="17">
        <v>2</v>
      </c>
      <c r="F21" s="18">
        <f>IFERROR(VLOOKUP($B21,Tarifa_all_20240711!$A$2:$G$660,5,FALSE()),"-")</f>
        <v>13.86</v>
      </c>
      <c r="G21" s="18">
        <f t="shared" si="0"/>
        <v>27.72</v>
      </c>
      <c r="H21" s="1"/>
    </row>
    <row r="22" spans="1:8" x14ac:dyDescent="0.25">
      <c r="B22" s="16" t="s">
        <v>329</v>
      </c>
      <c r="C22" s="79" t="str">
        <f>IFERROR(VLOOKUP($B22,Tarifa_all_20240711!$A$2:$G$660,2,FALSE()),"-")</f>
        <v>ARRASTRE PUERTA PA IZQ LAC.NEGRO MATE</v>
      </c>
      <c r="D22" s="79"/>
      <c r="E22" s="17">
        <v>2</v>
      </c>
      <c r="F22" s="18">
        <f>IFERROR(VLOOKUP($B22,Tarifa_all_20240711!$A$2:$G$660,5,FALSE()),"-")</f>
        <v>13.86</v>
      </c>
      <c r="G22" s="18">
        <f t="shared" si="0"/>
        <v>27.72</v>
      </c>
      <c r="H22" s="1"/>
    </row>
    <row r="23" spans="1:8" x14ac:dyDescent="0.25">
      <c r="B23" s="87" t="s">
        <v>139</v>
      </c>
      <c r="C23" s="88" t="str">
        <f>IFERROR(VLOOKUP($B23,Tarifa_all_20240711!$A$2:$G$660,2,FALSE()),"-")</f>
        <v>PERFIL EMBELL.HORIZ. ADH LAC.NEGRO TEXTURADO</v>
      </c>
      <c r="D23" s="88"/>
      <c r="E23" s="89">
        <v>18</v>
      </c>
      <c r="F23" s="90">
        <f>IFERROR(VLOOKUP($B23,Tarifa_all_20240711!$A$2:$G$660,5,FALSE()),"-")</f>
        <v>21.794999999999998</v>
      </c>
      <c r="G23" s="90">
        <f t="shared" si="0"/>
        <v>392.30999999999995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2134.7474999999999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60" zoomScaleNormal="85" workbookViewId="0">
      <selection activeCell="J27" sqref="J2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45727</v>
      </c>
    </row>
    <row r="10" spans="1:7" x14ac:dyDescent="0.25">
      <c r="A10" s="3" t="s">
        <v>82</v>
      </c>
      <c r="B10" s="11" t="s">
        <v>1449</v>
      </c>
      <c r="C10" s="45"/>
      <c r="D10" s="45"/>
      <c r="E10" s="46"/>
      <c r="F10" s="47" t="s">
        <v>83</v>
      </c>
      <c r="G10" s="7">
        <f>'DESPIECE (MATANALYSIS)'!C7</f>
        <v>20250056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1450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1452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1453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1454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1455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2134.7474999999999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2025-03-11T16:41:50Z</dcterms:modified>
  <dc:language>es-ES</dc:language>
</cp:coreProperties>
</file>