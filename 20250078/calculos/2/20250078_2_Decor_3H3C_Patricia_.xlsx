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78\calculos\2\"/>
    </mc:Choice>
  </mc:AlternateContent>
  <xr:revisionPtr revIDLastSave="0" documentId="13_ncr:1_{B14868C0-A2A1-4B11-A659-C1125A5FB07E}" xr6:coauthVersionLast="47" xr6:coauthVersionMax="47" xr10:uidLastSave="{00000000-0000-0000-0000-000000000000}"/>
  <bookViews>
    <workbookView xWindow="-20370" yWindow="270" windowWidth="19305" windowHeight="144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0" l="1"/>
  <c r="H15" i="10"/>
  <c r="H16" i="10"/>
  <c r="H17" i="10"/>
  <c r="H18" i="10"/>
  <c r="H20" i="10"/>
  <c r="H21" i="10"/>
  <c r="H22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H19" i="10" s="1"/>
  <c r="G21" i="10"/>
  <c r="G22" i="10"/>
  <c r="G23" i="10"/>
  <c r="G24" i="10"/>
  <c r="G25" i="10"/>
  <c r="G26" i="10"/>
  <c r="G27" i="10"/>
  <c r="G28" i="10"/>
  <c r="G29" i="10"/>
  <c r="G30" i="10"/>
  <c r="G13" i="10"/>
  <c r="H13" i="10" s="1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I3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<sst xmlns="http://schemas.openxmlformats.org/spreadsheetml/2006/main" count="5404" uniqueCount="1454">
  <si>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</si>
  <si>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</si>
  <si>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</si>
  <si>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</si>
  <si>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</si>
  <si>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</si>
  <si>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</si>
  <si>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</si>
  <si>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</si>
  <si>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</si>
  <si>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</si>
  <si>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</si>
  <si>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</si>
  <si>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</si>
  <si>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</si>
  <si>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</si>
  <si>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</si>
  <si>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</si>
  <si>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</si>
  <si>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</si>
  <si>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</si>
  <si>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</si>
  <si>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</si>
  <si>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</si>
  <si>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</si>
  <si>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</si>
  <si>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</si>
  <si>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</si>
  <si>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</si>
  <si>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</si>
  <si>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</si>
  <si>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</si>
  <si>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</si>
  <si>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</si>
  <si>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</si>
  <si>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</si>
  <si>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</si>
  <si>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</si>
  <si>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</si>
  <si>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</si>
  <si>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</si>
  <si>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</si>
  <si>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</si>
  <si>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</si>
  <si>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</si>
  <si>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</si>
  <si>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</si>
  <si>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</si>
  <si>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</si>
  <si>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</si>
  <si>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</si>
  <si>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</si>
  <si>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</si>
  <si>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</si>
  <si>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</si>
  <si>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</si>
  <si>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</si>
  <si>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</si>
  <si>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</si>
  <si>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</si>
  <si>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</si>
  <si>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</si>
  <si>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</si>
  <si>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</si>
  <si>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</si>
  <si>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</si>
  <si>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</si>
  <si>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</si>
  <si>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</si>
  <si>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</si>
  <si>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</si>
  <si>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</si>
  <si>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</si>
  <si>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</si>
  <si>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</si>
  <si>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</si>
  <si>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</si>
  <si>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</si>
  <si>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</si>
  <si>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</si>
  <si>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</si>
  <si>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</si>
  <si>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</si>
  <si>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</si>
  <si>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</si>
  <si>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</si>
  <si>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</si>
  <si>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</si>
  <si>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</si>
  <si>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</si>
  <si>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</si>
  <si>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</si>
  <si>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</si>
  <si>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</si>
  <si>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</si>
  <si>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</si>
  <si>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</si>
  <si>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</si>
  <si>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</si>
  <si>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</si>
  <si>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</si>
  <si>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</si>
  <si>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</si>
  <si>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</si>
  <si>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</si>
  <si>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</si>
  <si>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</si>
  <si>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</si>
  <si>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</si>
  <si>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</si>
  <si>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</si>
  <si>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</si>
  <si>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</si>
  <si>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</si>
  <si>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</si>
  <si>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</si>
  <si>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</si>
  <si>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</si>
  <si>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</si>
  <si>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</si>
  <si>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</si>
  <si>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</si>
  <si>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</si>
  <si>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</si>
  <si>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</si>
  <si>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</si>
  <si>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</si>
  <si>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</si>
  <si>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</si>
  <si>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</si>
  <si>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</si>
  <si>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</si>
  <si>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</si>
  <si>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</si>
  <si>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</si>
  <si>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</si>
  <si>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</si>
  <si>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</si>
  <si>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</si>
  <si>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</si>
  <si>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</si>
  <si>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</si>
  <si>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</si>
  <si>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</si>
  <si>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</si>
  <si>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</si>
  <si>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</si>
  <si>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</si>
  <si>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</si>
  <si>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</si>
  <si>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</si>
  <si>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</si>
  <si>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</si>
  <si>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</si>
  <si>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</si>
  <si>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</si>
  <si>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</si>
  <si>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</si>
  <si>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</si>
  <si>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</si>
  <si>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</si>
  <si>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</si>
  <si>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</si>
  <si>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</si>
  <si>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</si>
  <si>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</si>
  <si>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</si>
  <si>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</si>
  <si>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</si>
  <si>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</si>
  <si>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</si>
  <si>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</si>
  <si>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</si>
  <si>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</si>
  <si>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</si>
  <si>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</si>
  <si>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</si>
  <si>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</si>
  <si>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</si>
  <si>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</si>
  <si>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</si>
  <si>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</si>
  <si>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</si>
  <si>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</si>
  <si>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</si>
  <si>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</si>
  <si>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</si>
  <si>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</si>
  <si>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</si>
  <si>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</si>
  <si>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</si>
  <si>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</si>
  <si>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</si>
  <si>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</si>
  <si>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</si>
  <si>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</si>
  <si>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</si>
  <si>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</si>
  <si>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</si>
  <si>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</si>
  <si>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</si>
  <si>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</si>
  <si>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</si>
  <si>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</si>
  <si>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</si>
  <si>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</si>
  <si>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</si>
  <si>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</si>
  <si>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</si>
  <si>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</si>
  <si>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</si>
  <si>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</si>
  <si>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</si>
  <si>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</si>
  <si>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</si>
  <si>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</si>
  <si>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</si>
  <si>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</si>
  <si>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</si>
  <si>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</si>
  <si>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</si>
  <si>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</si>
  <si>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</si>
  <si>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</si>
  <si>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</si>
  <si>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</si>
  <si>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</si>
  <si>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</si>
  <si>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</si>
  <si>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</si>
  <si>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</si>
  <si>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</si>
  <si>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</si>
  <si>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</si>
  <si>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</si>
  <si>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</si>
  <si>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</si>
  <si>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</si>
  <si>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</si>
  <si>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</si>
  <si>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</si>
  <si>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</si>
  <si>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</si>
  <si>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</si>
  <si>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</si>
  <si>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</si>
  <si>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</si>
  <si>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</si>
  <si>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</si>
  <si>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</si>
  <si>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</si>
  <si>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</si>
  <si>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</si>
  <si>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</si>
  <si>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</si>
  <si>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</si>
  <si>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</si>
  <si>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</si>
  <si>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</si>
  <si>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</si>
  <si>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</si>
  <si>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</si>
  <si>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</si>
  <si>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</si>
  <si>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</si>
  <si>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</si>
  <si>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</si>
  <si>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</si>
  <si>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</si>
  <si>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</si>
  <si>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</si>
  <si>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</si>
  <si>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</si>
  <si>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</si>
  <si>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</si>
  <si>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</si>
  <si>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</si>
  <si>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</si>
  <si>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</si>
  <si>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</si>
  <si>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</si>
  <si>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</si>
  <si>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</si>
  <si>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</si>
  <si>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</si>
  <si>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</si>
  <si>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</si>
  <si>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</si>
  <si>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</si>
  <si>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</si>
  <si>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</si>
  <si>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</si>
  <si>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</si>
  <si>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</si>
  <si>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</si>
  <si>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</si>
  <si>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</si>
  <si>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</si>
  <si>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</si>
  <si>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</si>
  <si>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</si>
  <si>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</si>
  <si>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</si>
  <si>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</si>
  <si>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</si>
  <si>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</si>
  <si>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</si>
  <si>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</si>
  <si>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</si>
  <si>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</si>
  <si>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</si>
  <si>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</si>
  <si>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</si>
  <si>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</si>
  <si>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</si>
  <si>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</si>
  <si>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</si>
  <si>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</si>
  <si>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</si>
  <si>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</si>
  <si>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</si>
  <si>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</si>
  <si>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</si>
  <si>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</si>
  <si>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</si>
  <si>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</si>
  <si>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</si>
  <si>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</si>
  <si>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</si>
  <si>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</si>
  <si>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</si>
  <si>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</si>
  <si>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</si>
  <si>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</si>
  <si>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</si>
  <si>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</si>
  <si>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</si>
  <si>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</si>
  <si>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</si>
  <si>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</si>
  <si>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</si>
  <si>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</si>
  <si>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</si>
  <si>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</si>
  <si>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</si>
  <si>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</si>
  <si>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</si>
  <si>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</si>
  <si>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</si>
  <si>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</si>
  <si>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</si>
  <si>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</si>
  <si>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</si>
  <si>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</si>
  <si>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</si>
  <si>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</si>
  <si>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</si>
  <si>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</si>
  <si>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</si>
  <si>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</si>
  <si>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</si>
  <si>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</si>
  <si>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</si>
  <si>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</si>
  <si>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</si>
  <si>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</si>
  <si>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</si>
  <si>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</si>
  <si>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</si>
  <si>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</si>
  <si>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</si>
  <si>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</si>
  <si>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</si>
  <si>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</si>
  <si>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</si>
  <si>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</si>
  <si>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</si>
  <si>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</si>
  <si>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</si>
  <si>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</si>
  <si>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</si>
  <si>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</si>
  <si>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</si>
  <si>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</si>
  <si>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</si>
  <si>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</si>
  <si>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</si>
  <si>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</si>
  <si>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</si>
  <si>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</si>
  <si>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</si>
  <si>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</si>
  <si>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</si>
  <si>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</si>
  <si>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</si>
  <si>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</si>
  <si>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</si>
  <si>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</si>
  <si>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</si>
  <si>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</si>
  <si>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</si>
  <si>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</si>
  <si>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</si>
  <si>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</si>
  <si>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</si>
  <si>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</si>
  <si>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</si>
  <si>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</si>
  <si>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</si>
  <si>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</si>
  <si>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</si>
  <si>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</si>
  <si>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</si>
  <si>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</si>
  <si>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</si>
  <si>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</si>
  <si>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</si>
  <si>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</si>
  <si>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</si>
  <si>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</si>
  <si>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</si>
  <si>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</si>
  <si>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</si>
  <si>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</si>
  <si>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</si>
  <si>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</si>
  <si>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</si>
  <si>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</si>
  <si>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</si>
  <si>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</si>
  <si>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</si>
  <si>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</si>
  <si>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</si>
  <si>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</si>
  <si>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</si>
  <si>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</si>
  <si>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</si>
  <si>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</si>
  <si>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</si>
  <si>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</si>
  <si>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</si>
  <si>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</si>
  <si>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</si>
  <si>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</si>
  <si>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</si>
  <si>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</si>
  <si>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</si>
  <si>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</si>
  <si>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</si>
  <si>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</si>
  <si>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</si>
  <si>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</si>
  <si>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</si>
  <si>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</si>
  <si>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</si>
  <si>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</si>
  <si>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</si>
  <si>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</si>
  <si>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</si>
  <si>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</si>
  <si>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</si>
  <si>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</si>
  <si>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</si>
  <si>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</si>
  <si>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</si>
  <si>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</si>
  <si>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</si>
  <si>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</si>
  <si>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</si>
  <si>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</si>
  <si>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</si>
  <si>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</si>
  <si>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</si>
  <si>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</si>
  <si>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</si>
  <si>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</si>
  <si>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</si>
  <si>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</si>
  <si>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</si>
  <si>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</si>
  <si>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</si>
  <si>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</si>
  <si>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</si>
  <si>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</si>
  <si>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</si>
  <si>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</si>
  <si>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</si>
  <si>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</si>
  <si>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</si>
  <si>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</si>
  <si>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</si>
  <si>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</si>
  <si>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</si>
  <si>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</si>
  <si>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</si>
  <si>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</si>
  <si>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</si>
  <si>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</si>
  <si>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</si>
  <si>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</si>
  <si>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</si>
  <si>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</si>
  <si>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</si>
  <si>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</si>
  <si>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</si>
  <si>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</si>
  <si>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</si>
  <si>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</si>
  <si>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</si>
  <si>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</si>
  <si>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</si>
  <si>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</si>
  <si>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</si>
  <si>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</si>
  <si>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</si>
  <si>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</si>
  <si>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</si>
  <si>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</si>
  <si>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</si>
  <si>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</si>
  <si>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</si>
  <si>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</si>
  <si>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</si>
  <si>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</si>
  <si>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</si>
  <si>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</si>
  <si>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</si>
  <si>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</si>
  <si>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</si>
  <si>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</si>
  <si>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</si>
  <si>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</si>
  <si>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</si>
  <si>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</si>
  <si>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</si>
  <si>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</si>
  <si>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</si>
  <si>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</si>
  <si>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</si>
  <si>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</si>
  <si>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</si>
  <si>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</si>
  <si>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</si>
  <si>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</si>
  <si>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</si>
  <si>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</si>
  <si>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</si>
  <si>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</si>
  <si>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</si>
  <si>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</si>
  <si>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</si>
  <si>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</si>
  <si>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</si>
  <si>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</si>
  <si>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</si>
  <si>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</si>
  <si>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</si>
  <si>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</si>
  <si>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</si>
  <si>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</si>
  <si>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</si>
  <si>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</si>
  <si>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</si>
  <si>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</si>
  <si>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</si>
  <si>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</si>
  <si>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</si>
  <si>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</si>
  <si>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</si>
  <si>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</si>
  <si>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</si>
  <si>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</si>
  <si>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</si>
  <si>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</si>
  <si>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</si>
  <si>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</si>
  <si>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</si>
  <si>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</si>
  <si>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</si>
  <si>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</si>
  <si>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</si>
  <si>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</si>
  <si>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</si>
  <si>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</si>
  <si>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</si>
  <si>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</si>
  <si>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</si>
  <si>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</si>
  <si>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</si>
  <si>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</si>
  <si>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</si>
  <si>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</si>
  <si>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</si>
  <si>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</si>
  <si>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</si>
  <si>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</si>
  <si>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</si>
  <si>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</si>
  <si>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</si>
  <si>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</si>
  <si>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</si>
  <si>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</si>
  <si>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</si>
  <si>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</si>
  <si>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</si>
  <si>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</si>
  <si>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</si>
  <si>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</si>
  <si>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</si>
  <si>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</si>
  <si>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</si>
  <si>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</si>
  <si>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</si>
  <si>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</si>
  <si>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</si>
  <si>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</si>
  <si>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</si>
  <si>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</si>
  <si>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</si>
  <si>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</si>
  <si>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</si>
  <si>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</si>
  <si>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</si>
  <si>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</si>
  <si>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</si>
  <si>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</si>
  <si>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</si>
  <si>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</si>
  <si>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</si>
  <si>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</si>
  <si>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</si>
  <si>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</si>
  <si>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</si>
  <si>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</si>
  <si>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</si>
  <si>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</si>
  <si>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</si>
  <si>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</si>
  <si>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</si>
  <si>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</si>
  <si>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</si>
  <si>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</si>
  <si>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</si>
  <si>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</si>
  <si>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</si>
  <si>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</si>
  <si>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</si>
  <si>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</si>
  <si>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</si>
  <si>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</si>
  <si>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</si>
  <si>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</si>
  <si>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</si>
  <si>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</si>
  <si>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</si>
  <si>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</si>
  <si>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</si>
  <si>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</si>
  <si>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</si>
  <si>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</si>
  <si>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</si>
  <si>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</si>
  <si>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</si>
  <si>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</si>
  <si>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</si>
  <si>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</si>
  <si>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</si>
  <si>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</si>
  <si>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</si>
  <si>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</si>
  <si>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</si>
  <si>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</si>
  <si>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</si>
  <si>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</si>
  <si>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</si>
  <si>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</si>
  <si>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</si>
  <si>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</si>
  <si>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</si>
  <si>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</si>
  <si>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</si>
  <si>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</si>
  <si>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</si>
  <si>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</si>
  <si>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</si>
  <si>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</si>
  <si>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</si>
  <si>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</si>
  <si>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</si>
  <si>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</si>
  <si>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</si>
  <si>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</si>
  <si>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</si>
  <si>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</si>
  <si>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</si>
  <si>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</si>
  <si>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</si>
  <si>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</si>
  <si>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</si>
  <si>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</si>
  <si>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</si>
  <si>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</si>
  <si>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</si>
  <si>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</si>
  <si>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</si>
  <si>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</si>
  <si>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</si>
  <si>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</si>
  <si>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</si>
  <si>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</si>
  <si>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</si>
  <si>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</si>
  <si>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</si>
  <si>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</si>
  <si>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</si>
  <si>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</si>
  <si>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</si>
  <si>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</si>
  <si>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</si>
  <si>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</si>
  <si>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</si>
  <si>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</si>
  <si>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</si>
  <si>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</si>
  <si>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</si>
  <si>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</si>
  <si>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</si>
  <si>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</si>
  <si>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</si>
  <si>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</si>
  <si>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</si>
  <si>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</si>
  <si>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</si>
  <si>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</si>
  <si>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</si>
  <si>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</si>
  <si>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</si>
  <si>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</si>
  <si>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</si>
  <si>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</si>
  <si>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</si>
  <si>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</si>
  <si>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</si>
  <si>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</si>
  <si>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</si>
  <si>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</si>
  <si>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</si>
  <si>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</si>
  <si>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</si>
  <si>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</si>
  <si>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</si>
  <si>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</si>
  <si>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</si>
  <si>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</si>
  <si>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</si>
  <si>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</si>
  <si>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</si>
  <si>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</si>
  <si>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</si>
  <si>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</si>
  <si>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</si>
  <si>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</si>
  <si>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</si>
  <si>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</si>
  <si>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</si>
  <si>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</si>
  <si>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</si>
  <si>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</si>
  <si>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</si>
  <si>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</si>
  <si>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</si>
  <si>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</si>
  <si>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</si>
  <si>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</si>
  <si>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</si>
  <si>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</si>
  <si>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</si>
  <si>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</si>
  <si>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</si>
  <si>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</si>
  <si>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</si>
  <si>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</si>
  <si>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</si>
  <si>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</si>
  <si>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</si>
  <si>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</si>
  <si>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</si>
  <si>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</si>
  <si>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</si>
  <si>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</si>
  <si>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</si>
  <si>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</si>
  <si>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</si>
  <si>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</si>
  <si>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</si>
  <si>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</si>
  <si>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</si>
  <si>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</si>
  <si>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</si>
  <si>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</si>
  <si>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</si>
  <si>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</si>
  <si>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</si>
  <si>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</si>
  <si>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</si>
  <si>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</si>
  <si>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</si>
  <si>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</si>
  <si>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</si>
  <si>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</si>
  <si>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</si>
  <si>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</si>
  <si>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</si>
  <si>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</si>
  <si>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</si>
  <si>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</si>
  <si>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</si>
  <si>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</si>
  <si>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</si>
  <si>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</si>
  <si>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</si>
  <si>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</si>
  <si>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</si>
  <si>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</si>
  <si>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</si>
  <si>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</si>
  <si>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</si>
  <si>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</si>
  <si>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</si>
  <si>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</si>
  <si>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</si>
  <si>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</si>
  <si>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</si>
  <si>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</si>
  <si>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</si>
  <si>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</si>
  <si>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</si>
  <si>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</si>
  <si>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</si>
  <si>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</si>
  <si>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</si>
  <si>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</si>
  <si>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</si>
  <si>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</si>
  <si>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</si>
  <si>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</si>
  <si>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</si>
  <si>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</si>
  <si>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</si>
  <si>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</si>
  <si>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</si>
  <si>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</si>
  <si>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</si>
  <si>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</si>
  <si>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</si>
  <si>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</si>
  <si>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</si>
  <si>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</si>
  <si>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</si>
  <si>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</si>
  <si>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</si>
  <si>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</si>
  <si>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</si>
  <si>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</si>
  <si>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</si>
  <si>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</si>
  <si>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</si>
  <si>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</si>
  <si>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</si>
  <si>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</si>
  <si>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</si>
  <si>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</si>
  <si>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</si>
  <si>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</si>
  <si>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</si>
  <si>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</si>
  <si>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</si>
  <si>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</si>
  <si>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</si>
  <si>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</si>
  <si>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</si>
  <si>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</si>
  <si>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</si>
  <si>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</si>
  <si>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</si>
  <si>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</si>
  <si>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</si>
  <si>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</si>
  <si>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</si>
  <si>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</si>
  <si>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</si>
  <si>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</si>
  <si>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</si>
  <si>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</si>
  <si>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</si>
  <si>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</si>
  <si>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</si>
  <si>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</si>
  <si>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</si>
  <si>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</si>
  <si>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</si>
  <si>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</si>
  <si>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</si>
  <si>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</si>
  <si>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</si>
  <si>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</si>
  <si>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</si>
  <si>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</si>
  <si>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</si>
  <si>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</si>
  <si>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</si>
  <si>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</si>
  <si>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</si>
  <si>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</si>
  <si>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</si>
  <si>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</si>
  <si>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</si>
  <si>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</si>
  <si>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</si>
  <si>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</si>
  <si>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</si>
  <si>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</si>
  <si>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</si>
  <si>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</si>
  <si>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</si>
  <si>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</si>
  <si>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</si>
  <si>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</si>
  <si>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</si>
  <si>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</si>
  <si>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</si>
  <si>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</si>
  <si>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</si>
  <si>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</si>
  <si>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</si>
  <si>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</si>
  <si>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</si>
  <si>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</si>
  <si>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</si>
  <si>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</si>
  <si>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</si>
  <si>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</si>
  <si>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</si>
  <si>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</si>
  <si>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</si>
  <si>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</si>
  <si>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</si>
  <si>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</si>
  <si>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</si>
  <si>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</si>
  <si>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</si>
  <si>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</si>
  <si>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</si>
  <si>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</si>
  <si>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</si>
  <si>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</si>
  <si>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</si>
  <si>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</si>
  <si>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</si>
  <si>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</si>
  <si>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</si>
  <si>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</si>
  <si>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</si>
  <si>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</si>
  <si>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</si>
  <si>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</si>
  <si>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</si>
  <si>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</si>
  <si>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</si>
  <si>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</si>
  <si>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</si>
  <si>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</si>
  <si>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</si>
  <si>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</si>
  <si>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</si>
  <si>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</si>
  <si>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</si>
  <si>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</si>
  <si>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</si>
  <si>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</si>
  <si>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</si>
  <si>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</si>
  <si>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</si>
  <si>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</si>
  <si>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</si>
  <si>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</si>
  <si>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</si>
  <si>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</si>
  <si>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</si>
  <si>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</si>
  <si>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</si>
  <si>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</si>
  <si>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</si>
  <si>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</si>
  <si>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</si>
  <si>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</si>
  <si>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</si>
  <si>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</si>
  <si>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</si>
  <si>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</si>
  <si>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</si>
  <si>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</si>
  <si>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</si>
  <si>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</si>
  <si>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</si>
  <si>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</si>
  <si>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</si>
  <si>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</si>
  <si>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</si>
  <si>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</si>
  <si>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</si>
  <si>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</si>
  <si>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</si>
  <si>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</si>
  <si>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</si>
  <si>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</si>
  <si>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</si>
  <si>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</si>
  <si>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</si>
  <si>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</si>
  <si>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</si>
  <si>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</si>
  <si>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</si>
  <si>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</si>
  <si>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</si>
  <si>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</si>
  <si>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</si>
  <si>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</si>
  <si>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</si>
  <si>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</si>
  <si>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</si>
  <si>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</si>
  <si>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</si>
  <si>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</si>
  <si>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</si>
  <si>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</si>
  <si>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</si>
  <si>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</si>
  <si>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</si>
  <si>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</si>
  <si>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</si>
  <si>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</si>
  <si>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</si>
  <si>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</si>
  <si>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</si>
  <si>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</si>
  <si>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</si>
  <si>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</si>
  <si>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</si>
  <si>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</si>
  <si>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</si>
  <si>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</si>
  <si>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</si>
  <si>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</si>
  <si>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</si>
  <si>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</si>
  <si>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</si>
  <si>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</si>
  <si>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</si>
  <si>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</si>
  <si>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</si>
  <si>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</si>
  <si>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</si>
  <si>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</si>
  <si>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</si>
  <si>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</si>
  <si>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</si>
  <si>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</si>
  <si>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</si>
  <si>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</si>
  <si>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</si>
  <si>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</si>
  <si>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</si>
  <si>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</si>
  <si>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</si>
  <si>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</si>
  <si>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</si>
  <si>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</si>
  <si>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</si>
  <si>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</si>
  <si>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</si>
  <si>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</si>
  <si>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</si>
  <si>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</si>
  <si>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</si>
  <si>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</si>
  <si>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</si>
  <si>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</si>
  <si>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</si>
  <si>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</si>
  <si>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</si>
  <si>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</si>
  <si>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</si>
  <si>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</si>
  <si>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</si>
  <si>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</si>
  <si>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</si>
  <si>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</si>
  <si>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</si>
  <si>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</si>
  <si>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</si>
  <si>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</si>
  <si>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</si>
  <si>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</si>
  <si>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</si>
  <si>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</si>
  <si>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</si>
  <si>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</si>
  <si>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</si>
  <si>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</si>
  <si>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</si>
  <si>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</si>
  <si>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</si>
  <si>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</si>
  <si>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</si>
  <si>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</si>
  <si>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</si>
  <si>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</si>
  <si>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</si>
  <si>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</si>
  <si>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</si>
  <si>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</si>
  <si>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</si>
  <si>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</si>
  <si>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</si>
  <si>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</si>
  <si>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</si>
  <si>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</si>
  <si>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</si>
  <si>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</si>
  <si>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</si>
  <si>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</si>
  <si>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</si>
  <si>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</si>
  <si>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</si>
  <si>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</si>
  <si>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</si>
  <si>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</si>
  <si>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</si>
  <si>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</si>
  <si>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</si>
  <si>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</si>
  <si>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</si>
  <si>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</si>
  <si>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</si>
  <si>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</si>
  <si>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</si>
  <si>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</si>
  <si>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</si>
  <si>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</si>
  <si>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</si>
  <si>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</si>
  <si>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</si>
  <si>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</si>
  <si>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</si>
  <si>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</si>
  <si>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</si>
  <si>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</si>
  <si>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</si>
  <si>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</si>
  <si>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</si>
  <si>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</si>
  <si>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</si>
  <si>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</si>
  <si>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</si>
  <si>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</si>
  <si>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</si>
  <si>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</si>
  <si>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</si>
  <si>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</si>
  <si>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</si>
  <si>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</si>
  <si>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</si>
  <si>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</si>
  <si>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</si>
  <si>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</si>
  <si>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</si>
  <si>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</si>
  <si>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</si>
  <si>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</si>
  <si>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</si>
  <si>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</si>
  <si>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</si>
  <si>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</si>
  <si>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</si>
  <si>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</si>
  <si>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</si>
  <si>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</si>
  <si>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</si>
  <si>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</si>
  <si>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</si>
  <si>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</si>
  <si>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</si>
  <si>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</si>
  <si>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</si>
  <si>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</si>
  <si>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</si>
  <si>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</si>
  <si>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</si>
  <si>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</si>
  <si>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</si>
  <si>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</si>
  <si>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</si>
  <si>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</si>
  <si>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</si>
  <si>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</si>
  <si>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</si>
  <si>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</si>
  <si>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</si>
  <si>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</si>
  <si>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</si>
  <si>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</si>
  <si>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</si>
  <si>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</si>
  <si>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</si>
  <si>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</si>
  <si>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</si>
  <si>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</si>
  <si>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</si>
  <si>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</si>
  <si>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</si>
  <si>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</si>
  <si>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</si>
  <si>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</si>
  <si>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</si>
  <si>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</si>
  <si>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</si>
  <si>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</si>
  <si>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</si>
  <si>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</si>
  <si>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</si>
  <si>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</si>
  <si>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</si>
  <si>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</si>
  <si>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</si>
  <si>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</si>
  <si>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</si>
  <si>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</si>
  <si>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</si>
  <si>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</si>
  <si>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</si>
  <si>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</si>
  <si>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</si>
  <si>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</si>
  <si>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</si>
  <si>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</si>
  <si>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</si>
  <si>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</si>
  <si>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</si>
  <si>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</si>
  <si>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</si>
  <si>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</si>
  <si>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</si>
  <si>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</si>
  <si>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</si>
  <si>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</si>
  <si>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</si>
  <si>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</si>
  <si>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</si>
  <si>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</si>
  <si>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</si>
  <si>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</si>
  <si>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</si>
  <si>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</si>
  <si>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</si>
  <si>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</si>
  <si>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</si>
  <si>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</si>
  <si>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</si>
  <si>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</si>
  <si>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</si>
  <si>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</si>
  <si>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</si>
  <si>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</si>
  <si>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</si>
  <si>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</si>
  <si>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</si>
  <si>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</si>
  <si>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</si>
  <si>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</si>
  <si>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</si>
  <si>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</si>
  <si>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</si>
  <si>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</si>
  <si>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</si>
  <si>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</si>
  <si>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</si>
  <si>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</si>
  <si>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</si>
  <si>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</si>
  <si>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</si>
  <si>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</si>
  <si>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</si>
  <si>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</si>
  <si>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</si>
  <si>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</si>
  <si>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</si>
  <si>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</si>
  <si>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</si>
  <si>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</si>
  <si>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</si>
  <si>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</si>
  <si>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</si>
  <si>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</si>
  <si>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</si>
  <si>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</si>
  <si>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</si>
  <si>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</si>
  <si>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</si>
  <si>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</si>
  <si>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</si>
  <si>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</si>
  <si>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</si>
  <si>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</si>
  <si>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</si>
  <si>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</si>
  <si>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</si>
  <si>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</si>
  <si>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</si>
  <si>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</si>
  <si>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</si>
  <si>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</si>
  <si>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</si>
  <si>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</si>
  <si>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</si>
  <si>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</si>
  <si>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</si>
  <si>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</si>
  <si>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</si>
  <si>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</si>
  <si>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</si>
  <si>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</si>
  <si>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</si>
  <si>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</si>
  <si>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</si>
  <si>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</si>
  <si>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</si>
  <si>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</si>
  <si>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</si>
  <si>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</si>
  <si>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</si>
  <si>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</si>
  <si>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</si>
  <si>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</si>
  <si>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</si>
  <si>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</si>
  <si>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</si>
  <si>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</si>
  <si>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</si>
  <si>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</si>
  <si>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</si>
  <si>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</si>
  <si>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</si>
  <si>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</si>
  <si>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</si>
  <si>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</si>
  <si>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</si>
  <si>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</si>
  <si>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</si>
  <si>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</si>
  <si>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</si>
  <si>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</si>
  <si>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</si>
  <si>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</si>
  <si>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</si>
  <si>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</si>
  <si>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</si>
  <si>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</si>
  <si>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</si>
  <si>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</si>
  <si>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</si>
  <si>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</si>
  <si>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</si>
  <si>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</si>
  <si>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</si>
  <si>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</si>
  <si>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</si>
  <si>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</si>
  <si>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</si>
  <si>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</si>
  <si>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</si>
  <si>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</si>
  <si>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</si>
  <si>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</si>
  <si>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</si>
  <si>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</si>
  <si>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</si>
  <si>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</si>
  <si>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</si>
  <si>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</si>
  <si>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</si>
  <si>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</si>
  <si>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</si>
  <si>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</si>
  <si>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</si>
  <si>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</si>
  <si>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</si>
  <si>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</si>
  <si>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</si>
  <si>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</si>
  <si>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</si>
  <si>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</si>
  <si>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</si>
  <si>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</si>
  <si>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</si>
  <si>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</si>
  <si>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</si>
  <si>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</si>
  <si>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</si>
  <si>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</si>
  <si>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</si>
  <si>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</si>
  <si>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</si>
  <si>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</si>
  <si>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</si>
  <si>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</si>
  <si>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</si>
  <si>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</si>
  <si>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</si>
  <si>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</si>
  <si>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</si>
  <si>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</si>
  <si>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</si>
  <si>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</si>
  <si>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</si>
  <si>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</si>
  <si>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</si>
  <si>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</si>
  <si>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</si>
  <si>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</si>
  <si>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</si>
  <si>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</si>
  <si>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</si>
  <si>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</si>
  <si>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</si>
  <si>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</si>
  <si>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</si>
  <si>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</si>
  <si>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</si>
  <si>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</si>
  <si>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</si>
  <si>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</si>
  <si>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</si>
  <si>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</si>
  <si>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</si>
  <si>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</si>
  <si>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</si>
  <si>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</si>
  <si>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</si>
  <si>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</si>
  <si>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</si>
  <si>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</si>
  <si>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Patricia</t>
  </si>
  <si>
    <t>NO. CLIENTE YA TIENE SOLUCIÓN.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</si>
</sst>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Normal="95" zoomScaleSheetLayoutView="100" workbookViewId="0">
      <selection activeCell="B13" sqref="B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5" t="s">
        <v>1</v>
      </c>
      <c r="F3" s="85"/>
      <c r="G3" s="85"/>
      <c r="H3" s="86"/>
      <c r="I3" s="86"/>
      <c r="J3" s="86"/>
      <c r="K3" s="86"/>
      <c r="L3" s="86"/>
    </row>
    <row r="5" spans="1:12" ht="18.75" x14ac:dyDescent="0.25">
      <c r="B5" s="87" t="s">
        <v>2</v>
      </c>
      <c r="C5" s="87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20250078</v>
      </c>
      <c r="G7" s="8">
        <f ca="1">TODAY()</f>
        <v>45769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95" t="s">
        <v>1320</v>
      </c>
      <c r="C13" s="94" t="s">
        <v>1453</v>
      </c>
      <c r="D13" s="94"/>
      <c r="E13" s="17"/>
      <c r="F13" s="18">
        <f>IFERROR(VLOOKUP($B13,Tarifa_all_20240711!$A$2:$G$660,5,FALSE()),"-")</f>
        <v>290.3175</v>
      </c>
      <c r="G13" s="18">
        <f t="shared" ref="G13:G30" si="0">IFERROR(E13*F13,"-")</f>
        <v>0</v>
      </c>
      <c r="H13" s="81">
        <f>G13*(1+$H$31)</f>
        <v>0</v>
      </c>
    </row>
    <row r="14" spans="1:12" x14ac:dyDescent="0.25">
      <c r="A14" t="s">
        <v>15</v>
      </c>
      <c r="B14" s="16" t="s">
        <v>980</v>
      </c>
      <c r="C14" s="83" t="str">
        <f>IFERROR(VLOOKUP($B14,Tarifa_all_20240711!$A$2:$G$660,2,FALSE()),"-")</f>
        <v>GUIA SKY PLUS DESMONT.LAC.6 ESP.2-4 MTS</v>
      </c>
      <c r="D14" s="83"/>
      <c r="E14" s="17">
        <v>3</v>
      </c>
      <c r="F14" s="18">
        <f>IFERROR(VLOOKUP($B14,Tarifa_all_20240711!$A$2:$G$660,5,FALSE()),"-")</f>
        <v>95.8125</v>
      </c>
      <c r="G14" s="18">
        <f t="shared" si="0"/>
        <v>287.4375</v>
      </c>
      <c r="H14" s="81">
        <f t="shared" ref="H14:H22" si="1">G14*(1+$H$31)</f>
        <v>301.80937499999999</v>
      </c>
    </row>
    <row r="15" spans="1:12" x14ac:dyDescent="0.25">
      <c r="A15" t="s">
        <v>16</v>
      </c>
      <c r="B15" s="16" t="s">
        <v>297</v>
      </c>
      <c r="C15" s="83" t="str">
        <f>IFERROR(VLOOKUP($B15,Tarifa_all_20240711!$A$2:$G$660,2,FALSE()),"-")</f>
        <v>KIT ANCLAJE TECHO PARA GUIA PLADUR PLUS DEMONTABLE</v>
      </c>
      <c r="D15" s="83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81">
        <f t="shared" si="1"/>
        <v>98.595000000000013</v>
      </c>
    </row>
    <row r="16" spans="1:12" x14ac:dyDescent="0.25">
      <c r="A16" t="s">
        <v>17</v>
      </c>
      <c r="B16" s="16" t="s">
        <v>566</v>
      </c>
      <c r="C16" s="83" t="str">
        <f>IFERROR(VLOOKUP($B16,Tarifa_all_20240711!$A$2:$G$660,2,FALSE()),"-")</f>
        <v>KIT AMORTIGUADOR SKY GUIA DESMONT. BIDIRECCIONAL 60KG</v>
      </c>
      <c r="D16" s="83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81">
        <f t="shared" si="1"/>
        <v>96.39</v>
      </c>
    </row>
    <row r="17" spans="1:9" x14ac:dyDescent="0.25">
      <c r="A17" t="s">
        <v>18</v>
      </c>
      <c r="B17" s="16" t="s">
        <v>134</v>
      </c>
      <c r="C17" s="83" t="str">
        <f>IFERROR(VLOOKUP($B17,Tarifa_all_20240711!$A$2:$G$660,2,FALSE()),"-")</f>
        <v>KIT PUERTA PA CORREDERA LAC.NEGRO TEXTURADO</v>
      </c>
      <c r="D17" s="83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81">
        <f t="shared" si="1"/>
        <v>679.31325000000015</v>
      </c>
    </row>
    <row r="18" spans="1:9" x14ac:dyDescent="0.25">
      <c r="A18" t="s">
        <v>19</v>
      </c>
      <c r="B18" s="16" t="s">
        <v>335</v>
      </c>
      <c r="C18" s="83" t="str">
        <f>IFERROR(VLOOKUP($B18,Tarifa_all_20240711!$A$2:$G$660,2,FALSE()),"-")</f>
        <v>CARRO SKY MADERA 60KG</v>
      </c>
      <c r="D18" s="83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81">
        <f t="shared" si="1"/>
        <v>52.400249999999993</v>
      </c>
    </row>
    <row r="19" spans="1:9" x14ac:dyDescent="0.25">
      <c r="A19" t="s">
        <v>20</v>
      </c>
      <c r="B19" s="16" t="s">
        <v>515</v>
      </c>
      <c r="C19" s="83" t="str">
        <f>IFERROR(VLOOKUP($B19,Tarifa_all_20240711!$A$2:$G$660,2,FALSE()),"-")</f>
        <v>TIRADOR RECT.ADH CAVE LAC.NEGRO TEXTURADO: 2 UDS</v>
      </c>
      <c r="D19" s="83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81">
        <f t="shared" si="1"/>
        <v>124.15725</v>
      </c>
    </row>
    <row r="20" spans="1:9" x14ac:dyDescent="0.25">
      <c r="A20" t="s">
        <v>21</v>
      </c>
      <c r="B20" s="16" t="s">
        <v>1136</v>
      </c>
      <c r="C20" s="83" t="str">
        <f>IFERROR(VLOOKUP($B20,Tarifa_all_20240711!$A$2:$G$660,2,FALSE()),"-")</f>
        <v>GUIADOR FIJO PA LAC.NEGRO TEXTURADO</v>
      </c>
      <c r="D20" s="83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81">
        <f t="shared" si="1"/>
        <v>27.121500000000001</v>
      </c>
    </row>
    <row r="21" spans="1:9" x14ac:dyDescent="0.25">
      <c r="A21" t="s">
        <v>22</v>
      </c>
      <c r="B21" s="76" t="s">
        <v>143</v>
      </c>
      <c r="C21" s="84" t="str">
        <f>IFERROR(VLOOKUP($B21,Tarifa_all_20240711!$A$2:$G$660,2,FALSE()),"-")</f>
        <v>PERFIL EMBELL.HORIZ. ADH LAC.NEGRO TEXTURADO</v>
      </c>
      <c r="D21" s="84"/>
      <c r="E21" s="77">
        <v>4</v>
      </c>
      <c r="F21" s="78">
        <f>IFERROR(VLOOKUP($B21,Tarifa_all_20240711!$A$2:$G$660,5,FALSE()),"-")</f>
        <v>21.794999999999998</v>
      </c>
      <c r="G21" s="78">
        <f t="shared" si="0"/>
        <v>87.179999999999993</v>
      </c>
      <c r="H21" s="81">
        <f t="shared" si="1"/>
        <v>91.539000000000001</v>
      </c>
    </row>
    <row r="22" spans="1:9" x14ac:dyDescent="0.25">
      <c r="B22" s="16" t="s">
        <v>328</v>
      </c>
      <c r="C22" s="83" t="str">
        <f>IFERROR(VLOOKUP($B22,Tarifa_all_20240711!$A$2:$G$660,2,FALSE()),"-")</f>
        <v>ARRASTRE PUERTA PA DCHA LAC.NEGRO MATE</v>
      </c>
      <c r="D22" s="83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81">
        <f t="shared" si="1"/>
        <v>29.106000000000002</v>
      </c>
    </row>
    <row r="23" spans="1:9" x14ac:dyDescent="0.25">
      <c r="B23" s="16"/>
      <c r="C23" s="83" t="str">
        <f>IFERROR(VLOOKUP($B23,Tarifa_all_20240711!$A$2:$G$660,2,FALSE()),"-")</f>
        <v>-</v>
      </c>
      <c r="D23" s="83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9" x14ac:dyDescent="0.25">
      <c r="B24" s="16"/>
      <c r="C24" s="83" t="str">
        <f>IFERROR(VLOOKUP($B24,Tarifa_all_20240711!$A$2:$G$660,2,FALSE()),"-")</f>
        <v>-</v>
      </c>
      <c r="D24" s="83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/>
      <c r="C25" s="83" t="str">
        <f>IFERROR(VLOOKUP($B25,Tarifa_all_20240711!$A$2:$G$660,2,FALSE()),"-")</f>
        <v>-</v>
      </c>
      <c r="D25" s="83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9" x14ac:dyDescent="0.25">
      <c r="B26" s="16"/>
      <c r="C26" s="83" t="str">
        <f>IFERROR(VLOOKUP($B26,Tarifa_all_20240711!$A$2:$G$660,2,FALSE()),"-")</f>
        <v>-</v>
      </c>
      <c r="D26" s="83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/>
      <c r="C27" s="83" t="str">
        <f>IFERROR(VLOOKUP($B27,Tarifa_all_20240711!$A$2:$G$660,2,FALSE()),"-")</f>
        <v>-</v>
      </c>
      <c r="D27" s="83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9" x14ac:dyDescent="0.25">
      <c r="B28" s="16"/>
      <c r="C28" s="83" t="str">
        <f>IFERROR(VLOOKUP($B28,Tarifa_all_20240711!$A$2:$G$660,2,FALSE()),"-")</f>
        <v>-</v>
      </c>
      <c r="D28" s="83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9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9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1428.9825000000001</v>
      </c>
      <c r="H31" s="79">
        <v>0.05</v>
      </c>
      <c r="I31" s="80">
        <f>G31*(1+H31)</f>
        <v>1500.4316250000002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2"/>
      <c r="E52" s="82"/>
      <c r="F52" s="82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colBreaks count="1" manualBreakCount="1">
    <brk id="7" max="36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5" t="s">
        <v>78</v>
      </c>
      <c r="F2" s="85"/>
      <c r="G2" s="85"/>
    </row>
    <row r="3" spans="1:7" ht="18" customHeight="1" x14ac:dyDescent="0.35">
      <c r="E3" s="85" t="s">
        <v>1</v>
      </c>
      <c r="F3" s="85"/>
      <c r="G3" s="8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79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3" t="str">
        <f>'DESPIECE (MATANALYSIS)'!C8</f>
        <v>Duritia Bany</v>
      </c>
      <c r="C9" s="93"/>
      <c r="D9" s="93"/>
      <c r="F9" s="3" t="s">
        <v>81</v>
      </c>
      <c r="G9" s="44">
        <f ca="1">TODAY()</f>
        <v>45769</v>
      </c>
    </row>
    <row r="10" spans="1:7" x14ac:dyDescent="0.25">
      <c r="A10" s="3" t="s">
        <v>82</v>
      </c>
      <c r="B10" s="11" t="str">
        <f>'DESPIECE (MATANALYSIS)'!C9</f>
        <v>Patricia</v>
      </c>
      <c r="C10" s="45"/>
      <c r="D10" s="45"/>
      <c r="E10" s="46"/>
      <c r="F10" s="47" t="s">
        <v>83</v>
      </c>
      <c r="G10" s="7">
        <f>'DESPIECE (MATANALYSIS)'!C7</f>
        <v>20250078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8"/>
      <c r="B46" s="88"/>
      <c r="C46" s="71"/>
      <c r="D46" s="71"/>
      <c r="E46" s="71"/>
      <c r="F46" s="72"/>
      <c r="G46" s="73"/>
    </row>
    <row r="47" spans="1:7" ht="22.7" customHeight="1" x14ac:dyDescent="0.25">
      <c r="A47" s="89" t="s">
        <v>99</v>
      </c>
      <c r="B47" s="89"/>
      <c r="C47" s="59"/>
      <c r="D47" s="59"/>
      <c r="E47" s="59"/>
      <c r="F47" s="90">
        <f>'DESPIECE (MATANALYSIS)'!G31</f>
        <v>1428.9825000000001</v>
      </c>
      <c r="G47" s="90"/>
    </row>
    <row r="48" spans="1:7" s="1" customFormat="1" ht="22.7" customHeight="1" x14ac:dyDescent="0.25">
      <c r="A48" s="91" t="s">
        <v>100</v>
      </c>
      <c r="B48" s="91"/>
      <c r="C48" s="91"/>
      <c r="D48" s="91"/>
      <c r="E48" s="91"/>
      <c r="F48" s="91"/>
      <c r="G48" s="91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2025-04-22T13:48:19Z</dcterms:modified>
  <dc:language>es-ES</dc:language>
</cp:coreProperties>
</file>