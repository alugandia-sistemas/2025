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38\calculos\1\"/>
    </mc:Choice>
  </mc:AlternateContent>
  <xr:revisionPtr revIDLastSave="0" documentId="13_ncr:1_{551AB619-2E38-4957-81E3-0DA198678736}" xr6:coauthVersionLast="47" xr6:coauthVersionMax="47" xr10:uidLastSave="{00000000-0000-0000-0000-000000000000}"/>
  <bookViews>
    <workbookView xWindow="-28905" yWindow="0" windowWidth="14505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10" i="2"/>
  <c r="G10" i="2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B33" i="2" l="1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<sst xmlns="http://schemas.openxmlformats.org/spreadsheetml/2006/main" count="5401" uniqueCount="1453">
  <si>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</si>
  <si>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</si>
  <si>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</si>
  <si>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</si>
  <si>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</si>
  <si>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</si>
  <si>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</si>
  <si>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</si>
  <si>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</si>
  <si>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</si>
  <si>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</si>
  <si>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</si>
  <si>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</si>
  <si>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</si>
  <si>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</si>
  <si>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</si>
  <si>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</si>
  <si>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</si>
  <si>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</si>
  <si>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</si>
  <si>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</si>
  <si>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</si>
  <si>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</si>
  <si>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</si>
  <si>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</si>
  <si>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</si>
  <si>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</si>
  <si>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</si>
  <si>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</si>
  <si>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</si>
  <si>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</si>
  <si>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</si>
  <si>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</si>
  <si>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</si>
  <si>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</si>
  <si>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</si>
  <si>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</si>
  <si>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</si>
  <si>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</si>
  <si>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</si>
  <si>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</si>
  <si>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</si>
  <si>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</si>
  <si>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</si>
  <si>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</si>
  <si>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</si>
  <si>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</si>
  <si>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</si>
  <si>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</si>
  <si>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</si>
  <si>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</si>
  <si>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</si>
  <si>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</si>
  <si>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</si>
  <si>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</si>
  <si>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</si>
  <si>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</si>
  <si>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</si>
  <si>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</si>
  <si>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</si>
  <si>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</si>
  <si>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</si>
  <si>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</si>
  <si>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</si>
  <si>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</si>
  <si>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</si>
  <si>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</si>
  <si>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</si>
  <si>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</si>
  <si>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</si>
  <si>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</si>
  <si>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</si>
  <si>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</si>
  <si>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</si>
  <si>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</si>
  <si>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</si>
  <si>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</si>
  <si>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</si>
  <si>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</si>
  <si>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</si>
  <si>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</si>
  <si>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</si>
  <si>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</si>
  <si>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</si>
  <si>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</si>
  <si>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</si>
  <si>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</si>
  <si>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</si>
  <si>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</si>
  <si>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</si>
  <si>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</si>
  <si>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</si>
  <si>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</si>
  <si>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</si>
  <si>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</si>
  <si>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</si>
  <si>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</si>
  <si>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</si>
  <si>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</si>
  <si>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</si>
  <si>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</si>
  <si>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</si>
  <si>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</si>
  <si>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</si>
  <si>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</si>
  <si>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</si>
  <si>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</si>
  <si>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</si>
  <si>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</si>
  <si>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</si>
  <si>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</si>
  <si>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</si>
  <si>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</si>
  <si>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</si>
  <si>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</si>
  <si>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</si>
  <si>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</si>
  <si>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</si>
  <si>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</si>
  <si>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</si>
  <si>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</si>
  <si>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</si>
  <si>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</si>
  <si>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</si>
  <si>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</si>
  <si>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</si>
  <si>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</si>
  <si>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</si>
  <si>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</si>
  <si>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</si>
  <si>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</si>
  <si>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</si>
  <si>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</si>
  <si>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</si>
  <si>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</si>
  <si>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</si>
  <si>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</si>
  <si>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</si>
  <si>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</si>
  <si>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</si>
  <si>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</si>
  <si>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</si>
  <si>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</si>
  <si>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</si>
  <si>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</si>
  <si>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</si>
  <si>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</si>
  <si>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</si>
  <si>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</si>
  <si>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</si>
  <si>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</si>
  <si>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</si>
  <si>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</si>
  <si>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</si>
  <si>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</si>
  <si>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</si>
  <si>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</si>
  <si>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</si>
  <si>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</si>
  <si>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</si>
  <si>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</si>
  <si>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</si>
  <si>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</si>
  <si>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</si>
  <si>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</si>
  <si>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</si>
  <si>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</si>
  <si>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</si>
  <si>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</si>
  <si>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</si>
  <si>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</si>
  <si>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</si>
  <si>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</si>
  <si>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</si>
  <si>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</si>
  <si>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</si>
  <si>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</si>
  <si>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</si>
  <si>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</si>
  <si>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</si>
  <si>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</si>
  <si>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</si>
  <si>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</si>
  <si>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</si>
  <si>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</si>
  <si>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</si>
  <si>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</si>
  <si>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</si>
  <si>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</si>
  <si>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</si>
  <si>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</si>
  <si>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</si>
  <si>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</si>
  <si>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</si>
  <si>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</si>
  <si>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</si>
  <si>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</si>
  <si>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</si>
  <si>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</si>
  <si>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</si>
  <si>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</si>
  <si>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</si>
  <si>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</si>
  <si>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</si>
  <si>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</si>
  <si>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</si>
  <si>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</si>
  <si>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</si>
  <si>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</si>
  <si>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</si>
  <si>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</si>
  <si>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</si>
  <si>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</si>
  <si>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</si>
  <si>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</si>
  <si>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</si>
  <si>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</si>
  <si>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</si>
  <si>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</si>
  <si>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</si>
  <si>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</si>
  <si>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</si>
  <si>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</si>
  <si>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</si>
  <si>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</si>
  <si>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</si>
  <si>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</si>
  <si>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</si>
  <si>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</si>
  <si>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</si>
  <si>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</si>
  <si>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</si>
  <si>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</si>
  <si>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</si>
  <si>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</si>
  <si>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</si>
  <si>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</si>
  <si>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</si>
  <si>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</si>
  <si>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</si>
  <si>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</si>
  <si>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</si>
  <si>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</si>
  <si>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</si>
  <si>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</si>
  <si>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</si>
  <si>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</si>
  <si>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</si>
  <si>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</si>
  <si>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</si>
  <si>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</si>
  <si>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</si>
  <si>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</si>
  <si>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</si>
  <si>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</si>
  <si>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</si>
  <si>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</si>
  <si>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</si>
  <si>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</si>
  <si>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</si>
  <si>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</si>
  <si>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</si>
  <si>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</si>
  <si>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</si>
  <si>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</si>
  <si>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</si>
  <si>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</si>
  <si>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</si>
  <si>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</si>
  <si>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</si>
  <si>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</si>
  <si>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</si>
  <si>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</si>
  <si>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</si>
  <si>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</si>
  <si>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</si>
  <si>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</si>
  <si>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</si>
  <si>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</si>
  <si>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</si>
  <si>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</si>
  <si>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</si>
  <si>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</si>
  <si>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</si>
  <si>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</si>
  <si>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</si>
  <si>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</si>
  <si>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</si>
  <si>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</si>
  <si>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</si>
  <si>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</si>
  <si>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</si>
  <si>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</si>
  <si>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</si>
  <si>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</si>
  <si>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</si>
  <si>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</si>
  <si>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</si>
  <si>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</si>
  <si>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</si>
  <si>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</si>
  <si>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</si>
  <si>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</si>
  <si>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</si>
  <si>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</si>
  <si>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</si>
  <si>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</si>
  <si>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</si>
  <si>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</si>
  <si>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</si>
  <si>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</si>
  <si>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</si>
  <si>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</si>
  <si>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</si>
  <si>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</si>
  <si>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</si>
  <si>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</si>
  <si>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</si>
  <si>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</si>
  <si>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</si>
  <si>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</si>
  <si>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</si>
  <si>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</si>
  <si>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</si>
  <si>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</si>
  <si>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</si>
  <si>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</si>
  <si>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</si>
  <si>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</si>
  <si>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</si>
  <si>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</si>
  <si>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</si>
  <si>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</si>
  <si>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</si>
  <si>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</si>
  <si>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</si>
  <si>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</si>
  <si>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</si>
  <si>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</si>
  <si>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</si>
  <si>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</si>
  <si>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</si>
  <si>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</si>
  <si>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</si>
  <si>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</si>
  <si>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</si>
  <si>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</si>
  <si>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</si>
  <si>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</si>
  <si>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</si>
  <si>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</si>
  <si>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</si>
  <si>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</si>
  <si>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</si>
  <si>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</si>
  <si>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</si>
  <si>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</si>
  <si>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</si>
  <si>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</si>
  <si>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</si>
  <si>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</si>
  <si>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</si>
  <si>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</si>
  <si>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</si>
  <si>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</si>
  <si>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</si>
  <si>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</si>
  <si>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</si>
  <si>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</si>
  <si>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</si>
  <si>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</si>
  <si>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</si>
  <si>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</si>
  <si>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</si>
  <si>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</si>
  <si>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</si>
  <si>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</si>
  <si>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</si>
  <si>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</si>
  <si>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</si>
  <si>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</si>
  <si>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</si>
  <si>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</si>
  <si>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</si>
  <si>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</si>
  <si>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</si>
  <si>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</si>
  <si>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</si>
  <si>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</si>
  <si>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</si>
  <si>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</si>
  <si>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</si>
  <si>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</si>
  <si>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</si>
  <si>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</si>
  <si>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</si>
  <si>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</si>
  <si>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</si>
  <si>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</si>
  <si>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</si>
  <si>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</si>
  <si>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</si>
  <si>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</si>
  <si>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</si>
  <si>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</si>
  <si>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</si>
  <si>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</si>
  <si>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</si>
  <si>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</si>
  <si>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</si>
  <si>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</si>
  <si>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</si>
  <si>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</si>
  <si>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</si>
  <si>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</si>
  <si>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</si>
  <si>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</si>
  <si>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</si>
  <si>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</si>
  <si>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</si>
  <si>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</si>
  <si>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</si>
  <si>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</si>
  <si>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</si>
  <si>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</si>
  <si>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</si>
  <si>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</si>
  <si>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</si>
  <si>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</si>
  <si>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</si>
  <si>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</si>
  <si>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</si>
  <si>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</si>
  <si>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</si>
  <si>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</si>
  <si>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</si>
  <si>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</si>
  <si>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</si>
  <si>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</si>
  <si>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</si>
  <si>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</si>
  <si>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</si>
  <si>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</si>
  <si>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</si>
  <si>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</si>
  <si>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</si>
  <si>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</si>
  <si>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</si>
  <si>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</si>
  <si>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</si>
  <si>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</si>
  <si>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</si>
  <si>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</si>
  <si>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</si>
  <si>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</si>
  <si>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</si>
  <si>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</si>
  <si>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</si>
  <si>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</si>
  <si>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</si>
  <si>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</si>
  <si>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</si>
  <si>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</si>
  <si>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</si>
  <si>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</si>
  <si>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</si>
  <si>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</si>
  <si>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</si>
  <si>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</si>
  <si>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</si>
  <si>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</si>
  <si>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</si>
  <si>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</si>
  <si>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</si>
  <si>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</si>
  <si>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</si>
  <si>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</si>
  <si>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</si>
  <si>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</si>
  <si>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</si>
  <si>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</si>
  <si>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</si>
  <si>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</si>
  <si>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</si>
  <si>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</si>
  <si>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</si>
  <si>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</si>
  <si>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</si>
  <si>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</si>
  <si>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</si>
  <si>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</si>
  <si>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</si>
  <si>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</si>
  <si>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</si>
  <si>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</si>
  <si>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</si>
  <si>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</si>
  <si>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</si>
  <si>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</si>
  <si>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</si>
  <si>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</si>
  <si>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</si>
  <si>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</si>
  <si>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</si>
  <si>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</si>
  <si>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</si>
  <si>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</si>
  <si>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</si>
  <si>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</si>
  <si>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</si>
  <si>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</si>
  <si>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</si>
  <si>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</si>
  <si>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</si>
  <si>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</si>
  <si>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</si>
  <si>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</si>
  <si>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</si>
  <si>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</si>
  <si>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</si>
  <si>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</si>
  <si>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</si>
  <si>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</si>
  <si>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</si>
  <si>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</si>
  <si>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</si>
  <si>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</si>
  <si>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</si>
  <si>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</si>
  <si>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</si>
  <si>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</si>
  <si>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</si>
  <si>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</si>
  <si>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</si>
  <si>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</si>
  <si>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</si>
  <si>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</si>
  <si>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</si>
  <si>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</si>
  <si>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</si>
  <si>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</si>
  <si>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</si>
  <si>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</si>
  <si>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</si>
  <si>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</si>
  <si>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</si>
  <si>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</si>
  <si>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</si>
  <si>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</si>
  <si>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</si>
  <si>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</si>
  <si>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</si>
  <si>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</si>
  <si>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</si>
  <si>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</si>
  <si>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</si>
  <si>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</si>
  <si>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</si>
  <si>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</si>
  <si>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</si>
  <si>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</si>
  <si>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</si>
  <si>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</si>
  <si>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</si>
  <si>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</si>
  <si>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</si>
  <si>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</si>
  <si>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</si>
  <si>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</si>
  <si>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</si>
  <si>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</si>
  <si>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</si>
  <si>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</si>
  <si>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</si>
  <si>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</si>
  <si>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</si>
  <si>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</si>
  <si>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</si>
  <si>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</si>
  <si>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</si>
  <si>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</si>
  <si>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</si>
  <si>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</si>
  <si>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</si>
  <si>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</si>
  <si>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</si>
  <si>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</si>
  <si>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</si>
  <si>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</si>
  <si>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</si>
  <si>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</si>
  <si>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</si>
  <si>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</si>
  <si>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</si>
  <si>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</si>
  <si>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</si>
  <si>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</si>
  <si>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</si>
  <si>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</si>
  <si>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</si>
  <si>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</si>
  <si>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</si>
  <si>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</si>
  <si>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</si>
  <si>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</si>
  <si>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</si>
  <si>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</si>
  <si>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</si>
  <si>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</si>
  <si>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</si>
  <si>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</si>
  <si>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</si>
  <si>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</si>
  <si>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</si>
  <si>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</si>
  <si>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</si>
  <si>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</si>
  <si>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</si>
  <si>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</si>
  <si>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</si>
  <si>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</si>
  <si>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</si>
  <si>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</si>
  <si>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</si>
  <si>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</si>
  <si>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</si>
  <si>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</si>
  <si>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</si>
  <si>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</si>
  <si>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</si>
  <si>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</si>
  <si>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</si>
  <si>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</si>
  <si>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</si>
  <si>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</si>
  <si>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</si>
  <si>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</si>
  <si>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</si>
  <si>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</si>
  <si>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</si>
  <si>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</si>
  <si>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</si>
  <si>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</si>
  <si>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</si>
  <si>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</si>
  <si>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</si>
  <si>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</si>
  <si>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</si>
  <si>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</si>
  <si>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</si>
  <si>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</si>
  <si>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</si>
  <si>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</si>
  <si>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</si>
  <si>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</si>
  <si>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</si>
  <si>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</si>
  <si>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</si>
  <si>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</si>
  <si>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</si>
  <si>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</si>
  <si>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</si>
  <si>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</si>
  <si>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</si>
  <si>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</si>
  <si>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</si>
  <si>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</si>
  <si>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</si>
  <si>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</si>
  <si>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</si>
  <si>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</si>
  <si>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</si>
  <si>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</si>
  <si>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</si>
  <si>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</si>
  <si>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</si>
  <si>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</si>
  <si>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</si>
  <si>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</si>
  <si>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</si>
  <si>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</si>
  <si>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</si>
  <si>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</si>
  <si>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</si>
  <si>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</si>
  <si>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</si>
  <si>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</si>
  <si>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</si>
  <si>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</si>
  <si>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</si>
  <si>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</si>
  <si>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</si>
  <si>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</si>
  <si>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</si>
  <si>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</si>
  <si>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</si>
  <si>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</si>
  <si>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</si>
  <si>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</si>
  <si>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</si>
  <si>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</si>
  <si>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</si>
  <si>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</si>
  <si>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</si>
  <si>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</si>
  <si>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</si>
  <si>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</si>
  <si>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</si>
  <si>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</si>
  <si>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</si>
  <si>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</si>
  <si>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</si>
  <si>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</si>
  <si>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</si>
  <si>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</si>
  <si>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</si>
  <si>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</si>
  <si>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</si>
  <si>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</si>
  <si>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</si>
  <si>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</si>
  <si>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</si>
  <si>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</si>
  <si>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</si>
  <si>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</si>
  <si>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</si>
  <si>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</si>
  <si>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</si>
  <si>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</si>
  <si>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</si>
  <si>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</si>
  <si>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</si>
  <si>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</si>
  <si>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</si>
  <si>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</si>
  <si>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</si>
  <si>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</si>
  <si>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</si>
  <si>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</si>
  <si>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</si>
  <si>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</si>
  <si>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</si>
  <si>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</si>
  <si>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</si>
  <si>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</si>
  <si>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</si>
  <si>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</si>
  <si>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</si>
  <si>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</si>
  <si>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</si>
  <si>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</si>
  <si>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</si>
  <si>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</si>
  <si>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</si>
  <si>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</si>
  <si>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</si>
  <si>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</si>
  <si>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</si>
  <si>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</si>
  <si>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</si>
  <si>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</si>
  <si>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</si>
  <si>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</si>
  <si>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</si>
  <si>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</si>
  <si>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</si>
  <si>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</si>
  <si>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</si>
  <si>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</si>
  <si>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</si>
  <si>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</si>
  <si>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</si>
  <si>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</si>
  <si>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</si>
  <si>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</si>
  <si>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</si>
  <si>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</si>
  <si>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</si>
  <si>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</si>
  <si>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</si>
  <si>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</si>
  <si>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</si>
  <si>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</si>
  <si>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</si>
  <si>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</si>
  <si>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</si>
  <si>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</si>
  <si>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</si>
  <si>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</si>
  <si>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</si>
  <si>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</si>
  <si>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</si>
  <si>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</si>
  <si>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</si>
  <si>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</si>
  <si>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</si>
  <si>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</si>
  <si>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</si>
  <si>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</si>
  <si>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</si>
  <si>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</si>
  <si>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</si>
  <si>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</si>
  <si>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</si>
  <si>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</si>
  <si>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</si>
  <si>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</si>
  <si>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</si>
  <si>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</si>
  <si>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</si>
  <si>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</si>
  <si>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</si>
  <si>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</si>
  <si>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</si>
  <si>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</si>
  <si>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</si>
  <si>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</si>
  <si>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</si>
  <si>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</si>
  <si>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</si>
  <si>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</si>
  <si>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</si>
  <si>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</si>
  <si>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</si>
  <si>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</si>
  <si>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</si>
  <si>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</si>
  <si>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</si>
  <si>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</si>
  <si>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</si>
  <si>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</si>
  <si>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</si>
  <si>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</si>
  <si>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</si>
  <si>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</si>
  <si>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</si>
  <si>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</si>
  <si>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</si>
  <si>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</si>
  <si>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</si>
  <si>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</si>
  <si>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</si>
  <si>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</si>
  <si>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</si>
  <si>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</si>
  <si>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</si>
  <si>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</si>
  <si>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</si>
  <si>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</si>
  <si>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</si>
  <si>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</si>
  <si>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</si>
  <si>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</si>
  <si>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</si>
  <si>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</si>
  <si>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</si>
  <si>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</si>
  <si>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</si>
  <si>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</si>
  <si>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</si>
  <si>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</si>
  <si>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</si>
  <si>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</si>
  <si>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</si>
  <si>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</si>
  <si>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</si>
  <si>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</si>
  <si>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</si>
  <si>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</si>
  <si>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</si>
  <si>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</si>
  <si>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</si>
  <si>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</si>
  <si>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</si>
  <si>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</si>
  <si>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</si>
  <si>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</si>
  <si>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</si>
  <si>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</si>
  <si>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</si>
  <si>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</si>
  <si>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</si>
  <si>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</si>
  <si>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</si>
  <si>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</si>
  <si>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</si>
  <si>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</si>
  <si>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</si>
  <si>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</si>
  <si>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</si>
  <si>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</si>
  <si>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</si>
  <si>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</si>
  <si>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</si>
  <si>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</si>
  <si>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</si>
  <si>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</si>
  <si>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</si>
  <si>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</si>
  <si>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</si>
  <si>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</si>
  <si>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</si>
  <si>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</si>
  <si>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</si>
  <si>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</si>
  <si>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</si>
  <si>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</si>
  <si>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</si>
  <si>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</si>
  <si>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</si>
  <si>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</si>
  <si>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</si>
  <si>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</si>
  <si>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</si>
  <si>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</si>
  <si>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</si>
  <si>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</si>
  <si>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</si>
  <si>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</si>
  <si>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</si>
  <si>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</si>
  <si>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</si>
  <si>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</si>
  <si>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</si>
  <si>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</si>
  <si>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</si>
  <si>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</si>
  <si>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</si>
  <si>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</si>
  <si>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</si>
  <si>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</si>
  <si>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</si>
  <si>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</si>
  <si>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</si>
  <si>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</si>
  <si>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</si>
  <si>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</si>
  <si>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</si>
  <si>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</si>
  <si>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</si>
  <si>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</si>
  <si>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</si>
  <si>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</si>
  <si>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</si>
  <si>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</si>
  <si>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</si>
  <si>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</si>
  <si>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</si>
  <si>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</si>
  <si>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</si>
  <si>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</si>
  <si>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</si>
  <si>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</si>
  <si>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</si>
  <si>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</si>
  <si>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</si>
  <si>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</si>
  <si>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</si>
  <si>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</si>
  <si>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</si>
  <si>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</si>
  <si>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</si>
  <si>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</si>
  <si>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</si>
  <si>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</si>
  <si>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</si>
  <si>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</si>
  <si>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</si>
  <si>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</si>
  <si>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</si>
  <si>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</si>
  <si>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</si>
  <si>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</si>
  <si>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</si>
  <si>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</si>
  <si>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</si>
  <si>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</si>
  <si>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</si>
  <si>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</si>
  <si>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</si>
  <si>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</si>
  <si>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</si>
  <si>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</si>
  <si>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</si>
  <si>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</si>
  <si>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</si>
  <si>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</si>
  <si>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</si>
  <si>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</si>
  <si>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</si>
  <si>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</si>
  <si>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</si>
  <si>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</si>
  <si>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</si>
  <si>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</si>
  <si>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</si>
  <si>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</si>
  <si>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</si>
  <si>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</si>
  <si>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</si>
  <si>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</si>
  <si>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</si>
  <si>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</si>
  <si>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</si>
  <si>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</si>
  <si>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</si>
  <si>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</si>
  <si>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</si>
  <si>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</si>
  <si>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</si>
  <si>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</si>
  <si>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</si>
  <si>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</si>
  <si>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</si>
  <si>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</si>
  <si>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</si>
  <si>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</si>
  <si>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</si>
  <si>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</si>
  <si>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</si>
  <si>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</si>
  <si>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</si>
  <si>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</si>
  <si>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</si>
  <si>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</si>
  <si>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</si>
  <si>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</si>
  <si>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</si>
  <si>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</si>
  <si>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</si>
  <si>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</si>
  <si>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</si>
  <si>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</si>
  <si>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</si>
  <si>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</si>
  <si>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</si>
  <si>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</si>
  <si>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</si>
  <si>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</si>
  <si>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</si>
  <si>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</si>
  <si>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</si>
  <si>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</si>
  <si>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</si>
  <si>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</si>
  <si>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</si>
  <si>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</si>
  <si>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</si>
  <si>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</si>
  <si>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</si>
  <si>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</si>
  <si>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</si>
  <si>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</si>
  <si>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</si>
  <si>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</si>
  <si>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</si>
  <si>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</si>
  <si>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</si>
  <si>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</si>
  <si>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</si>
  <si>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</si>
  <si>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</si>
  <si>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</si>
  <si>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</si>
  <si>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</si>
  <si>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</si>
  <si>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</si>
  <si>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</si>
  <si>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</si>
  <si>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</si>
  <si>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</si>
  <si>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</si>
  <si>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</si>
  <si>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</si>
  <si>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</si>
  <si>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</si>
  <si>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</si>
  <si>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</si>
  <si>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</si>
  <si>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</si>
  <si>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</si>
  <si>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</si>
  <si>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</si>
  <si>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</si>
  <si>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</si>
  <si>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</si>
  <si>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</si>
  <si>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</si>
  <si>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</si>
  <si>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</si>
  <si>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</si>
  <si>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</si>
  <si>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</si>
  <si>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</si>
  <si>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</si>
  <si>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</si>
  <si>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</si>
  <si>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</si>
  <si>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</si>
  <si>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</si>
  <si>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</si>
  <si>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</si>
  <si>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</si>
  <si>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</si>
  <si>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</si>
  <si>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</si>
  <si>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</si>
  <si>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</si>
  <si>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</si>
  <si>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</si>
  <si>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</si>
  <si>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</si>
  <si>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</si>
  <si>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</si>
  <si>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</si>
  <si>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</si>
  <si>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</si>
  <si>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</si>
  <si>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</si>
  <si>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</si>
  <si>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</si>
  <si>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</si>
  <si>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</si>
  <si>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</si>
  <si>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</si>
  <si>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</si>
  <si>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</si>
  <si>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</si>
  <si>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</si>
  <si>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</si>
  <si>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</si>
  <si>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</si>
  <si>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</si>
  <si>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</si>
  <si>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</si>
  <si>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</si>
  <si>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</si>
  <si>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</si>
  <si>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</si>
  <si>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</si>
  <si>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</si>
  <si>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</si>
  <si>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</si>
  <si>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</si>
  <si>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</si>
  <si>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</si>
  <si>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</si>
  <si>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</si>
  <si>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</si>
  <si>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</si>
  <si>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</si>
  <si>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</si>
  <si>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</si>
  <si>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</si>
  <si>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</si>
  <si>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</si>
  <si>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</si>
  <si>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</si>
  <si>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</si>
  <si>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</si>
  <si>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</si>
  <si>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</si>
  <si>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</si>
  <si>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</si>
  <si>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</si>
  <si>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</si>
  <si>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</si>
  <si>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</si>
  <si>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</si>
  <si>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</si>
  <si>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</si>
  <si>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</si>
  <si>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</si>
  <si>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</si>
  <si>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</si>
  <si>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</si>
  <si>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</si>
  <si>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</si>
  <si>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</si>
  <si>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</si>
  <si>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</si>
  <si>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</si>
  <si>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</si>
  <si>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</si>
  <si>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</si>
  <si>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</si>
  <si>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</si>
  <si>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</si>
  <si>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</si>
  <si>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</si>
  <si>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</si>
  <si>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</si>
  <si>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</si>
  <si>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</si>
  <si>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</si>
  <si>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</si>
  <si>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</si>
  <si>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</si>
  <si>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</si>
  <si>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</si>
  <si>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</si>
  <si>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</si>
  <si>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</si>
  <si>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</si>
  <si>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</si>
  <si>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</si>
  <si>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</si>
  <si>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</si>
  <si>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</si>
  <si>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</si>
  <si>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</si>
  <si>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</si>
  <si>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</si>
  <si>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</si>
  <si>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</si>
  <si>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</si>
  <si>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</si>
  <si>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</si>
  <si>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</si>
  <si>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</si>
  <si>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</si>
  <si>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</si>
  <si>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</si>
  <si>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</si>
  <si>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</si>
  <si>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</si>
  <si>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</si>
  <si>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</si>
  <si>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</si>
  <si>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</si>
  <si>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</si>
  <si>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</si>
  <si>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</si>
  <si>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</si>
  <si>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</si>
  <si>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</si>
  <si>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</si>
  <si>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</si>
  <si>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</si>
  <si>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</si>
  <si>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</si>
  <si>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</si>
  <si>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</si>
  <si>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</si>
  <si>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</si>
  <si>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</si>
  <si>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</si>
  <si>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</si>
  <si>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</si>
  <si>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</si>
  <si>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</si>
  <si>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</si>
  <si>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</si>
  <si>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</si>
  <si>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</si>
  <si>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</si>
  <si>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</si>
  <si>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</si>
  <si>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</si>
  <si>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</si>
  <si>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</si>
  <si>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</si>
  <si>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</si>
  <si>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</si>
  <si>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</si>
  <si>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</si>
  <si>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</si>
  <si>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</si>
  <si>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</si>
  <si>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</si>
  <si>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</si>
  <si>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</si>
  <si>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</si>
  <si>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</si>
  <si>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</si>
  <si>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</si>
  <si>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</si>
  <si>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</si>
  <si>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</si>
  <si>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</si>
  <si>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</si>
  <si>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</si>
  <si>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</si>
  <si>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</si>
  <si>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</si>
  <si>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</si>
  <si>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</si>
  <si>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</si>
  <si>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</si>
  <si>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</si>
  <si>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</si>
  <si>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</si>
  <si>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</si>
  <si>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</si>
  <si>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</si>
  <si>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</si>
  <si>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</si>
  <si>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</si>
  <si>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</si>
  <si>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</si>
  <si>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</si>
  <si>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</si>
  <si>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</si>
  <si>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</si>
  <si>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</si>
  <si>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</si>
  <si>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</si>
  <si>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</si>
  <si>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</si>
  <si>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</si>
  <si>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</si>
  <si>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</si>
  <si>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</si>
  <si>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</si>
  <si>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</si>
  <si>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</si>
  <si>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</si>
  <si>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</si>
  <si>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</si>
  <si>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</si>
  <si>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</si>
  <si>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</si>
  <si>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</si>
  <si>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</si>
  <si>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</si>
  <si>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</si>
  <si>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</si>
  <si>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</si>
  <si>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</si>
  <si>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</si>
  <si>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</si>
  <si>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</si>
  <si>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</si>
  <si>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</si>
  <si>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</si>
  <si>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</si>
  <si>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</si>
  <si>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</si>
  <si>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</si>
  <si>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</si>
  <si>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</si>
  <si>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</si>
  <si>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</si>
  <si>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</si>
  <si>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</si>
  <si>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</si>
  <si>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</si>
  <si>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</si>
  <si>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</si>
  <si>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</si>
  <si>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</si>
  <si>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</si>
  <si>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</si>
  <si>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</si>
  <si>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</si>
  <si>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</si>
  <si>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</si>
  <si>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</si>
  <si>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</si>
  <si>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</si>
  <si>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</si>
  <si>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</si>
  <si>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</si>
  <si>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</si>
  <si>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</si>
  <si>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</si>
  <si>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</si>
  <si>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</si>
  <si>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</si>
  <si>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</si>
  <si>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</si>
  <si>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</si>
  <si>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</si>
  <si>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</si>
  <si>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</si>
  <si>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</si>
  <si>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</si>
  <si>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</si>
  <si>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</si>
  <si>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</si>
  <si>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</si>
  <si>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</si>
  <si>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</si>
  <si>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</si>
  <si>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</si>
  <si>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</si>
  <si>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</si>
  <si>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</si>
  <si>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</si>
  <si>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</si>
  <si>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</si>
  <si>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</si>
  <si>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</si>
  <si>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</si>
  <si>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</si>
  <si>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</si>
  <si>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</si>
  <si>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</si>
  <si>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</si>
  <si>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</si>
  <si>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</si>
  <si>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</si>
  <si>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</si>
  <si>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</si>
  <si>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</si>
  <si>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</si>
  <si>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</si>
  <si>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</si>
  <si>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</si>
  <si>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</si>
  <si>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</si>
  <si>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</si>
  <si>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</si>
  <si>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</si>
  <si>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</si>
  <si>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</si>
  <si>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</si>
  <si>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</si>
  <si>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</si>
  <si>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</si>
  <si>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</si>
  <si>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</si>
  <si>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</si>
  <si>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</si>
  <si>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</si>
  <si>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</si>
  <si>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</si>
  <si>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</si>
  <si>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</si>
  <si>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</si>
  <si>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</si>
  <si>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</si>
  <si>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</si>
  <si>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</si>
  <si>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</si>
  <si>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</si>
  <si>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</si>
  <si>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</si>
  <si>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</si>
  <si>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</si>
  <si>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</si>
  <si>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</si>
  <si>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</si>
  <si>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</si>
  <si>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</si>
  <si>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</si>
  <si>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</si>
  <si>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</si>
  <si>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</si>
  <si>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</si>
  <si>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</si>
  <si>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Eco Ventanas Morsan Iberia</t>
  </si>
  <si>
    <t>2H y 1H Negro mate texturado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</si>
</sst>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E14" sqref="E14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20250138</v>
      </c>
      <c r="G7" s="8">
        <f ca="1">TODAY()</f>
        <v>45847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79" t="str">
        <f>IFERROR(VLOOKUP($B13,Tarifa_all_20240711!$A$2:$G$660,2,FALSE()),"-")</f>
        <v>CARC.SIMPLE GUIA DESM.LAC.6 ESP.2-2 MTS</v>
      </c>
      <c r="D13" s="79"/>
      <c r="E13" s="17">
        <v>1</v>
      </c>
      <c r="F13" s="18">
        <f>IFERROR(VLOOKUP($B13,Tarifa_all_20240711!$A$2:$G$660,5,FALSE()),"-")</f>
        <v>64.042500000000004</v>
      </c>
      <c r="G13" s="18">
        <f t="shared" ref="G13:G30" si="0">IFERROR(E13*F13,"-")</f>
        <v>64.042500000000004</v>
      </c>
      <c r="H13" s="1"/>
    </row>
    <row r="14" spans="1:12" x14ac:dyDescent="0.25">
      <c r="A14" t="s">
        <v>15</v>
      </c>
      <c r="B14" s="16" t="s">
        <v>976</v>
      </c>
      <c r="C14" s="79" t="str">
        <f>IFERROR(VLOOKUP($B14,Tarifa_all_20240711!$A$2:$G$660,2,FALSE()),"-")</f>
        <v>GUIA SKY PLUS DESMONT.LAC.6 ESP.2-2 MTS</v>
      </c>
      <c r="D14" s="79"/>
      <c r="E14" s="17">
        <v>1</v>
      </c>
      <c r="F14" s="18">
        <f>IFERROR(VLOOKUP($B14,Tarifa_all_20240711!$A$2:$G$660,5,FALSE()),"-")</f>
        <v>47.910000000000004</v>
      </c>
      <c r="G14" s="18">
        <f t="shared" si="0"/>
        <v>47.910000000000004</v>
      </c>
      <c r="H14" s="1"/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5</v>
      </c>
      <c r="F15" s="18">
        <f>IFERROR(VLOOKUP($B15,Tarifa_all_20240711!$A$2:$G$660,5,FALSE()),"-")</f>
        <v>11.737500000000001</v>
      </c>
      <c r="G15" s="18">
        <f t="shared" si="0"/>
        <v>58.6875</v>
      </c>
      <c r="H15" s="1"/>
    </row>
    <row r="16" spans="1:12" x14ac:dyDescent="0.25">
      <c r="A16" t="s">
        <v>17</v>
      </c>
      <c r="B16" s="16" t="s">
        <v>343</v>
      </c>
      <c r="C16" s="79" t="str">
        <f>IFERROR(VLOOKUP($B16,Tarifa_all_20240711!$A$2:$G$660,2,FALSE()),"-")</f>
        <v>KIT AMORTIGUADOR SKY BIDIRECCIONAL 80KG</v>
      </c>
      <c r="D16" s="79"/>
      <c r="E16" s="17">
        <v>2</v>
      </c>
      <c r="F16" s="18">
        <f>IFERROR(VLOOKUP($B16,Tarifa_all_20240711!$A$2:$G$660,5,FALSE()),"-")</f>
        <v>31.8675</v>
      </c>
      <c r="G16" s="18">
        <f t="shared" si="0"/>
        <v>63.734999999999999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335</v>
      </c>
      <c r="C18" s="79" t="str">
        <f>IFERROR(VLOOKUP($B18,Tarifa_all_20240711!$A$2:$G$660,2,FALSE()),"-")</f>
        <v>CARRO SKY MADERA 60KG</v>
      </c>
      <c r="D18" s="79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/>
      <c r="C21" s="79" t="str">
        <f>IFERROR(VLOOKUP($B21,Tarifa_all_20240711!$A$2:$G$660,2,FALSE()),"-")</f>
        <v>-</v>
      </c>
      <c r="D21" s="79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834.42000000000007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B9" sqref="B9:D9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Eco Ventanas Morsan Iberia</v>
      </c>
      <c r="C9" s="86"/>
      <c r="D9" s="86"/>
      <c r="F9" s="3" t="s">
        <v>81</v>
      </c>
      <c r="G9" s="44">
        <f ca="1">TODAY()</f>
        <v>45847</v>
      </c>
    </row>
    <row r="10" spans="1:7" x14ac:dyDescent="0.25">
      <c r="A10" s="3" t="s">
        <v>82</v>
      </c>
      <c r="B10" s="11" t="str">
        <f>'DESPIECE (MATANALYSIS)'!C9</f>
        <v>2H y 1H Negro mate texturado</v>
      </c>
      <c r="C10" s="45"/>
      <c r="D10" s="45"/>
      <c r="E10" s="46"/>
      <c r="F10" s="47" t="s">
        <v>83</v>
      </c>
      <c r="G10" s="7">
        <f>'DESPIECE (MATANALYSIS)'!C7</f>
        <v>20250138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834.42000000000007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2025-07-09T09:12:05Z</dcterms:modified>
  <dc:language>es-ES</dc:language>
</cp:coreProperties>
</file>