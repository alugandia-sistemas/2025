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8\calculos\1\"/>
    </mc:Choice>
  </mc:AlternateContent>
  <xr:revisionPtr revIDLastSave="0" documentId="13_ncr:1_{115966D7-C927-4B90-ABF8-23D63F3D9143}" xr6:coauthVersionLast="47" xr6:coauthVersionMax="47" xr10:uidLastSave="{00000000-0000-0000-0000-000000000000}"/>
  <bookViews>
    <workbookView xWindow="-289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G10" i="2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B33" i="2" l="1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<sst xmlns="http://schemas.openxmlformats.org/spreadsheetml/2006/main" count="5401" uniqueCount="1453">
  <si>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</si>
  <si>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</si>
  <si>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</si>
  <si>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</si>
  <si>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</si>
  <si>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</si>
  <si>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</si>
  <si>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</si>
  <si>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</si>
  <si>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</si>
  <si>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</si>
  <si>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</si>
  <si>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</si>
  <si>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</si>
  <si>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</si>
  <si>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</si>
  <si>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</si>
  <si>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</si>
  <si>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</si>
  <si>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</si>
  <si>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</si>
  <si>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</si>
  <si>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</si>
  <si>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</si>
  <si>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</si>
  <si>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</si>
  <si>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</si>
  <si>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</si>
  <si>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</si>
  <si>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</si>
  <si>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</si>
  <si>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</si>
  <si>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</si>
  <si>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</si>
  <si>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</si>
  <si>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</si>
  <si>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</si>
  <si>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</si>
  <si>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</si>
  <si>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</si>
  <si>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</si>
  <si>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</si>
  <si>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</si>
  <si>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</si>
  <si>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</si>
  <si>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</si>
  <si>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</si>
  <si>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</si>
  <si>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</si>
  <si>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</si>
  <si>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</si>
  <si>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</si>
  <si>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</si>
  <si>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</si>
  <si>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</si>
  <si>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</si>
  <si>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</si>
  <si>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</si>
  <si>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</si>
  <si>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</si>
  <si>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</si>
  <si>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</si>
  <si>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</si>
  <si>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</si>
  <si>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</si>
  <si>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</si>
  <si>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</si>
  <si>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</si>
  <si>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</si>
  <si>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</si>
  <si>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</si>
  <si>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</si>
  <si>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</si>
  <si>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</si>
  <si>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</si>
  <si>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</si>
  <si>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</si>
  <si>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</si>
  <si>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</si>
  <si>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</si>
  <si>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</si>
  <si>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</si>
  <si>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</si>
  <si>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</si>
  <si>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</si>
  <si>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</si>
  <si>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</si>
  <si>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</si>
  <si>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</si>
  <si>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</si>
  <si>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</si>
  <si>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</si>
  <si>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</si>
  <si>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</si>
  <si>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</si>
  <si>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</si>
  <si>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</si>
  <si>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</si>
  <si>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</si>
  <si>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</si>
  <si>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</si>
  <si>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</si>
  <si>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</si>
  <si>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</si>
  <si>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</si>
  <si>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</si>
  <si>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</si>
  <si>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</si>
  <si>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</si>
  <si>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</si>
  <si>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</si>
  <si>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</si>
  <si>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</si>
  <si>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</si>
  <si>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</si>
  <si>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</si>
  <si>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</si>
  <si>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</si>
  <si>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</si>
  <si>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</si>
  <si>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</si>
  <si>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</si>
  <si>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</si>
  <si>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</si>
  <si>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</si>
  <si>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</si>
  <si>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</si>
  <si>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</si>
  <si>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</si>
  <si>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</si>
  <si>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</si>
  <si>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</si>
  <si>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</si>
  <si>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</si>
  <si>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</si>
  <si>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</si>
  <si>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</si>
  <si>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</si>
  <si>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</si>
  <si>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</si>
  <si>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</si>
  <si>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</si>
  <si>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</si>
  <si>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</si>
  <si>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</si>
  <si>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</si>
  <si>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</si>
  <si>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</si>
  <si>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</si>
  <si>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</si>
  <si>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</si>
  <si>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</si>
  <si>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</si>
  <si>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</si>
  <si>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</si>
  <si>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</si>
  <si>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</si>
  <si>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</si>
  <si>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</si>
  <si>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</si>
  <si>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</si>
  <si>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</si>
  <si>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</si>
  <si>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</si>
  <si>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</si>
  <si>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</si>
  <si>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</si>
  <si>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</si>
  <si>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</si>
  <si>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</si>
  <si>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</si>
  <si>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</si>
  <si>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</si>
  <si>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</si>
  <si>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</si>
  <si>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</si>
  <si>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</si>
  <si>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</si>
  <si>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</si>
  <si>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</si>
  <si>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</si>
  <si>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</si>
  <si>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</si>
  <si>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</si>
  <si>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</si>
  <si>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</si>
  <si>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</si>
  <si>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</si>
  <si>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</si>
  <si>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</si>
  <si>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</si>
  <si>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</si>
  <si>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</si>
  <si>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</si>
  <si>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</si>
  <si>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</si>
  <si>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</si>
  <si>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</si>
  <si>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</si>
  <si>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</si>
  <si>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</si>
  <si>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</si>
  <si>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</si>
  <si>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</si>
  <si>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</si>
  <si>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</si>
  <si>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</si>
  <si>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</si>
  <si>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</si>
  <si>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</si>
  <si>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</si>
  <si>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</si>
  <si>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</si>
  <si>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</si>
  <si>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</si>
  <si>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</si>
  <si>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</si>
  <si>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</si>
  <si>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</si>
  <si>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</si>
  <si>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</si>
  <si>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</si>
  <si>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</si>
  <si>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</si>
  <si>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</si>
  <si>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</si>
  <si>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</si>
  <si>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</si>
  <si>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</si>
  <si>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</si>
  <si>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</si>
  <si>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</si>
  <si>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</si>
  <si>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</si>
  <si>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</si>
  <si>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</si>
  <si>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</si>
  <si>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</si>
  <si>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</si>
  <si>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</si>
  <si>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</si>
  <si>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</si>
  <si>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</si>
  <si>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</si>
  <si>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</si>
  <si>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</si>
  <si>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</si>
  <si>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</si>
  <si>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</si>
  <si>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</si>
  <si>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</si>
  <si>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</si>
  <si>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</si>
  <si>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</si>
  <si>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</si>
  <si>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</si>
  <si>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</si>
  <si>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</si>
  <si>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</si>
  <si>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</si>
  <si>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</si>
  <si>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</si>
  <si>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</si>
  <si>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</si>
  <si>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</si>
  <si>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</si>
  <si>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</si>
  <si>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</si>
  <si>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</si>
  <si>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</si>
  <si>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</si>
  <si>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</si>
  <si>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</si>
  <si>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</si>
  <si>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</si>
  <si>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</si>
  <si>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</si>
  <si>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</si>
  <si>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</si>
  <si>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</si>
  <si>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</si>
  <si>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</si>
  <si>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</si>
  <si>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</si>
  <si>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</si>
  <si>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</si>
  <si>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</si>
  <si>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</si>
  <si>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</si>
  <si>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</si>
  <si>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</si>
  <si>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</si>
  <si>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</si>
  <si>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</si>
  <si>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</si>
  <si>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</si>
  <si>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</si>
  <si>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</si>
  <si>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</si>
  <si>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</si>
  <si>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</si>
  <si>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</si>
  <si>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</si>
  <si>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</si>
  <si>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</si>
  <si>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</si>
  <si>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</si>
  <si>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</si>
  <si>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</si>
  <si>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</si>
  <si>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</si>
  <si>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</si>
  <si>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</si>
  <si>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</si>
  <si>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</si>
  <si>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</si>
  <si>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</si>
  <si>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</si>
  <si>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</si>
  <si>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</si>
  <si>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</si>
  <si>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</si>
  <si>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</si>
  <si>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</si>
  <si>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</si>
  <si>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</si>
  <si>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</si>
  <si>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</si>
  <si>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</si>
  <si>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</si>
  <si>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</si>
  <si>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</si>
  <si>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</si>
  <si>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</si>
  <si>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</si>
  <si>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</si>
  <si>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</si>
  <si>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</si>
  <si>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</si>
  <si>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</si>
  <si>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</si>
  <si>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</si>
  <si>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</si>
  <si>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</si>
  <si>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</si>
  <si>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</si>
  <si>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</si>
  <si>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</si>
  <si>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</si>
  <si>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</si>
  <si>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</si>
  <si>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</si>
  <si>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</si>
  <si>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</si>
  <si>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</si>
  <si>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</si>
  <si>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</si>
  <si>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</si>
  <si>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</si>
  <si>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</si>
  <si>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</si>
  <si>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</si>
  <si>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</si>
  <si>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</si>
  <si>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</si>
  <si>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</si>
  <si>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</si>
  <si>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</si>
  <si>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</si>
  <si>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</si>
  <si>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</si>
  <si>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</si>
  <si>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</si>
  <si>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</si>
  <si>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</si>
  <si>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</si>
  <si>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</si>
  <si>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</si>
  <si>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</si>
  <si>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</si>
  <si>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</si>
  <si>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</si>
  <si>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</si>
  <si>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</si>
  <si>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</si>
  <si>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</si>
  <si>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</si>
  <si>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</si>
  <si>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</si>
  <si>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</si>
  <si>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</si>
  <si>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</si>
  <si>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</si>
  <si>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</si>
  <si>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</si>
  <si>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</si>
  <si>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</si>
  <si>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</si>
  <si>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</si>
  <si>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</si>
  <si>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</si>
  <si>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</si>
  <si>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</si>
  <si>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</si>
  <si>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</si>
  <si>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</si>
  <si>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</si>
  <si>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</si>
  <si>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</si>
  <si>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</si>
  <si>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</si>
  <si>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</si>
  <si>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</si>
  <si>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</si>
  <si>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</si>
  <si>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</si>
  <si>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</si>
  <si>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</si>
  <si>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</si>
  <si>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</si>
  <si>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</si>
  <si>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</si>
  <si>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</si>
  <si>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</si>
  <si>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</si>
  <si>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</si>
  <si>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</si>
  <si>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</si>
  <si>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</si>
  <si>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</si>
  <si>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</si>
  <si>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</si>
  <si>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</si>
  <si>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</si>
  <si>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</si>
  <si>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</si>
  <si>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</si>
  <si>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</si>
  <si>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</si>
  <si>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</si>
  <si>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</si>
  <si>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</si>
  <si>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</si>
  <si>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</si>
  <si>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</si>
  <si>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</si>
  <si>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</si>
  <si>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</si>
  <si>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</si>
  <si>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</si>
  <si>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</si>
  <si>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</si>
  <si>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</si>
  <si>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</si>
  <si>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</si>
  <si>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</si>
  <si>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</si>
  <si>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</si>
  <si>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</si>
  <si>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</si>
  <si>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</si>
  <si>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</si>
  <si>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</si>
  <si>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</si>
  <si>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</si>
  <si>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</si>
  <si>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</si>
  <si>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</si>
  <si>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</si>
  <si>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</si>
  <si>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</si>
  <si>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</si>
  <si>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</si>
  <si>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</si>
  <si>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</si>
  <si>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</si>
  <si>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</si>
  <si>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</si>
  <si>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</si>
  <si>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</si>
  <si>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</si>
  <si>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</si>
  <si>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</si>
  <si>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</si>
  <si>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</si>
  <si>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</si>
  <si>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</si>
  <si>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</si>
  <si>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</si>
  <si>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</si>
  <si>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</si>
  <si>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</si>
  <si>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</si>
  <si>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</si>
  <si>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</si>
  <si>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</si>
  <si>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</si>
  <si>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</si>
  <si>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</si>
  <si>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</si>
  <si>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</si>
  <si>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</si>
  <si>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</si>
  <si>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</si>
  <si>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</si>
  <si>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</si>
  <si>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</si>
  <si>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</si>
  <si>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</si>
  <si>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</si>
  <si>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</si>
  <si>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</si>
  <si>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</si>
  <si>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</si>
  <si>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</si>
  <si>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</si>
  <si>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</si>
  <si>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</si>
  <si>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</si>
  <si>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</si>
  <si>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</si>
  <si>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</si>
  <si>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</si>
  <si>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</si>
  <si>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</si>
  <si>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</si>
  <si>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</si>
  <si>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</si>
  <si>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</si>
  <si>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</si>
  <si>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</si>
  <si>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</si>
  <si>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</si>
  <si>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</si>
  <si>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</si>
  <si>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</si>
  <si>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</si>
  <si>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</si>
  <si>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</si>
  <si>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</si>
  <si>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</si>
  <si>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</si>
  <si>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</si>
  <si>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</si>
  <si>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</si>
  <si>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</si>
  <si>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</si>
  <si>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</si>
  <si>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</si>
  <si>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</si>
  <si>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</si>
  <si>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</si>
  <si>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</si>
  <si>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</si>
  <si>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</si>
  <si>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</si>
  <si>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</si>
  <si>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</si>
  <si>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</si>
  <si>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</si>
  <si>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</si>
  <si>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</si>
  <si>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</si>
  <si>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</si>
  <si>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</si>
  <si>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</si>
  <si>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</si>
  <si>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</si>
  <si>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</si>
  <si>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</si>
  <si>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</si>
  <si>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</si>
  <si>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</si>
  <si>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</si>
  <si>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</si>
  <si>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</si>
  <si>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</si>
  <si>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</si>
  <si>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</si>
  <si>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</si>
  <si>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</si>
  <si>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</si>
  <si>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</si>
  <si>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</si>
  <si>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</si>
  <si>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</si>
  <si>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</si>
  <si>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</si>
  <si>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</si>
  <si>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</si>
  <si>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</si>
  <si>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</si>
  <si>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</si>
  <si>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</si>
  <si>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</si>
  <si>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</si>
  <si>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</si>
  <si>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</si>
  <si>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</si>
  <si>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</si>
  <si>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</si>
  <si>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</si>
  <si>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</si>
  <si>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</si>
  <si>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</si>
  <si>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</si>
  <si>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</si>
  <si>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</si>
  <si>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</si>
  <si>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</si>
  <si>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</si>
  <si>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</si>
  <si>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</si>
  <si>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</si>
  <si>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</si>
  <si>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</si>
  <si>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</si>
  <si>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</si>
  <si>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</si>
  <si>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</si>
  <si>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</si>
  <si>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</si>
  <si>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</si>
  <si>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</si>
  <si>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</si>
  <si>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</si>
  <si>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</si>
  <si>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</si>
  <si>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</si>
  <si>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</si>
  <si>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</si>
  <si>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</si>
  <si>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</si>
  <si>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</si>
  <si>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</si>
  <si>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</si>
  <si>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</si>
  <si>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</si>
  <si>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</si>
  <si>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</si>
  <si>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</si>
  <si>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</si>
  <si>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</si>
  <si>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</si>
  <si>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</si>
  <si>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</si>
  <si>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</si>
  <si>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</si>
  <si>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</si>
  <si>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</si>
  <si>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</si>
  <si>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</si>
  <si>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</si>
  <si>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</si>
  <si>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</si>
  <si>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</si>
  <si>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</si>
  <si>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</si>
  <si>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</si>
  <si>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</si>
  <si>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</si>
  <si>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</si>
  <si>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</si>
  <si>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</si>
  <si>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</si>
  <si>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</si>
  <si>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</si>
  <si>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</si>
  <si>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</si>
  <si>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</si>
  <si>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</si>
  <si>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</si>
  <si>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</si>
  <si>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</si>
  <si>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</si>
  <si>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</si>
  <si>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</si>
  <si>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</si>
  <si>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</si>
  <si>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</si>
  <si>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</si>
  <si>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</si>
  <si>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</si>
  <si>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</si>
  <si>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</si>
  <si>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</si>
  <si>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</si>
  <si>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</si>
  <si>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</si>
  <si>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</si>
  <si>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</si>
  <si>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</si>
  <si>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</si>
  <si>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</si>
  <si>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</si>
  <si>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</si>
  <si>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</si>
  <si>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</si>
  <si>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</si>
  <si>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</si>
  <si>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</si>
  <si>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</si>
  <si>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</si>
  <si>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</si>
  <si>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</si>
  <si>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</si>
  <si>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</si>
  <si>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</si>
  <si>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</si>
  <si>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</si>
  <si>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</si>
  <si>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</si>
  <si>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</si>
  <si>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</si>
  <si>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</si>
  <si>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</si>
  <si>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</si>
  <si>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</si>
  <si>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</si>
  <si>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</si>
  <si>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</si>
  <si>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</si>
  <si>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</si>
  <si>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</si>
  <si>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</si>
  <si>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</si>
  <si>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</si>
  <si>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</si>
  <si>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</si>
  <si>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</si>
  <si>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</si>
  <si>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</si>
  <si>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</si>
  <si>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</si>
  <si>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</si>
  <si>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</si>
  <si>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</si>
  <si>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</si>
  <si>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</si>
  <si>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</si>
  <si>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</si>
  <si>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</si>
  <si>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</si>
  <si>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</si>
  <si>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</si>
  <si>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</si>
  <si>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</si>
  <si>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</si>
  <si>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</si>
  <si>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</si>
  <si>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</si>
  <si>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</si>
  <si>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</si>
  <si>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</si>
  <si>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</si>
  <si>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</si>
  <si>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</si>
  <si>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</si>
  <si>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</si>
  <si>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</si>
  <si>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</si>
  <si>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</si>
  <si>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</si>
  <si>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</si>
  <si>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</si>
  <si>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</si>
  <si>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</si>
  <si>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</si>
  <si>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</si>
  <si>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</si>
  <si>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</si>
  <si>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</si>
  <si>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</si>
  <si>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</si>
  <si>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</si>
  <si>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</si>
  <si>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</si>
  <si>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</si>
  <si>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</si>
  <si>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</si>
  <si>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</si>
  <si>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</si>
  <si>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</si>
  <si>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</si>
  <si>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</si>
  <si>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</si>
  <si>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</si>
  <si>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</si>
  <si>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</si>
  <si>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</si>
  <si>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</si>
  <si>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</si>
  <si>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</si>
  <si>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</si>
  <si>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</si>
  <si>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</si>
  <si>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</si>
  <si>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</si>
  <si>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</si>
  <si>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</si>
  <si>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</si>
  <si>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</si>
  <si>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</si>
  <si>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</si>
  <si>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</si>
  <si>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</si>
  <si>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</si>
  <si>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</si>
  <si>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</si>
  <si>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</si>
  <si>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</si>
  <si>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</si>
  <si>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</si>
  <si>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</si>
  <si>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</si>
  <si>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</si>
  <si>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</si>
  <si>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</si>
  <si>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</si>
  <si>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</si>
  <si>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</si>
  <si>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</si>
  <si>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</si>
  <si>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</si>
  <si>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</si>
  <si>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</si>
  <si>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</si>
  <si>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</si>
  <si>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</si>
  <si>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</si>
  <si>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</si>
  <si>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</si>
  <si>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</si>
  <si>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</si>
  <si>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</si>
  <si>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</si>
  <si>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</si>
  <si>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</si>
  <si>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</si>
  <si>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</si>
  <si>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</si>
  <si>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</si>
  <si>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</si>
  <si>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</si>
  <si>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</si>
  <si>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</si>
  <si>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</si>
  <si>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</si>
  <si>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</si>
  <si>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</si>
  <si>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</si>
  <si>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</si>
  <si>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</si>
  <si>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</si>
  <si>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</si>
  <si>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</si>
  <si>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</si>
  <si>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</si>
  <si>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</si>
  <si>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</si>
  <si>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</si>
  <si>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</si>
  <si>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</si>
  <si>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</si>
  <si>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</si>
  <si>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</si>
  <si>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</si>
  <si>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</si>
  <si>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</si>
  <si>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</si>
  <si>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</si>
  <si>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</si>
  <si>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</si>
  <si>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</si>
  <si>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</si>
  <si>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</si>
  <si>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</si>
  <si>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</si>
  <si>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</si>
  <si>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</si>
  <si>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</si>
  <si>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</si>
  <si>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</si>
  <si>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</si>
  <si>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</si>
  <si>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</si>
  <si>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</si>
  <si>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</si>
  <si>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</si>
  <si>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</si>
  <si>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</si>
  <si>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</si>
  <si>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</si>
  <si>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</si>
  <si>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</si>
  <si>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</si>
  <si>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</si>
  <si>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</si>
  <si>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</si>
  <si>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</si>
  <si>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</si>
  <si>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</si>
  <si>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</si>
  <si>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</si>
  <si>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</si>
  <si>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</si>
  <si>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</si>
  <si>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</si>
  <si>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</si>
  <si>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</si>
  <si>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</si>
  <si>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</si>
  <si>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</si>
  <si>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</si>
  <si>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</si>
  <si>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</si>
  <si>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</si>
  <si>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</si>
  <si>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</si>
  <si>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</si>
  <si>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</si>
  <si>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</si>
  <si>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</si>
  <si>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</si>
  <si>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</si>
  <si>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</si>
  <si>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</si>
  <si>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</si>
  <si>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</si>
  <si>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</si>
  <si>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</si>
  <si>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</si>
  <si>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</si>
  <si>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</si>
  <si>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</si>
  <si>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</si>
  <si>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</si>
  <si>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</si>
  <si>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</si>
  <si>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</si>
  <si>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</si>
  <si>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</si>
  <si>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</si>
  <si>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</si>
  <si>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</si>
  <si>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</si>
  <si>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</si>
  <si>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</si>
  <si>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</si>
  <si>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</si>
  <si>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</si>
  <si>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</si>
  <si>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</si>
  <si>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</si>
  <si>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</si>
  <si>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</si>
  <si>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</si>
  <si>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</si>
  <si>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</si>
  <si>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</si>
  <si>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</si>
  <si>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</si>
  <si>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</si>
  <si>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</si>
  <si>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</si>
  <si>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</si>
  <si>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</si>
  <si>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</si>
  <si>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</si>
  <si>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</si>
  <si>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</si>
  <si>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</si>
  <si>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</si>
  <si>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</si>
  <si>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</si>
  <si>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</si>
  <si>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</si>
  <si>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</si>
  <si>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</si>
  <si>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</si>
  <si>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</si>
  <si>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</si>
  <si>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</si>
  <si>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</si>
  <si>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</si>
  <si>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</si>
  <si>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</si>
  <si>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</si>
  <si>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</si>
  <si>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</si>
  <si>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</si>
  <si>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</si>
  <si>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</si>
  <si>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</si>
  <si>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</si>
  <si>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</si>
  <si>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</si>
  <si>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</si>
  <si>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</si>
  <si>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</si>
  <si>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</si>
  <si>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</si>
  <si>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</si>
  <si>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</si>
  <si>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</si>
  <si>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</si>
  <si>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</si>
  <si>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</si>
  <si>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</si>
  <si>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</si>
  <si>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</si>
  <si>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</si>
  <si>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</si>
  <si>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</si>
  <si>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</si>
  <si>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</si>
  <si>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</si>
  <si>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</si>
  <si>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</si>
  <si>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</si>
  <si>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</si>
  <si>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</si>
  <si>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</si>
  <si>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</si>
  <si>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</si>
  <si>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</si>
  <si>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</si>
  <si>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</si>
  <si>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</si>
  <si>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</si>
  <si>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</si>
  <si>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</si>
  <si>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</si>
  <si>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</si>
  <si>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</si>
  <si>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</si>
  <si>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</si>
  <si>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</si>
  <si>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</si>
  <si>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</si>
  <si>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</si>
  <si>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</si>
  <si>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</si>
  <si>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</si>
  <si>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</si>
  <si>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</si>
  <si>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</si>
  <si>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</si>
  <si>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</si>
  <si>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</si>
  <si>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</si>
  <si>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</si>
  <si>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</si>
  <si>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</si>
  <si>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</si>
  <si>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</si>
  <si>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</si>
  <si>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</si>
  <si>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</si>
  <si>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</si>
  <si>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</si>
  <si>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</si>
  <si>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</si>
  <si>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</si>
  <si>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</si>
  <si>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</si>
  <si>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</si>
  <si>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</si>
  <si>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</si>
  <si>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</si>
  <si>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</si>
  <si>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</si>
  <si>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</si>
  <si>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</si>
  <si>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</si>
  <si>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</si>
  <si>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</si>
  <si>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</si>
  <si>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</si>
  <si>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</si>
  <si>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</si>
  <si>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</si>
  <si>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</si>
  <si>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</si>
  <si>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</si>
  <si>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</si>
  <si>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</si>
  <si>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</si>
  <si>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</si>
  <si>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</si>
  <si>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</si>
  <si>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</si>
  <si>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</si>
  <si>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</si>
  <si>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</si>
  <si>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</si>
  <si>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</si>
  <si>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</si>
  <si>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</si>
  <si>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</si>
  <si>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</si>
  <si>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</si>
  <si>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</si>
  <si>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</si>
  <si>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</si>
  <si>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</si>
  <si>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</si>
  <si>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</si>
  <si>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</si>
  <si>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</si>
  <si>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</si>
  <si>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</si>
  <si>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</si>
  <si>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</si>
  <si>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</si>
  <si>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</si>
  <si>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</si>
  <si>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</si>
  <si>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</si>
  <si>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</si>
  <si>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</si>
  <si>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</si>
  <si>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</si>
  <si>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</si>
  <si>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</si>
  <si>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</si>
  <si>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</si>
  <si>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</si>
  <si>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</si>
  <si>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</si>
  <si>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</si>
  <si>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</si>
  <si>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</si>
  <si>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</si>
  <si>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</si>
  <si>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</si>
  <si>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</si>
  <si>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</si>
  <si>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</si>
  <si>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</si>
  <si>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</si>
  <si>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</si>
  <si>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</si>
  <si>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</si>
  <si>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</si>
  <si>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</si>
  <si>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</si>
  <si>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</si>
  <si>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</si>
  <si>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</si>
  <si>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</si>
  <si>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</si>
  <si>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</si>
  <si>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</si>
  <si>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</si>
  <si>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</si>
  <si>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</si>
  <si>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</si>
  <si>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</si>
  <si>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</si>
  <si>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</si>
  <si>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</si>
  <si>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</si>
  <si>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</si>
  <si>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</si>
  <si>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</si>
  <si>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</si>
  <si>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</si>
  <si>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</si>
  <si>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</si>
  <si>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</si>
  <si>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</si>
  <si>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</si>
  <si>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</si>
  <si>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</si>
  <si>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</si>
  <si>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</si>
  <si>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</si>
  <si>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</si>
  <si>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</si>
  <si>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</si>
  <si>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</si>
  <si>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</si>
  <si>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</si>
  <si>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</si>
  <si>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</si>
  <si>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</si>
  <si>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</si>
  <si>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</si>
  <si>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</si>
  <si>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</si>
  <si>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</si>
  <si>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</si>
  <si>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</si>
  <si>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</si>
  <si>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</si>
  <si>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</si>
  <si>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</si>
  <si>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</si>
  <si>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</si>
  <si>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</si>
  <si>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</si>
  <si>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</si>
  <si>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</si>
  <si>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</si>
  <si>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</si>
  <si>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</si>
  <si>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</si>
  <si>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</si>
  <si>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</si>
  <si>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</si>
  <si>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</si>
  <si>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</si>
  <si>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</si>
  <si>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</si>
  <si>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</si>
  <si>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</si>
  <si>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</si>
  <si>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</si>
  <si>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</si>
  <si>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</si>
  <si>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</si>
  <si>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</si>
  <si>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</si>
  <si>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</si>
  <si>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</si>
  <si>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</si>
  <si>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</si>
  <si>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</si>
  <si>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</si>
  <si>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</si>
  <si>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</si>
  <si>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</si>
  <si>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</si>
  <si>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</si>
  <si>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</si>
  <si>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</si>
  <si>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</si>
  <si>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</si>
  <si>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</si>
  <si>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</si>
  <si>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</si>
  <si>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</si>
  <si>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</si>
  <si>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</si>
  <si>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</si>
  <si>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</si>
  <si>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</si>
  <si>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</si>
  <si>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</si>
  <si>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</si>
  <si>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</si>
  <si>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</si>
  <si>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</si>
  <si>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</si>
  <si>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</si>
  <si>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</si>
  <si>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</si>
  <si>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</si>
  <si>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</si>
  <si>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</si>
  <si>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</si>
  <si>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</si>
  <si>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</si>
  <si>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</si>
  <si>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</si>
  <si>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</si>
  <si>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</si>
  <si>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</si>
  <si>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</si>
  <si>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</si>
  <si>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</si>
  <si>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</si>
  <si>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</si>
  <si>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</si>
  <si>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</si>
  <si>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</si>
  <si>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</si>
  <si>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</si>
  <si>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</si>
  <si>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</si>
  <si>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</si>
  <si>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</si>
  <si>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</si>
  <si>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</si>
  <si>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</si>
  <si>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</si>
  <si>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</si>
  <si>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</si>
  <si>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</si>
  <si>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</si>
  <si>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</si>
  <si>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</si>
  <si>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</si>
  <si>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</si>
  <si>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</si>
  <si>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</si>
  <si>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</si>
  <si>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</si>
  <si>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</si>
  <si>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</si>
  <si>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</si>
  <si>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</si>
  <si>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</si>
  <si>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</si>
  <si>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</si>
  <si>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</si>
  <si>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</si>
  <si>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</si>
  <si>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</si>
  <si>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</si>
  <si>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</si>
  <si>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</si>
  <si>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</si>
  <si>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</si>
  <si>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</si>
  <si>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</si>
  <si>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</si>
  <si>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</si>
  <si>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</si>
  <si>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</si>
  <si>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</si>
  <si>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</si>
  <si>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</si>
  <si>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</si>
  <si>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</si>
  <si>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</si>
  <si>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</si>
  <si>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</si>
  <si>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</si>
  <si>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</si>
  <si>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</si>
  <si>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</si>
  <si>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</si>
  <si>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</si>
  <si>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</si>
  <si>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</si>
  <si>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</si>
  <si>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</si>
  <si>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</si>
  <si>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</si>
  <si>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</si>
  <si>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</si>
  <si>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</si>
  <si>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</si>
  <si>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</si>
  <si>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</si>
  <si>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</si>
  <si>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</si>
  <si>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</si>
  <si>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</si>
  <si>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</si>
  <si>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</si>
  <si>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</si>
  <si>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</si>
  <si>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</si>
  <si>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</si>
  <si>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</si>
  <si>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</si>
  <si>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</si>
  <si>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</si>
  <si>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</si>
  <si>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</si>
  <si>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</si>
  <si>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</si>
  <si>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</si>
  <si>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</si>
  <si>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</si>
  <si>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</si>
  <si>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</si>
  <si>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</si>
  <si>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</si>
  <si>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</si>
  <si>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</si>
  <si>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</si>
  <si>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</si>
  <si>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</si>
  <si>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</si>
  <si>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</si>
  <si>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</si>
  <si>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</si>
  <si>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</si>
  <si>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</si>
  <si>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</si>
  <si>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</si>
  <si>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</si>
  <si>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</si>
  <si>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</si>
  <si>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</si>
  <si>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</si>
  <si>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</si>
  <si>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</si>
  <si>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</si>
  <si>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</si>
  <si>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</si>
  <si>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</si>
  <si>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</si>
  <si>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</si>
  <si>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</si>
  <si>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</si>
  <si>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</si>
  <si>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</si>
  <si>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</si>
  <si>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</si>
  <si>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</si>
  <si>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</si>
  <si>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</si>
  <si>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</si>
  <si>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</si>
  <si>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</si>
  <si>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</si>
  <si>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</si>
  <si>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</si>
  <si>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</si>
  <si>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</si>
  <si>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</si>
  <si>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</si>
  <si>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</si>
  <si>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</si>
  <si>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</si>
  <si>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</si>
  <si>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</si>
  <si>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</si>
  <si>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</si>
  <si>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</si>
  <si>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</si>
  <si>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</si>
  <si>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</si>
  <si>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</si>
  <si>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</si>
  <si>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</si>
  <si>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</si>
  <si>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</si>
  <si>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</si>
  <si>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</si>
  <si>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</si>
  <si>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</si>
  <si>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</si>
  <si>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</si>
  <si>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</si>
  <si>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</si>
  <si>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</si>
  <si>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</si>
  <si>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</si>
  <si>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</si>
  <si>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</si>
  <si>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</si>
  <si>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</si>
  <si>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</si>
  <si>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</si>
  <si>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</si>
  <si>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 Ventanas Morsan Iberia</t>
  </si>
  <si>
    <t>2H y 1H Negro mate texturado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</si>
</sst>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E20" sqref="E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20250138</v>
      </c>
      <c r="G7" s="8">
        <f ca="1">TODAY()</f>
        <v>45847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7" t="str">
        <f>IFERROR(VLOOKUP($B13,Tarifa_all_20240711!$A$2:$G$660,2,FALSE()),"-")</f>
        <v>CARC.SIMPLE GUIA DESM.LAC.6 ESP.2-2 MTS</v>
      </c>
      <c r="D13" s="77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7" t="str">
        <f>IFERROR(VLOOKUP($B14,Tarifa_all_20240711!$A$2:$G$660,2,FALSE()),"-")</f>
        <v>GUIA SKY PLUS DESMONT.LAC.6 ESP.2-2 MTS</v>
      </c>
      <c r="D14" s="77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343</v>
      </c>
      <c r="C16" s="77" t="str">
        <f>IFERROR(VLOOKUP($B16,Tarifa_all_20240711!$A$2:$G$660,2,FALSE()),"-")</f>
        <v>KIT AMORTIGUADOR SKY BIDIRECCIONAL 80KG</v>
      </c>
      <c r="D16" s="77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502.53000000000003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B9" sqref="B9:D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Eco Ventanas Morsan Iberia</v>
      </c>
      <c r="C9" s="86"/>
      <c r="D9" s="86"/>
      <c r="F9" s="3" t="s">
        <v>81</v>
      </c>
      <c r="G9" s="44">
        <f ca="1">TODAY()</f>
        <v>45847</v>
      </c>
    </row>
    <row r="10" spans="1:7" x14ac:dyDescent="0.25">
      <c r="A10" s="3" t="s">
        <v>82</v>
      </c>
      <c r="B10" s="11" t="str">
        <f>'DESPIECE (MATANALYSIS)'!C9</f>
        <v>2H y 1H Negro mate texturado</v>
      </c>
      <c r="C10" s="45"/>
      <c r="D10" s="45"/>
      <c r="E10" s="46"/>
      <c r="F10" s="47" t="s">
        <v>83</v>
      </c>
      <c r="G10" s="7">
        <f>'DESPIECE (MATANALYSIS)'!C7</f>
        <v>20250138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502.53000000000003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2025-07-09T09:24:14Z</dcterms:modified>
  <dc:language>es-ES</dc:language>
</cp:coreProperties>
</file>