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80\calculos\1\"/>
    </mc:Choice>
  </mc:AlternateContent>
  <xr:revisionPtr revIDLastSave="0" documentId="13_ncr:1_{8D4684C2-CE62-4DEA-80F1-4F0433A78663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<sst xmlns="http://schemas.openxmlformats.org/spreadsheetml/2006/main" count="5402" uniqueCount="1453">
  <si>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</si>
  <si>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</si>
  <si>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</si>
  <si>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</si>
  <si>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</si>
  <si>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</si>
  <si>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</si>
  <si>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</si>
  <si>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</si>
  <si>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</si>
  <si>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</si>
  <si>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</si>
  <si>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</si>
  <si>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</si>
  <si>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</si>
  <si>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</si>
  <si>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</si>
  <si>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</si>
  <si>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</si>
  <si>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</si>
  <si>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</si>
  <si>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</si>
  <si>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</si>
  <si>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</si>
  <si>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</si>
  <si>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</si>
  <si>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</si>
  <si>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</si>
  <si>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</si>
  <si>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</si>
  <si>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</si>
  <si>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</si>
  <si>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</si>
  <si>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</si>
  <si>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</si>
  <si>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</si>
  <si>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</si>
  <si>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</si>
  <si>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</si>
  <si>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</si>
  <si>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</si>
  <si>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</si>
  <si>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</si>
  <si>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</si>
  <si>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</si>
  <si>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</si>
  <si>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</si>
  <si>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</si>
  <si>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</si>
  <si>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</si>
  <si>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</si>
  <si>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</si>
  <si>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</si>
  <si>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</si>
  <si>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</si>
  <si>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</si>
  <si>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</si>
  <si>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</si>
  <si>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</si>
  <si>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</si>
  <si>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</si>
  <si>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</si>
  <si>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</si>
  <si>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</si>
  <si>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</si>
  <si>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</si>
  <si>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</si>
  <si>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</si>
  <si>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</si>
  <si>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</si>
  <si>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</si>
  <si>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</si>
  <si>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</si>
  <si>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</si>
  <si>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</si>
  <si>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</si>
  <si>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</si>
  <si>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</si>
  <si>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</si>
  <si>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</si>
  <si>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</si>
  <si>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</si>
  <si>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</si>
  <si>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</si>
  <si>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</si>
  <si>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</si>
  <si>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</si>
  <si>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</si>
  <si>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</si>
  <si>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</si>
  <si>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</si>
  <si>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</si>
  <si>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</si>
  <si>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</si>
  <si>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</si>
  <si>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</si>
  <si>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</si>
  <si>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</si>
  <si>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</si>
  <si>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</si>
  <si>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</si>
  <si>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</si>
  <si>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</si>
  <si>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</si>
  <si>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</si>
  <si>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</si>
  <si>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</si>
  <si>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</si>
  <si>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</si>
  <si>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</si>
  <si>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</si>
  <si>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</si>
  <si>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</si>
  <si>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</si>
  <si>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</si>
  <si>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</si>
  <si>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</si>
  <si>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</si>
  <si>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</si>
  <si>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</si>
  <si>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</si>
  <si>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</si>
  <si>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</si>
  <si>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</si>
  <si>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</si>
  <si>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</si>
  <si>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</si>
  <si>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</si>
  <si>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</si>
  <si>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</si>
  <si>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</si>
  <si>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</si>
  <si>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</si>
  <si>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</si>
  <si>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</si>
  <si>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</si>
  <si>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</si>
  <si>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</si>
  <si>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</si>
  <si>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</si>
  <si>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</si>
  <si>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</si>
  <si>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</si>
  <si>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</si>
  <si>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</si>
  <si>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</si>
  <si>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</si>
  <si>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</si>
  <si>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</si>
  <si>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</si>
  <si>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</si>
  <si>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</si>
  <si>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</si>
  <si>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</si>
  <si>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</si>
  <si>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</si>
  <si>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</si>
  <si>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</si>
  <si>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</si>
  <si>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</si>
  <si>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</si>
  <si>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</si>
  <si>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</si>
  <si>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</si>
  <si>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</si>
  <si>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</si>
  <si>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</si>
  <si>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</si>
  <si>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</si>
  <si>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</si>
  <si>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</si>
  <si>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</si>
  <si>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</si>
  <si>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</si>
  <si>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</si>
  <si>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</si>
  <si>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</si>
  <si>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</si>
  <si>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</si>
  <si>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</si>
  <si>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</si>
  <si>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</si>
  <si>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</si>
  <si>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</si>
  <si>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</si>
  <si>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</si>
  <si>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</si>
  <si>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</si>
  <si>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</si>
  <si>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</si>
  <si>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</si>
  <si>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</si>
  <si>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</si>
  <si>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</si>
  <si>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</si>
  <si>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</si>
  <si>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</si>
  <si>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</si>
  <si>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</si>
  <si>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</si>
  <si>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</si>
  <si>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</si>
  <si>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</si>
  <si>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</si>
  <si>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</si>
  <si>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</si>
  <si>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</si>
  <si>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</si>
  <si>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</si>
  <si>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</si>
  <si>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</si>
  <si>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</si>
  <si>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</si>
  <si>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</si>
  <si>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</si>
  <si>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</si>
  <si>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</si>
  <si>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</si>
  <si>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</si>
  <si>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</si>
  <si>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</si>
  <si>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</si>
  <si>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</si>
  <si>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</si>
  <si>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</si>
  <si>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</si>
  <si>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</si>
  <si>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</si>
  <si>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</si>
  <si>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</si>
  <si>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</si>
  <si>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</si>
  <si>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</si>
  <si>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</si>
  <si>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</si>
  <si>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</si>
  <si>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</si>
  <si>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</si>
  <si>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</si>
  <si>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</si>
  <si>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</si>
  <si>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</si>
  <si>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</si>
  <si>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</si>
  <si>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</si>
  <si>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</si>
  <si>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</si>
  <si>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</si>
  <si>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</si>
  <si>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</si>
  <si>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</si>
  <si>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</si>
  <si>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</si>
  <si>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</si>
  <si>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</si>
  <si>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</si>
  <si>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</si>
  <si>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</si>
  <si>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</si>
  <si>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</si>
  <si>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</si>
  <si>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</si>
  <si>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</si>
  <si>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</si>
  <si>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</si>
  <si>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</si>
  <si>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</si>
  <si>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</si>
  <si>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</si>
  <si>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</si>
  <si>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</si>
  <si>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</si>
  <si>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</si>
  <si>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</si>
  <si>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</si>
  <si>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</si>
  <si>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</si>
  <si>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</si>
  <si>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</si>
  <si>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</si>
  <si>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</si>
  <si>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</si>
  <si>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</si>
  <si>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</si>
  <si>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</si>
  <si>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</si>
  <si>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</si>
  <si>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</si>
  <si>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</si>
  <si>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</si>
  <si>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</si>
  <si>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</si>
  <si>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</si>
  <si>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</si>
  <si>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</si>
  <si>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</si>
  <si>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</si>
  <si>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</si>
  <si>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</si>
  <si>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</si>
  <si>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</si>
  <si>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</si>
  <si>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</si>
  <si>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</si>
  <si>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</si>
  <si>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</si>
  <si>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</si>
  <si>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</si>
  <si>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</si>
  <si>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</si>
  <si>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</si>
  <si>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</si>
  <si>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</si>
  <si>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</si>
  <si>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</si>
  <si>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</si>
  <si>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</si>
  <si>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</si>
  <si>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</si>
  <si>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</si>
  <si>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</si>
  <si>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</si>
  <si>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</si>
  <si>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</si>
  <si>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</si>
  <si>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</si>
  <si>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</si>
  <si>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</si>
  <si>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</si>
  <si>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</si>
  <si>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</si>
  <si>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</si>
  <si>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</si>
  <si>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</si>
  <si>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</si>
  <si>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</si>
  <si>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</si>
  <si>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</si>
  <si>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</si>
  <si>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</si>
  <si>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</si>
  <si>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</si>
  <si>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</si>
  <si>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</si>
  <si>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</si>
  <si>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</si>
  <si>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</si>
  <si>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</si>
  <si>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</si>
  <si>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</si>
  <si>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</si>
  <si>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</si>
  <si>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</si>
  <si>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</si>
  <si>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</si>
  <si>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</si>
  <si>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</si>
  <si>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</si>
  <si>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</si>
  <si>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</si>
  <si>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</si>
  <si>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</si>
  <si>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</si>
  <si>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</si>
  <si>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</si>
  <si>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</si>
  <si>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</si>
  <si>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</si>
  <si>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</si>
  <si>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</si>
  <si>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</si>
  <si>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</si>
  <si>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</si>
  <si>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</si>
  <si>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</si>
  <si>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</si>
  <si>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</si>
  <si>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</si>
  <si>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</si>
  <si>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</si>
  <si>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</si>
  <si>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</si>
  <si>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</si>
  <si>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</si>
  <si>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</si>
  <si>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</si>
  <si>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</si>
  <si>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</si>
  <si>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</si>
  <si>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</si>
  <si>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</si>
  <si>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</si>
  <si>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</si>
  <si>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</si>
  <si>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</si>
  <si>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</si>
  <si>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</si>
  <si>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</si>
  <si>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</si>
  <si>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</si>
  <si>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</si>
  <si>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</si>
  <si>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</si>
  <si>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</si>
  <si>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</si>
  <si>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</si>
  <si>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</si>
  <si>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</si>
  <si>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</si>
  <si>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</si>
  <si>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</si>
  <si>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</si>
  <si>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</si>
  <si>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</si>
  <si>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</si>
  <si>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</si>
  <si>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</si>
  <si>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</si>
  <si>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</si>
  <si>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</si>
  <si>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</si>
  <si>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</si>
  <si>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</si>
  <si>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</si>
  <si>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</si>
  <si>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</si>
  <si>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</si>
  <si>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</si>
  <si>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</si>
  <si>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</si>
  <si>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</si>
  <si>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</si>
  <si>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</si>
  <si>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</si>
  <si>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</si>
  <si>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</si>
  <si>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</si>
  <si>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</si>
  <si>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</si>
  <si>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</si>
  <si>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</si>
  <si>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</si>
  <si>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</si>
  <si>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</si>
  <si>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</si>
  <si>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</si>
  <si>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</si>
  <si>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</si>
  <si>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</si>
  <si>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</si>
  <si>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</si>
  <si>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</si>
  <si>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</si>
  <si>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</si>
  <si>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</si>
  <si>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</si>
  <si>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</si>
  <si>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</si>
  <si>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</si>
  <si>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</si>
  <si>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</si>
  <si>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</si>
  <si>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</si>
  <si>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</si>
  <si>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</si>
  <si>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</si>
  <si>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</si>
  <si>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</si>
  <si>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</si>
  <si>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</si>
  <si>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</si>
  <si>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</si>
  <si>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</si>
  <si>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</si>
  <si>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</si>
  <si>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</si>
  <si>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</si>
  <si>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</si>
  <si>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</si>
  <si>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</si>
  <si>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</si>
  <si>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</si>
  <si>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</si>
  <si>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</si>
  <si>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</si>
  <si>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</si>
  <si>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</si>
  <si>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</si>
  <si>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</si>
  <si>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</si>
  <si>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</si>
  <si>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</si>
  <si>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</si>
  <si>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</si>
  <si>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</si>
  <si>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</si>
  <si>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</si>
  <si>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</si>
  <si>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</si>
  <si>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</si>
  <si>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</si>
  <si>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</si>
  <si>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</si>
  <si>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</si>
  <si>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</si>
  <si>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</si>
  <si>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</si>
  <si>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</si>
  <si>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</si>
  <si>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</si>
  <si>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</si>
  <si>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</si>
  <si>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</si>
  <si>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</si>
  <si>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</si>
  <si>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</si>
  <si>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</si>
  <si>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</si>
  <si>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</si>
  <si>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</si>
  <si>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</si>
  <si>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</si>
  <si>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</si>
  <si>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</si>
  <si>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</si>
  <si>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</si>
  <si>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</si>
  <si>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</si>
  <si>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</si>
  <si>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</si>
  <si>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</si>
  <si>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</si>
  <si>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</si>
  <si>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</si>
  <si>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</si>
  <si>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</si>
  <si>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</si>
  <si>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</si>
  <si>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</si>
  <si>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</si>
  <si>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</si>
  <si>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</si>
  <si>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</si>
  <si>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</si>
  <si>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</si>
  <si>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</si>
  <si>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</si>
  <si>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</si>
  <si>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</si>
  <si>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</si>
  <si>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</si>
  <si>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</si>
  <si>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</si>
  <si>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</si>
  <si>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</si>
  <si>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</si>
  <si>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</si>
  <si>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</si>
  <si>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</si>
  <si>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</si>
  <si>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</si>
  <si>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</si>
  <si>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</si>
  <si>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</si>
  <si>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</si>
  <si>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</si>
  <si>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</si>
  <si>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</si>
  <si>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</si>
  <si>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</si>
  <si>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</si>
  <si>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</si>
  <si>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</si>
  <si>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</si>
  <si>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</si>
  <si>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</si>
  <si>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</si>
  <si>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</si>
  <si>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</si>
  <si>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</si>
  <si>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</si>
  <si>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</si>
  <si>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</si>
  <si>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</si>
  <si>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</si>
  <si>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</si>
  <si>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</si>
  <si>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</si>
  <si>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</si>
  <si>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</si>
  <si>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</si>
  <si>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</si>
  <si>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</si>
  <si>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</si>
  <si>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</si>
  <si>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</si>
  <si>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</si>
  <si>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</si>
  <si>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</si>
  <si>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</si>
  <si>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</si>
  <si>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</si>
  <si>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</si>
  <si>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</si>
  <si>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</si>
  <si>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</si>
  <si>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</si>
  <si>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</si>
  <si>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</si>
  <si>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</si>
  <si>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</si>
  <si>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</si>
  <si>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</si>
  <si>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</si>
  <si>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</si>
  <si>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</si>
  <si>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</si>
  <si>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</si>
  <si>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</si>
  <si>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</si>
  <si>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</si>
  <si>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</si>
  <si>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</si>
  <si>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</si>
  <si>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</si>
  <si>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</si>
  <si>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</si>
  <si>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</si>
  <si>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</si>
  <si>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</si>
  <si>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</si>
  <si>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</si>
  <si>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</si>
  <si>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</si>
  <si>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</si>
  <si>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</si>
  <si>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</si>
  <si>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</si>
  <si>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</si>
  <si>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</si>
  <si>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</si>
  <si>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</si>
  <si>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</si>
  <si>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</si>
  <si>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</si>
  <si>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</si>
  <si>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</si>
  <si>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</si>
  <si>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</si>
  <si>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</si>
  <si>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</si>
  <si>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</si>
  <si>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</si>
  <si>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</si>
  <si>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</si>
  <si>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</si>
  <si>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</si>
  <si>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</si>
  <si>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</si>
  <si>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</si>
  <si>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</si>
  <si>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</si>
  <si>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</si>
  <si>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</si>
  <si>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</si>
  <si>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</si>
  <si>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</si>
  <si>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</si>
  <si>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</si>
  <si>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</si>
  <si>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</si>
  <si>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</si>
  <si>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</si>
  <si>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</si>
  <si>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</si>
  <si>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</si>
  <si>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</si>
  <si>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</si>
  <si>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</si>
  <si>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</si>
  <si>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</si>
  <si>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</si>
  <si>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</si>
  <si>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</si>
  <si>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</si>
  <si>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</si>
  <si>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</si>
  <si>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</si>
  <si>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</si>
  <si>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</si>
  <si>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</si>
  <si>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</si>
  <si>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</si>
  <si>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</si>
  <si>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</si>
  <si>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</si>
  <si>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</si>
  <si>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</si>
  <si>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</si>
  <si>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</si>
  <si>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</si>
  <si>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</si>
  <si>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</si>
  <si>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</si>
  <si>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</si>
  <si>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</si>
  <si>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</si>
  <si>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</si>
  <si>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</si>
  <si>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</si>
  <si>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</si>
  <si>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</si>
  <si>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</si>
  <si>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</si>
  <si>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</si>
  <si>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</si>
  <si>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</si>
  <si>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</si>
  <si>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</si>
  <si>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</si>
  <si>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</si>
  <si>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</si>
  <si>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</si>
  <si>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</si>
  <si>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</si>
  <si>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</si>
  <si>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</si>
  <si>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</si>
  <si>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</si>
  <si>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</si>
  <si>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</si>
  <si>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</si>
  <si>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</si>
  <si>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</si>
  <si>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</si>
  <si>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</si>
  <si>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</si>
  <si>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</si>
  <si>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</si>
  <si>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</si>
  <si>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</si>
  <si>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</si>
  <si>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</si>
  <si>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</si>
  <si>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</si>
  <si>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</si>
  <si>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</si>
  <si>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</si>
  <si>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</si>
  <si>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</si>
  <si>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</si>
  <si>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</si>
  <si>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</si>
  <si>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</si>
  <si>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</si>
  <si>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</si>
  <si>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</si>
  <si>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</si>
  <si>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</si>
  <si>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</si>
  <si>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</si>
  <si>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</si>
  <si>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</si>
  <si>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</si>
  <si>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</si>
  <si>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</si>
  <si>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</si>
  <si>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</si>
  <si>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</si>
  <si>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</si>
  <si>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</si>
  <si>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</si>
  <si>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</si>
  <si>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</si>
  <si>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</si>
  <si>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</si>
  <si>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</si>
  <si>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</si>
  <si>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</si>
  <si>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</si>
  <si>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</si>
  <si>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</si>
  <si>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</si>
  <si>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</si>
  <si>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</si>
  <si>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</si>
  <si>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</si>
  <si>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</si>
  <si>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</si>
  <si>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</si>
  <si>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</si>
  <si>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</si>
  <si>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</si>
  <si>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</si>
  <si>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</si>
  <si>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</si>
  <si>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</si>
  <si>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</si>
  <si>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</si>
  <si>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</si>
  <si>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</si>
  <si>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</si>
  <si>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</si>
  <si>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</si>
  <si>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</si>
  <si>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</si>
  <si>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</si>
  <si>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</si>
  <si>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</si>
  <si>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</si>
  <si>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</si>
  <si>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</si>
  <si>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</si>
  <si>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</si>
  <si>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</si>
  <si>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</si>
  <si>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</si>
  <si>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</si>
  <si>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</si>
  <si>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</si>
  <si>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</si>
  <si>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</si>
  <si>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</si>
  <si>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</si>
  <si>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</si>
  <si>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</si>
  <si>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</si>
  <si>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</si>
  <si>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</si>
  <si>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</si>
  <si>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</si>
  <si>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</si>
  <si>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</si>
  <si>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</si>
  <si>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</si>
  <si>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</si>
  <si>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</si>
  <si>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</si>
  <si>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</si>
  <si>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</si>
  <si>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</si>
  <si>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</si>
  <si>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</si>
  <si>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</si>
  <si>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</si>
  <si>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</si>
  <si>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</si>
  <si>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</si>
  <si>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</si>
  <si>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</si>
  <si>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</si>
  <si>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</si>
  <si>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</si>
  <si>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</si>
  <si>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</si>
  <si>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</si>
  <si>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</si>
  <si>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</si>
  <si>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</si>
  <si>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</si>
  <si>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</si>
  <si>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</si>
  <si>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</si>
  <si>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</si>
  <si>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</si>
  <si>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</si>
  <si>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</si>
  <si>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</si>
  <si>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</si>
  <si>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</si>
  <si>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</si>
  <si>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</si>
  <si>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</si>
  <si>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</si>
  <si>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</si>
  <si>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</si>
  <si>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</si>
  <si>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</si>
  <si>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</si>
  <si>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</si>
  <si>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</si>
  <si>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</si>
  <si>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</si>
  <si>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</si>
  <si>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</si>
  <si>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</si>
  <si>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</si>
  <si>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</si>
  <si>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</si>
  <si>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</si>
  <si>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</si>
  <si>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</si>
  <si>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</si>
  <si>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</si>
  <si>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</si>
  <si>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</si>
  <si>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</si>
  <si>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</si>
  <si>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</si>
  <si>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</si>
  <si>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</si>
  <si>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</si>
  <si>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</si>
  <si>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</si>
  <si>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</si>
  <si>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</si>
  <si>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</si>
  <si>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</si>
  <si>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</si>
  <si>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</si>
  <si>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</si>
  <si>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</si>
  <si>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</si>
  <si>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</si>
  <si>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</si>
  <si>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</si>
  <si>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</si>
  <si>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</si>
  <si>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</si>
  <si>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</si>
  <si>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</si>
  <si>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</si>
  <si>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</si>
  <si>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</si>
  <si>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</si>
  <si>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</si>
  <si>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</si>
  <si>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</si>
  <si>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</si>
  <si>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</si>
  <si>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</si>
  <si>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</si>
  <si>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</si>
  <si>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</si>
  <si>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</si>
  <si>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</si>
  <si>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</si>
  <si>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</si>
  <si>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</si>
  <si>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</si>
  <si>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</si>
  <si>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</si>
  <si>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</si>
  <si>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</si>
  <si>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</si>
  <si>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</si>
  <si>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</si>
  <si>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</si>
  <si>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</si>
  <si>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</si>
  <si>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</si>
  <si>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</si>
  <si>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</si>
  <si>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</si>
  <si>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</si>
  <si>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</si>
  <si>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</si>
  <si>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</si>
  <si>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</si>
  <si>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</si>
  <si>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</si>
  <si>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</si>
  <si>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</si>
  <si>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</si>
  <si>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</si>
  <si>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</si>
  <si>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</si>
  <si>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</si>
  <si>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</si>
  <si>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</si>
  <si>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</si>
  <si>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</si>
  <si>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</si>
  <si>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</si>
  <si>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</si>
  <si>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</si>
  <si>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</si>
  <si>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</si>
  <si>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</si>
  <si>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</si>
  <si>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</si>
  <si>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</si>
  <si>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</si>
  <si>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</si>
  <si>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</si>
  <si>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</si>
  <si>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</si>
  <si>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</si>
  <si>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</si>
  <si>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</si>
  <si>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</si>
  <si>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</si>
  <si>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</si>
  <si>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</si>
  <si>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</si>
  <si>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</si>
  <si>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</si>
  <si>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</si>
  <si>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</si>
  <si>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</si>
  <si>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</si>
  <si>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</si>
  <si>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</si>
  <si>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</si>
  <si>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</si>
  <si>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</si>
  <si>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</si>
  <si>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</si>
  <si>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</si>
  <si>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</si>
  <si>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</si>
  <si>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</si>
  <si>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</si>
  <si>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</si>
  <si>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</si>
  <si>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</si>
  <si>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</si>
  <si>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</si>
  <si>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</si>
  <si>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</si>
  <si>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</si>
  <si>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</si>
  <si>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</si>
  <si>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</si>
  <si>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</si>
  <si>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</si>
  <si>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</si>
  <si>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</si>
  <si>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</si>
  <si>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</si>
  <si>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</si>
  <si>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</si>
  <si>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</si>
  <si>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</si>
  <si>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</si>
  <si>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</si>
  <si>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</si>
  <si>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</si>
  <si>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</si>
  <si>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</si>
  <si>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</si>
  <si>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</si>
  <si>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</si>
  <si>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</si>
  <si>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</si>
  <si>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</si>
  <si>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</si>
  <si>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</si>
  <si>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</si>
  <si>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</si>
  <si>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</si>
  <si>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</si>
  <si>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</si>
  <si>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</si>
  <si>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</si>
  <si>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</si>
  <si>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</si>
  <si>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</si>
  <si>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</si>
  <si>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</si>
  <si>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</si>
  <si>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</si>
  <si>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</si>
  <si>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</si>
  <si>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</si>
  <si>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</si>
  <si>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</si>
  <si>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</si>
  <si>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</si>
  <si>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</si>
  <si>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</si>
  <si>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</si>
  <si>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</si>
  <si>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</si>
  <si>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</si>
  <si>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</si>
  <si>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</si>
  <si>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</si>
  <si>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</si>
  <si>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</si>
  <si>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</si>
  <si>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</si>
  <si>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</si>
  <si>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</si>
  <si>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</si>
  <si>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</si>
  <si>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</si>
  <si>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</si>
  <si>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</si>
  <si>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</si>
  <si>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</si>
  <si>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</si>
  <si>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</si>
  <si>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</si>
  <si>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</si>
  <si>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</si>
  <si>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</si>
  <si>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</si>
  <si>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</si>
  <si>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</si>
  <si>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</si>
  <si>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</si>
  <si>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</si>
  <si>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</si>
  <si>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</si>
  <si>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</si>
  <si>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</si>
  <si>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</si>
  <si>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</si>
  <si>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</si>
  <si>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</si>
  <si>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</si>
  <si>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</si>
  <si>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</si>
  <si>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</si>
  <si>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</si>
  <si>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</si>
  <si>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</si>
  <si>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</si>
  <si>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</si>
  <si>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</si>
  <si>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</si>
  <si>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</si>
  <si>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</si>
  <si>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</si>
  <si>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</si>
  <si>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</si>
  <si>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</si>
  <si>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</si>
  <si>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</si>
  <si>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</si>
  <si>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</si>
  <si>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</si>
  <si>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</si>
  <si>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</si>
  <si>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</si>
  <si>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</si>
  <si>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</si>
  <si>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</si>
  <si>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</si>
  <si>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</si>
  <si>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</si>
  <si>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</si>
  <si>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</si>
  <si>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</si>
  <si>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</si>
  <si>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</si>
  <si>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</si>
  <si>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</si>
  <si>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</si>
  <si>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</si>
  <si>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</si>
  <si>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</si>
  <si>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</si>
  <si>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</si>
  <si>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</si>
  <si>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</si>
  <si>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</si>
  <si>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</si>
  <si>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</si>
  <si>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</si>
  <si>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</si>
  <si>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</si>
  <si>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</si>
  <si>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</si>
  <si>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</si>
  <si>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</si>
  <si>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</si>
  <si>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</si>
  <si>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</si>
  <si>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</si>
  <si>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</si>
  <si>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</si>
  <si>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</si>
  <si>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</si>
  <si>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</si>
  <si>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</si>
  <si>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</si>
  <si>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</si>
  <si>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</si>
  <si>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</si>
  <si>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</si>
  <si>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</si>
  <si>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</si>
  <si>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</si>
  <si>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</si>
  <si>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</si>
  <si>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</si>
  <si>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</si>
  <si>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</si>
  <si>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</si>
  <si>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</si>
  <si>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</si>
  <si>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</si>
  <si>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</si>
  <si>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</si>
  <si>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</si>
  <si>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</si>
  <si>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</si>
  <si>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</si>
  <si>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</si>
  <si>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</si>
  <si>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</si>
  <si>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</si>
  <si>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</si>
  <si>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</si>
  <si>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</si>
  <si>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</si>
  <si>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</si>
  <si>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</si>
  <si>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</si>
  <si>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</si>
  <si>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</si>
  <si>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</si>
  <si>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</si>
  <si>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</si>
  <si>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</si>
  <si>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</si>
  <si>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</si>
  <si>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</si>
  <si>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</si>
  <si>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</si>
  <si>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</si>
  <si>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</si>
  <si>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</si>
  <si>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</si>
  <si>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</si>
  <si>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</si>
  <si>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</si>
  <si>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</si>
  <si>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</si>
  <si>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</si>
  <si>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</si>
  <si>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</si>
  <si>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</si>
  <si>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</si>
  <si>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</si>
  <si>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</si>
  <si>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</si>
  <si>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</si>
  <si>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</si>
  <si>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</si>
  <si>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</si>
  <si>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</si>
  <si>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</si>
  <si>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</si>
  <si>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</si>
  <si>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</si>
  <si>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</si>
  <si>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</si>
  <si>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</si>
  <si>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</si>
  <si>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</si>
  <si>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</si>
  <si>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</si>
  <si>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</si>
  <si>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</si>
  <si>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</si>
  <si>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</si>
  <si>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</si>
  <si>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</si>
  <si>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</si>
  <si>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</si>
  <si>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</si>
  <si>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</si>
  <si>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</si>
  <si>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</si>
  <si>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</si>
  <si>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</si>
  <si>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</si>
  <si>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</si>
  <si>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</si>
  <si>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</si>
  <si>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</si>
  <si>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</si>
  <si>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</si>
  <si>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</si>
  <si>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</si>
  <si>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</si>
  <si>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</si>
  <si>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</si>
  <si>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</si>
  <si>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</si>
  <si>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</si>
  <si>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</si>
  <si>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</si>
  <si>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</si>
  <si>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</si>
  <si>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</si>
  <si>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</si>
  <si>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</si>
  <si>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</si>
  <si>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</si>
  <si>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</si>
  <si>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</si>
  <si>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</si>
  <si>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</si>
  <si>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</si>
  <si>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</si>
  <si>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</si>
  <si>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</si>
  <si>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</si>
  <si>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</si>
  <si>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</si>
  <si>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</si>
  <si>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</si>
  <si>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</si>
  <si>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</si>
  <si>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</si>
  <si>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</si>
  <si>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</si>
  <si>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</si>
  <si>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</si>
  <si>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</si>
  <si>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</si>
  <si>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</si>
  <si>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</si>
  <si>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</si>
  <si>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</si>
  <si>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</si>
  <si>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</si>
  <si>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</si>
  <si>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</si>
  <si>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</si>
  <si>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</si>
  <si>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</si>
  <si>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</si>
  <si>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</si>
  <si>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</si>
  <si>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</si>
  <si>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</si>
  <si>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</si>
  <si>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</si>
  <si>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</si>
  <si>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</si>
  <si>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</si>
  <si>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</si>
  <si>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</si>
  <si>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</si>
  <si>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</si>
  <si>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</si>
  <si>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</si>
  <si>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</si>
  <si>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</si>
  <si>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</si>
  <si>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</si>
  <si>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</si>
  <si>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</si>
  <si>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</si>
  <si>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</si>
  <si>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</si>
  <si>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</si>
  <si>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</si>
  <si>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</si>
  <si>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</si>
  <si>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</si>
  <si>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</si>
  <si>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</si>
  <si>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</si>
  <si>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</si>
  <si>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</si>
  <si>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</si>
  <si>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</si>
  <si>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</si>
  <si>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</si>
  <si>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</si>
  <si>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</si>
  <si>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</si>
  <si>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</si>
  <si>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</si>
  <si>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</si>
  <si>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</si>
  <si>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</si>
  <si>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</si>
  <si>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</si>
  <si>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</si>
  <si>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</si>
  <si>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</si>
  <si>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</si>
  <si>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</si>
  <si>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</si>
  <si>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</si>
  <si>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</si>
  <si>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</si>
  <si>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</si>
  <si>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</si>
  <si>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</si>
  <si>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</si>
  <si>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</si>
  <si>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</si>
  <si>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</si>
  <si>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</si>
  <si>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</si>
  <si>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</si>
  <si>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</si>
  <si>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</si>
  <si>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</si>
  <si>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</si>
  <si>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</si>
  <si>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</si>
  <si>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</si>
  <si>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</si>
  <si>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</si>
  <si>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</si>
  <si>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</si>
  <si>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</si>
  <si>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</si>
  <si>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</si>
  <si>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</si>
  <si>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</si>
  <si>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</si>
  <si>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</si>
  <si>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</si>
  <si>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</si>
  <si>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</si>
  <si>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</si>
  <si>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</si>
  <si>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</si>
  <si>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</si>
  <si>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</si>
  <si>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</si>
  <si>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</si>
  <si>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</si>
  <si>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</si>
  <si>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</si>
  <si>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</si>
  <si>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</si>
  <si>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</si>
  <si>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</si>
  <si>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</si>
  <si>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</si>
  <si>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</si>
  <si>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</si>
  <si>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</si>
  <si>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</si>
  <si>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</si>
  <si>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</si>
  <si>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</si>
  <si>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</si>
  <si>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</si>
  <si>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</si>
  <si>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</si>
  <si>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</si>
  <si>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</si>
  <si>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</si>
  <si>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</si>
  <si>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</si>
  <si>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</si>
  <si>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</si>
  <si>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</si>
  <si>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</si>
  <si>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Armando Barberà</t>
  </si>
  <si>
    <t>Decor corredera 2H lavadero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</si>
</sst>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2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7" zoomScaleNormal="100" workbookViewId="0">
      <selection activeCell="G13" sqref="G13:G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20250080</v>
      </c>
      <c r="G7" s="8">
        <f ca="1">TODAY()</f>
        <v>45762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1020</v>
      </c>
      <c r="C13" s="80" t="str">
        <f>IFERROR(VLOOKUP($B13,Tarifa_all_20240711!$A$2:$G$660,2,FALSE()),"-")</f>
        <v>CARC.SIMPLE GUIA DESM.LAC.6 ESP.2-4 MTS</v>
      </c>
      <c r="D13" s="80"/>
      <c r="E13" s="17">
        <v>1</v>
      </c>
      <c r="F13" s="18">
        <f>IFERROR(VLOOKUP($B13,Tarifa_all_20240711!$A$2:$G$660,5,FALSE()),"-")</f>
        <v>128.07</v>
      </c>
      <c r="G13" s="91">
        <f t="shared" ref="G13:G30" si="0">IFERROR(E13*F13,"-")</f>
        <v>128.07</v>
      </c>
      <c r="H13" s="1"/>
    </row>
    <row r="14" spans="1:12" x14ac:dyDescent="0.25">
      <c r="A14" t="s">
        <v>15</v>
      </c>
      <c r="B14" s="16" t="s">
        <v>980</v>
      </c>
      <c r="C14" s="80" t="str">
        <f>IFERROR(VLOOKUP($B14,Tarifa_all_20240711!$A$2:$G$660,2,FALSE()),"-")</f>
        <v>GUIA SKY PLUS DESMONT.LAC.6 ESP.2-4 MTS</v>
      </c>
      <c r="D14" s="80"/>
      <c r="E14" s="17">
        <v>1</v>
      </c>
      <c r="F14" s="18">
        <f>IFERROR(VLOOKUP($B14,Tarifa_all_20240711!$A$2:$G$660,5,FALSE()),"-")</f>
        <v>95.8125</v>
      </c>
      <c r="G14" s="91">
        <f t="shared" si="0"/>
        <v>95.8125</v>
      </c>
      <c r="H14" s="1"/>
    </row>
    <row r="15" spans="1:12" x14ac:dyDescent="0.25">
      <c r="A15" t="s">
        <v>16</v>
      </c>
      <c r="B15" s="16" t="s">
        <v>297</v>
      </c>
      <c r="C15" s="80" t="str">
        <f>IFERROR(VLOOKUP($B15,Tarifa_all_20240711!$A$2:$G$660,2,FALSE()),"-")</f>
        <v>KIT ANCLAJE TECHO PARA GUIA PLADUR PLUS DEMONTABLE</v>
      </c>
      <c r="D15" s="80"/>
      <c r="E15" s="17">
        <v>6</v>
      </c>
      <c r="F15" s="18">
        <f>IFERROR(VLOOKUP($B15,Tarifa_all_20240711!$A$2:$G$660,5,FALSE()),"-")</f>
        <v>11.737500000000001</v>
      </c>
      <c r="G15" s="91">
        <f t="shared" si="0"/>
        <v>70.425000000000011</v>
      </c>
      <c r="H15" s="1"/>
    </row>
    <row r="16" spans="1:12" x14ac:dyDescent="0.25">
      <c r="A16" t="s">
        <v>17</v>
      </c>
      <c r="B16" s="16" t="s">
        <v>566</v>
      </c>
      <c r="C16" s="80" t="str">
        <f>IFERROR(VLOOKUP($B16,Tarifa_all_20240711!$A$2:$G$660,2,FALSE()),"-")</f>
        <v>KIT AMORTIGUADOR SKY GUIA DESMONT. BIDIRECCIONAL 60KG</v>
      </c>
      <c r="D16" s="80"/>
      <c r="E16" s="17">
        <v>2</v>
      </c>
      <c r="F16" s="18">
        <f>IFERROR(VLOOKUP($B16,Tarifa_all_20240711!$A$2:$G$660,5,FALSE()),"-")</f>
        <v>30.599999999999998</v>
      </c>
      <c r="G16" s="91">
        <f t="shared" si="0"/>
        <v>61.199999999999996</v>
      </c>
      <c r="H16" s="1"/>
    </row>
    <row r="17" spans="1:8" x14ac:dyDescent="0.25">
      <c r="A17" t="s">
        <v>18</v>
      </c>
      <c r="B17" s="16" t="s">
        <v>134</v>
      </c>
      <c r="C17" s="80" t="str">
        <f>IFERROR(VLOOKUP($B17,Tarifa_all_20240711!$A$2:$G$660,2,FALSE()),"-")</f>
        <v>KIT PUERTA PA CORREDERA LAC.NEGRO TEXTURADO</v>
      </c>
      <c r="D17" s="80"/>
      <c r="E17" s="17">
        <v>2</v>
      </c>
      <c r="F17" s="18">
        <f>IFERROR(VLOOKUP($B17,Tarifa_all_20240711!$A$2:$G$660,5,FALSE()),"-")</f>
        <v>215.65500000000003</v>
      </c>
      <c r="G17" s="91">
        <f t="shared" si="0"/>
        <v>431.31000000000006</v>
      </c>
      <c r="H17" s="1"/>
    </row>
    <row r="18" spans="1:8" x14ac:dyDescent="0.25">
      <c r="A18" t="s">
        <v>19</v>
      </c>
      <c r="B18" s="16" t="s">
        <v>335</v>
      </c>
      <c r="C18" s="80" t="str">
        <f>IFERROR(VLOOKUP($B18,Tarifa_all_20240711!$A$2:$G$660,2,FALSE()),"-")</f>
        <v>CARRO SKY MADERA 60KG</v>
      </c>
      <c r="D18" s="80"/>
      <c r="E18" s="17">
        <v>2</v>
      </c>
      <c r="F18" s="18">
        <f>IFERROR(VLOOKUP($B18,Tarifa_all_20240711!$A$2:$G$660,5,FALSE()),"-")</f>
        <v>16.634999999999998</v>
      </c>
      <c r="G18" s="91">
        <f t="shared" si="0"/>
        <v>33.269999999999996</v>
      </c>
      <c r="H18" s="1"/>
    </row>
    <row r="19" spans="1:8" x14ac:dyDescent="0.25">
      <c r="A19" t="s">
        <v>20</v>
      </c>
      <c r="B19" s="16" t="s">
        <v>515</v>
      </c>
      <c r="C19" s="80" t="str">
        <f>IFERROR(VLOOKUP($B19,Tarifa_all_20240711!$A$2:$G$660,2,FALSE()),"-")</f>
        <v>TIRADOR RECT.ADH CAVE LAC.NEGRO TEXTURADO: 2 UDS</v>
      </c>
      <c r="D19" s="80"/>
      <c r="E19" s="17">
        <v>2</v>
      </c>
      <c r="F19" s="18">
        <f>IFERROR(VLOOKUP($B19,Tarifa_all_20240711!$A$2:$G$660,5,FALSE()),"-")</f>
        <v>59.122500000000002</v>
      </c>
      <c r="G19" s="91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80" t="str">
        <f>IFERROR(VLOOKUP($B20,Tarifa_all_20240711!$A$2:$G$660,2,FALSE()),"-")</f>
        <v>GUIADOR FIJO PA LAC.NEGRO TEXTURADO</v>
      </c>
      <c r="D20" s="80"/>
      <c r="E20" s="17">
        <v>2</v>
      </c>
      <c r="F20" s="18">
        <f>IFERROR(VLOOKUP($B20,Tarifa_all_20240711!$A$2:$G$660,5,FALSE()),"-")</f>
        <v>8.61</v>
      </c>
      <c r="G20" s="91">
        <f t="shared" si="0"/>
        <v>17.22</v>
      </c>
      <c r="H20" s="1"/>
    </row>
    <row r="21" spans="1:8" x14ac:dyDescent="0.25">
      <c r="A21" t="s">
        <v>22</v>
      </c>
      <c r="B21" s="76" t="s">
        <v>143</v>
      </c>
      <c r="C21" s="81" t="str">
        <f>IFERROR(VLOOKUP($B21,Tarifa_all_20240711!$A$2:$G$660,2,FALSE()),"-")</f>
        <v>PERFIL EMBELL.HORIZ. ADH LAC.NEGRO TEXTURADO</v>
      </c>
      <c r="D21" s="81"/>
      <c r="E21" s="77">
        <v>7</v>
      </c>
      <c r="F21" s="78">
        <f>IFERROR(VLOOKUP($B21,Tarifa_all_20240711!$A$2:$G$660,5,FALSE()),"-")</f>
        <v>21.794999999999998</v>
      </c>
      <c r="G21" s="78">
        <f t="shared" si="0"/>
        <v>152.565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1108.1175000000001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9"/>
      <c r="E52" s="79"/>
      <c r="F52" s="79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Armando Barberà</v>
      </c>
      <c r="C9" s="90"/>
      <c r="D9" s="90"/>
      <c r="F9" s="3" t="s">
        <v>81</v>
      </c>
      <c r="G9" s="44">
        <f ca="1">TODAY()</f>
        <v>45762</v>
      </c>
    </row>
    <row r="10" spans="1:7" x14ac:dyDescent="0.25">
      <c r="A10" s="3" t="s">
        <v>82</v>
      </c>
      <c r="B10" s="11" t="str">
        <f>'DESPIECE (MATANALYSIS)'!C9</f>
        <v>Decor corredera 2H lavadero</v>
      </c>
      <c r="C10" s="45"/>
      <c r="D10" s="45"/>
      <c r="E10" s="46"/>
      <c r="F10" s="47" t="s">
        <v>83</v>
      </c>
      <c r="G10" s="7">
        <f>'DESPIECE (MATANALYSIS)'!C7</f>
        <v>20250080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99</v>
      </c>
      <c r="B47" s="86"/>
      <c r="C47" s="59"/>
      <c r="D47" s="59"/>
      <c r="E47" s="59"/>
      <c r="F47" s="87">
        <f>'DESPIECE (MATANALYSIS)'!G31</f>
        <v>1108.1175000000001</v>
      </c>
      <c r="G47" s="87"/>
    </row>
    <row r="48" spans="1:7" s="1" customFormat="1" ht="22.7" customHeight="1" x14ac:dyDescent="0.25">
      <c r="A48" s="88" t="s">
        <v>100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2025-04-15T10:25:20Z</dcterms:modified>
  <dc:language>es-ES</dc:language>
</cp:coreProperties>
</file>