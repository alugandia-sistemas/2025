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ALU\PROYECTOS\2025\20250028\calculos\2\"/>
    </mc:Choice>
  </mc:AlternateContent>
  <xr:revisionPtr revIDLastSave="0" documentId="13_ncr:1_{CDEF5733-F9F7-424A-96EE-66900300F05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erfiles" sheetId="1" r:id="rId1"/>
    <sheet name="Accesori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1" i="2" l="1"/>
  <c r="AK16" i="2"/>
  <c r="AL16" i="2" s="1"/>
  <c r="AK17" i="2"/>
  <c r="AL17" i="2" s="1"/>
  <c r="AK18" i="2"/>
  <c r="AK19" i="2"/>
  <c r="AL19" i="2" s="1"/>
  <c r="AK25" i="2"/>
  <c r="AL25" i="2"/>
  <c r="AL18" i="2"/>
  <c r="AL15" i="2"/>
  <c r="AL13" i="2"/>
  <c r="AL31" i="2"/>
  <c r="AL11" i="2"/>
  <c r="AL12" i="2"/>
  <c r="AL14" i="2"/>
  <c r="AL20" i="2"/>
  <c r="AL21" i="2"/>
  <c r="AL22" i="2"/>
  <c r="AL23" i="2"/>
  <c r="AL24" i="2"/>
  <c r="AL26" i="2"/>
  <c r="AL27" i="2"/>
  <c r="AL28" i="2"/>
  <c r="AL29" i="2"/>
  <c r="AL30" i="2"/>
  <c r="AL10" i="2"/>
  <c r="AK15" i="2"/>
  <c r="AK13" i="2"/>
  <c r="AJ32" i="2"/>
  <c r="AJ31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11" i="2"/>
  <c r="AJ12" i="2"/>
  <c r="AJ13" i="2"/>
  <c r="AJ14" i="2"/>
  <c r="AJ15" i="2"/>
  <c r="AJ10" i="2"/>
  <c r="AL32" i="2" l="1"/>
</calcChain>
</file>

<file path=xl/sharedStrings.xml><?xml version="1.0" encoding="utf-8"?>
<sst xmlns="http://schemas.openxmlformats.org/spreadsheetml/2006/main" count="143" uniqueCount="127">
  <si>
    <r>
      <rPr>
        <b/>
        <sz val="10"/>
        <rFont val="Arial"/>
        <family val="2"/>
      </rPr>
      <t>DATOS COMERCIALES</t>
    </r>
  </si>
  <si>
    <r>
      <rPr>
        <b/>
        <sz val="18"/>
        <color rgb="FFFFFFFF"/>
        <rFont val="Arial"/>
        <family val="2"/>
      </rPr>
      <t>LISTADO DE BARRAS A PEDIR</t>
    </r>
  </si>
  <si>
    <r>
      <rPr>
        <sz val="9"/>
        <rFont val="Arial"/>
        <family val="2"/>
      </rPr>
      <t xml:space="preserve">Cliente: Aluminios Cristian Obra: 20250028
</t>
    </r>
    <r>
      <rPr>
        <sz val="9"/>
        <rFont val="Arial"/>
        <family val="2"/>
      </rPr>
      <t>Presupuesto: Serie A / 1329 - Oferta 3</t>
    </r>
  </si>
  <si>
    <r>
      <rPr>
        <b/>
        <sz val="9"/>
        <rFont val="Arial"/>
        <family val="2"/>
      </rPr>
      <t>Obra: 20250028</t>
    </r>
  </si>
  <si>
    <r>
      <rPr>
        <sz val="10"/>
        <rFont val="Arial"/>
        <family val="2"/>
      </rPr>
      <t>Fecha:06/02/2025</t>
    </r>
  </si>
  <si>
    <r>
      <rPr>
        <b/>
        <sz val="9"/>
        <rFont val="Arial"/>
        <family val="2"/>
      </rPr>
      <t>ARTICULO</t>
    </r>
  </si>
  <si>
    <r>
      <rPr>
        <b/>
        <sz val="9"/>
        <rFont val="Arial"/>
        <family val="2"/>
      </rPr>
      <t>COLOR</t>
    </r>
  </si>
  <si>
    <r>
      <rPr>
        <b/>
        <sz val="8"/>
        <rFont val="Arial"/>
        <family val="2"/>
      </rPr>
      <t>Medida</t>
    </r>
  </si>
  <si>
    <r>
      <rPr>
        <b/>
        <sz val="8"/>
        <rFont val="Arial"/>
        <family val="2"/>
      </rPr>
      <t>Ud</t>
    </r>
  </si>
  <si>
    <r>
      <rPr>
        <b/>
        <sz val="8"/>
        <rFont val="Arial"/>
        <family val="2"/>
      </rPr>
      <t>Precio / m</t>
    </r>
  </si>
  <si>
    <r>
      <rPr>
        <b/>
        <sz val="9"/>
        <rFont val="Arial"/>
        <family val="2"/>
      </rPr>
      <t>Precio / Barra</t>
    </r>
  </si>
  <si>
    <r>
      <rPr>
        <b/>
        <sz val="9"/>
        <rFont val="Arial"/>
        <family val="2"/>
      </rPr>
      <t>Total metros</t>
    </r>
  </si>
  <si>
    <r>
      <rPr>
        <b/>
        <sz val="9"/>
        <rFont val="Arial"/>
        <family val="2"/>
      </rPr>
      <t>Peso total</t>
    </r>
  </si>
  <si>
    <r>
      <rPr>
        <b/>
        <sz val="9"/>
        <rFont val="Arial"/>
        <family val="2"/>
      </rPr>
      <t>Precio Total</t>
    </r>
  </si>
  <si>
    <r>
      <rPr>
        <b/>
        <sz val="11"/>
        <rFont val="Arial"/>
        <family val="2"/>
      </rPr>
      <t xml:space="preserve">PROVEEDOR: INDALSU
</t>
    </r>
    <r>
      <rPr>
        <b/>
        <sz val="10"/>
        <color rgb="FF7F7F7F"/>
        <rFont val="Arial"/>
        <family val="2"/>
      </rPr>
      <t>SERIE: ABISAGRADA DOMO 40</t>
    </r>
  </si>
  <si>
    <r>
      <rPr>
        <sz val="8"/>
        <rFont val="Arial"/>
        <family val="2"/>
      </rPr>
      <t>2814-Pletina pasador</t>
    </r>
  </si>
  <si>
    <r>
      <rPr>
        <sz val="8"/>
        <rFont val="Arial"/>
        <family val="2"/>
      </rPr>
      <t>LACADO BLANCO(9010) / LACADO BLANCO(9010)</t>
    </r>
  </si>
  <si>
    <r>
      <rPr>
        <sz val="8"/>
        <rFont val="Arial"/>
        <family val="2"/>
      </rPr>
      <t>6,5 m.</t>
    </r>
  </si>
  <si>
    <r>
      <rPr>
        <sz val="8"/>
        <color rgb="FF0000FF"/>
        <rFont val="Arial"/>
        <family val="2"/>
      </rPr>
      <t>19,5 m.</t>
    </r>
  </si>
  <si>
    <r>
      <rPr>
        <sz val="8"/>
        <color rgb="FF007F7F"/>
        <rFont val="Arial"/>
        <family val="2"/>
      </rPr>
      <t>3,06 Kg</t>
    </r>
  </si>
  <si>
    <r>
      <rPr>
        <b/>
        <vertAlign val="subscript"/>
        <sz val="10"/>
        <rFont val="Arial"/>
        <family val="2"/>
      </rPr>
      <t xml:space="preserve">Total Serie:         </t>
    </r>
    <r>
      <rPr>
        <b/>
        <sz val="8"/>
        <color rgb="FF0000FF"/>
        <rFont val="Arial"/>
        <family val="2"/>
      </rPr>
      <t xml:space="preserve">19,5 m           </t>
    </r>
    <r>
      <rPr>
        <b/>
        <sz val="8"/>
        <color rgb="FF007F7F"/>
        <rFont val="Arial"/>
        <family val="2"/>
      </rPr>
      <t>3,06 Kg</t>
    </r>
  </si>
  <si>
    <r>
      <rPr>
        <b/>
        <sz val="10"/>
        <color rgb="FF7F7F7F"/>
        <rFont val="Arial"/>
        <family val="2"/>
      </rPr>
      <t>SERIE: ABISAGRADA DOMO 60RT</t>
    </r>
  </si>
  <si>
    <r>
      <rPr>
        <sz val="8"/>
        <rFont val="Arial"/>
        <family val="2"/>
      </rPr>
      <t>2416-Inversor recto 2215-16</t>
    </r>
  </si>
  <si>
    <r>
      <rPr>
        <sz val="8"/>
        <color rgb="FF0000FF"/>
        <rFont val="Arial"/>
        <family val="2"/>
      </rPr>
      <t>13 m.</t>
    </r>
  </si>
  <si>
    <r>
      <rPr>
        <sz val="8"/>
        <color rgb="FF007F7F"/>
        <rFont val="Arial"/>
        <family val="2"/>
      </rPr>
      <t>13,35 Kg</t>
    </r>
  </si>
  <si>
    <r>
      <rPr>
        <sz val="8"/>
        <rFont val="Arial"/>
        <family val="2"/>
      </rPr>
      <t>2441-Marco recto ventana 2211-46</t>
    </r>
  </si>
  <si>
    <r>
      <rPr>
        <sz val="8"/>
        <color rgb="FF0000FF"/>
        <rFont val="Arial"/>
        <family val="2"/>
      </rPr>
      <t>58,5 m.</t>
    </r>
  </si>
  <si>
    <r>
      <rPr>
        <sz val="8"/>
        <color rgb="FF007F7F"/>
        <rFont val="Arial"/>
        <family val="2"/>
      </rPr>
      <t>53,29 Kg</t>
    </r>
  </si>
  <si>
    <r>
      <rPr>
        <sz val="8"/>
        <rFont val="Arial"/>
        <family val="2"/>
      </rPr>
      <t>2443-Hoja recta ventana 2241-2257</t>
    </r>
  </si>
  <si>
    <r>
      <rPr>
        <sz val="8"/>
        <color rgb="FF0000FF"/>
        <rFont val="Arial"/>
        <family val="2"/>
      </rPr>
      <t>78 m.</t>
    </r>
  </si>
  <si>
    <r>
      <rPr>
        <sz val="8"/>
        <color rgb="FF007F7F"/>
        <rFont val="Arial"/>
        <family val="2"/>
      </rPr>
      <t>92,9 Kg</t>
    </r>
  </si>
  <si>
    <r>
      <rPr>
        <b/>
        <vertAlign val="subscript"/>
        <sz val="10"/>
        <rFont val="Arial"/>
        <family val="2"/>
      </rPr>
      <t xml:space="preserve">Total Serie:       </t>
    </r>
    <r>
      <rPr>
        <b/>
        <sz val="8"/>
        <color rgb="FF0000FF"/>
        <rFont val="Arial"/>
        <family val="2"/>
      </rPr>
      <t xml:space="preserve">149,5 m       </t>
    </r>
    <r>
      <rPr>
        <b/>
        <sz val="8"/>
        <color rgb="FF007F7F"/>
        <rFont val="Arial"/>
        <family val="2"/>
      </rPr>
      <t>159,54 Kg</t>
    </r>
  </si>
  <si>
    <r>
      <rPr>
        <b/>
        <sz val="10"/>
        <color rgb="FF7F7F7F"/>
        <rFont val="Arial"/>
        <family val="2"/>
      </rPr>
      <t>SERIE: JUNQUILLOS</t>
    </r>
  </si>
  <si>
    <r>
      <rPr>
        <sz val="8"/>
        <rFont val="Arial"/>
        <family val="2"/>
      </rPr>
      <t>2808-Junquillo recto de 17.5mm</t>
    </r>
  </si>
  <si>
    <r>
      <rPr>
        <sz val="8"/>
        <color rgb="FF0000FF"/>
        <rFont val="Arial"/>
        <family val="2"/>
      </rPr>
      <t>71,5 m.</t>
    </r>
  </si>
  <si>
    <r>
      <rPr>
        <sz val="8"/>
        <color rgb="FF007F7F"/>
        <rFont val="Arial"/>
        <family val="2"/>
      </rPr>
      <t>17,59 Kg</t>
    </r>
  </si>
  <si>
    <r>
      <rPr>
        <b/>
        <vertAlign val="subscript"/>
        <sz val="10"/>
        <rFont val="Arial"/>
        <family val="2"/>
      </rPr>
      <t xml:space="preserve">Total Serie:         </t>
    </r>
    <r>
      <rPr>
        <b/>
        <sz val="8"/>
        <color rgb="FF0000FF"/>
        <rFont val="Arial"/>
        <family val="2"/>
      </rPr>
      <t xml:space="preserve">71,5 m         </t>
    </r>
    <r>
      <rPr>
        <b/>
        <sz val="8"/>
        <color rgb="FF007F7F"/>
        <rFont val="Arial"/>
        <family val="2"/>
      </rPr>
      <t>17,59 Kg</t>
    </r>
  </si>
  <si>
    <r>
      <rPr>
        <b/>
        <sz val="10"/>
        <color rgb="FF7F7F7F"/>
        <rFont val="Arial"/>
        <family val="2"/>
      </rPr>
      <t>SERIE: SOLAPES</t>
    </r>
  </si>
  <si>
    <r>
      <rPr>
        <sz val="8"/>
        <rFont val="Arial"/>
        <family val="2"/>
      </rPr>
      <t>2817-Guarnición lisa</t>
    </r>
  </si>
  <si>
    <r>
      <rPr>
        <sz val="8"/>
        <color rgb="FF007F7F"/>
        <rFont val="Arial"/>
        <family val="2"/>
      </rPr>
      <t>12,52 Kg</t>
    </r>
  </si>
  <si>
    <r>
      <rPr>
        <b/>
        <sz val="10"/>
        <rFont val="Arial"/>
        <family val="2"/>
      </rPr>
      <t xml:space="preserve">Total Serie:         </t>
    </r>
    <r>
      <rPr>
        <b/>
        <vertAlign val="superscript"/>
        <sz val="8"/>
        <color rgb="FF0000FF"/>
        <rFont val="Arial"/>
        <family val="2"/>
      </rPr>
      <t>58,5 m</t>
    </r>
  </si>
  <si>
    <r>
      <rPr>
        <b/>
        <sz val="8"/>
        <color rgb="FF007F7F"/>
        <rFont val="Arial"/>
        <family val="2"/>
      </rPr>
      <t>12,52 Kg</t>
    </r>
  </si>
  <si>
    <r>
      <rPr>
        <b/>
        <sz val="12"/>
        <rFont val="Arial"/>
        <family val="2"/>
      </rPr>
      <t xml:space="preserve">Total Proveedor:        </t>
    </r>
    <r>
      <rPr>
        <b/>
        <vertAlign val="superscript"/>
        <sz val="8"/>
        <color rgb="FF0000FF"/>
        <rFont val="Arial"/>
        <family val="2"/>
      </rPr>
      <t>299 m</t>
    </r>
  </si>
  <si>
    <r>
      <rPr>
        <b/>
        <sz val="8"/>
        <color rgb="FF007F7F"/>
        <rFont val="Arial"/>
        <family val="2"/>
      </rPr>
      <t>192,71 Kg</t>
    </r>
  </si>
  <si>
    <r>
      <rPr>
        <b/>
        <sz val="12"/>
        <rFont val="Arial"/>
        <family val="2"/>
      </rPr>
      <t xml:space="preserve">Total Pedido:       </t>
    </r>
    <r>
      <rPr>
        <b/>
        <vertAlign val="superscript"/>
        <sz val="8"/>
        <color rgb="FF0000FF"/>
        <rFont val="Arial"/>
        <family val="2"/>
      </rPr>
      <t>299 m</t>
    </r>
  </si>
  <si>
    <r>
      <rPr>
        <b/>
        <sz val="18"/>
        <color rgb="FFFFFFFF"/>
        <rFont val="Arial"/>
        <family val="2"/>
      </rPr>
      <t>LISTADO DE ACCESORIOS A PEDIR</t>
    </r>
  </si>
  <si>
    <r>
      <rPr>
        <b/>
        <sz val="9"/>
        <rFont val="Arial"/>
        <family val="2"/>
      </rPr>
      <t>Cantidad</t>
    </r>
  </si>
  <si>
    <r>
      <rPr>
        <b/>
        <sz val="9"/>
        <rFont val="Arial"/>
        <family val="2"/>
      </rPr>
      <t>Ancho</t>
    </r>
  </si>
  <si>
    <r>
      <rPr>
        <b/>
        <sz val="9"/>
        <rFont val="Arial"/>
        <family val="2"/>
      </rPr>
      <t>Alto</t>
    </r>
  </si>
  <si>
    <r>
      <rPr>
        <b/>
        <sz val="9"/>
        <rFont val="Arial"/>
        <family val="2"/>
      </rPr>
      <t>Precio</t>
    </r>
  </si>
  <si>
    <r>
      <rPr>
        <b/>
        <sz val="9"/>
        <rFont val="Arial"/>
        <family val="2"/>
      </rPr>
      <t>Precio total</t>
    </r>
  </si>
  <si>
    <r>
      <rPr>
        <sz val="8"/>
        <rFont val="Arial"/>
        <family val="2"/>
      </rPr>
      <t>30371-TAPA DESAGUE NEGRO - HERRAJE BLANCO</t>
    </r>
  </si>
  <si>
    <r>
      <rPr>
        <sz val="8"/>
        <rFont val="Arial"/>
        <family val="2"/>
      </rPr>
      <t>33040-COMPAS OB 80 KG PEQUEÑO - Sin color</t>
    </r>
  </si>
  <si>
    <r>
      <rPr>
        <sz val="8"/>
        <rFont val="Arial"/>
        <family val="2"/>
      </rPr>
      <t>33180-PUNTO DE CIERRE ADICIONAL HOJA PASIVA - Sin color</t>
    </r>
  </si>
  <si>
    <r>
      <rPr>
        <sz val="8"/>
        <rFont val="Arial"/>
        <family val="2"/>
      </rPr>
      <t xml:space="preserve">31073-JUNTA INTERIOR ACRIST. 3,5-5(Rollo de 200 metros) - Sin
</t>
    </r>
    <r>
      <rPr>
        <sz val="8"/>
        <rFont val="Arial"/>
        <family val="2"/>
      </rPr>
      <t>color</t>
    </r>
  </si>
  <si>
    <r>
      <rPr>
        <sz val="8"/>
        <rFont val="Arial"/>
        <family val="2"/>
      </rPr>
      <t>33042-COMPAS OB 80 KG GRANDE - Sin color</t>
    </r>
  </si>
  <si>
    <r>
      <rPr>
        <sz val="8"/>
        <rFont val="Arial"/>
        <family val="2"/>
      </rPr>
      <t xml:space="preserve">31072-JUNTA ACRIST. EXTERIOR EPDM 3,5x3(Rollo de 200
</t>
    </r>
    <r>
      <rPr>
        <sz val="8"/>
        <rFont val="Arial"/>
        <family val="2"/>
      </rPr>
      <t>metros) - Sin color</t>
    </r>
  </si>
  <si>
    <r>
      <rPr>
        <sz val="8"/>
        <rFont val="Arial"/>
        <family val="2"/>
      </rPr>
      <t xml:space="preserve">31051-JUNTA CENTRAL DOMO-60 RT(Rollo de 120 metros) - Sin
</t>
    </r>
    <r>
      <rPr>
        <sz val="8"/>
        <rFont val="Arial"/>
        <family val="2"/>
      </rPr>
      <t>color</t>
    </r>
  </si>
  <si>
    <r>
      <rPr>
        <sz val="8"/>
        <rFont val="Arial"/>
        <family val="2"/>
      </rPr>
      <t xml:space="preserve">30459-JUEGO TAPA INVERSOR RECTA D-60 RT(Conjunto de 25
</t>
    </r>
    <r>
      <rPr>
        <sz val="8"/>
        <rFont val="Arial"/>
        <family val="2"/>
      </rPr>
      <t>unidades) - Sin color</t>
    </r>
  </si>
  <si>
    <r>
      <rPr>
        <sz val="8"/>
        <rFont val="Arial"/>
        <family val="2"/>
      </rPr>
      <t xml:space="preserve">30200-ESCUADRAS ALMTO. 30x15x0.8 MM(Conjunto de 100
</t>
    </r>
    <r>
      <rPr>
        <sz val="8"/>
        <rFont val="Arial"/>
        <family val="2"/>
      </rPr>
      <t>unidades) - Sin color</t>
    </r>
  </si>
  <si>
    <r>
      <rPr>
        <sz val="8"/>
        <rFont val="Arial"/>
        <family val="2"/>
      </rPr>
      <t xml:space="preserve">31041-JUNTA BATIENTE COEXTRUSIONADA(Rollo de 300
</t>
    </r>
    <r>
      <rPr>
        <sz val="8"/>
        <rFont val="Arial"/>
        <family val="2"/>
      </rPr>
      <t>metros) - Sin color</t>
    </r>
  </si>
  <si>
    <r>
      <rPr>
        <sz val="8"/>
        <rFont val="Arial"/>
        <family val="2"/>
      </rPr>
      <t>33041-COMPAS OB 80KG MEDIANO - Sin color</t>
    </r>
  </si>
  <si>
    <r>
      <rPr>
        <sz val="8"/>
        <rFont val="Arial"/>
        <family val="2"/>
      </rPr>
      <t>33160-ENCUENTRO SIMPLE - Sin color</t>
    </r>
  </si>
  <si>
    <r>
      <rPr>
        <sz val="8"/>
        <rFont val="Arial"/>
        <family val="2"/>
      </rPr>
      <t>33010-BISAGRA ACTIVA OB 80 KG - HERRAJE BLANCO</t>
    </r>
  </si>
  <si>
    <r>
      <rPr>
        <sz val="8"/>
        <rFont val="Arial"/>
        <family val="2"/>
      </rPr>
      <t>33100-CREMONA OB KORA - HERRAJE BLANCO</t>
    </r>
  </si>
  <si>
    <r>
      <rPr>
        <sz val="8"/>
        <rFont val="Arial"/>
        <family val="2"/>
      </rPr>
      <t>33150-PASADOR BIRECCIONAL - Sin color</t>
    </r>
  </si>
  <si>
    <r>
      <rPr>
        <sz val="8"/>
        <rFont val="Arial"/>
        <family val="2"/>
      </rPr>
      <t xml:space="preserve">30195-ESCUADRA ALINEAMIENTO ZAMAK(Conjunto de 250
</t>
    </r>
    <r>
      <rPr>
        <sz val="8"/>
        <rFont val="Arial"/>
        <family val="2"/>
      </rPr>
      <t>unidades) - Sin color</t>
    </r>
  </si>
  <si>
    <r>
      <rPr>
        <sz val="8"/>
        <rFont val="Arial"/>
        <family val="2"/>
      </rPr>
      <t>33140-ADAPTADOR HOJA PASIVA 80KG - Sin color</t>
    </r>
  </si>
  <si>
    <r>
      <rPr>
        <sz val="8"/>
        <rFont val="Arial"/>
        <family val="2"/>
      </rPr>
      <t>33165-KIT CIERRE SUPLEMENTARIO H-1200 L-1000 - Sin color</t>
    </r>
  </si>
  <si>
    <r>
      <rPr>
        <sz val="8"/>
        <rFont val="Arial"/>
        <family val="2"/>
      </rPr>
      <t>33170-ANGULO DE REENVIO EG - Sin color</t>
    </r>
  </si>
  <si>
    <r>
      <rPr>
        <sz val="8"/>
        <rFont val="Arial"/>
        <family val="2"/>
      </rPr>
      <t>31056-ANGULO VULCAN.J.CENTRAL D-60RT - Sin color</t>
    </r>
  </si>
  <si>
    <r>
      <rPr>
        <sz val="8"/>
        <rFont val="Arial"/>
        <family val="2"/>
      </rPr>
      <t>33000-MECANISMO OB - Sin color</t>
    </r>
  </si>
  <si>
    <r>
      <rPr>
        <sz val="8"/>
        <rFont val="Arial"/>
        <family val="2"/>
      </rPr>
      <t xml:space="preserve">30180-ESCUADRA TETÓN 24x14 - 0443 ALUGANDIA
</t>
    </r>
    <r>
      <rPr>
        <sz val="8"/>
        <rFont val="Arial"/>
        <family val="2"/>
      </rPr>
      <t>(Conjunto de 250 unidades) - Sin color</t>
    </r>
  </si>
  <si>
    <r>
      <rPr>
        <b/>
        <sz val="10"/>
        <rFont val="Arial"/>
        <family val="2"/>
      </rPr>
      <t xml:space="preserve">Total Accesorios:                                  </t>
    </r>
    <r>
      <rPr>
        <b/>
        <sz val="10"/>
        <color rgb="FF007F00"/>
        <rFont val="Arial"/>
        <family val="2"/>
      </rPr>
      <t>1505,43 €</t>
    </r>
  </si>
  <si>
    <r>
      <rPr>
        <b/>
        <sz val="18"/>
        <color rgb="FFFFFFFF"/>
        <rFont val="Arial"/>
        <family val="2"/>
      </rPr>
      <t>LISTADO DE CRISTALES A PEDIR</t>
    </r>
  </si>
  <si>
    <r>
      <rPr>
        <b/>
        <sz val="10"/>
        <rFont val="Arial"/>
        <family val="2"/>
      </rPr>
      <t xml:space="preserve">Total vidrios:                                </t>
    </r>
    <r>
      <rPr>
        <b/>
        <sz val="10"/>
        <color rgb="FF007F00"/>
        <rFont val="Arial"/>
        <family val="2"/>
      </rPr>
      <t>0 €</t>
    </r>
  </si>
  <si>
    <r>
      <rPr>
        <b/>
        <sz val="10"/>
        <rFont val="Arial"/>
        <family val="2"/>
      </rPr>
      <t>RESUMEN DEL PEDIDO</t>
    </r>
  </si>
  <si>
    <r>
      <rPr>
        <b/>
        <sz val="10"/>
        <rFont val="Arial"/>
        <family val="2"/>
      </rPr>
      <t>Perfiles</t>
    </r>
  </si>
  <si>
    <r>
      <rPr>
        <b/>
        <sz val="10"/>
        <rFont val="Arial"/>
        <family val="2"/>
      </rPr>
      <t>Accesorios</t>
    </r>
  </si>
  <si>
    <r>
      <rPr>
        <b/>
        <sz val="10"/>
        <rFont val="Arial"/>
        <family val="2"/>
      </rPr>
      <t>Mano Obra</t>
    </r>
  </si>
  <si>
    <r>
      <rPr>
        <b/>
        <sz val="10"/>
        <rFont val="Arial"/>
        <family val="2"/>
      </rPr>
      <t>Compactos</t>
    </r>
  </si>
  <si>
    <r>
      <rPr>
        <b/>
        <sz val="10"/>
        <rFont val="Arial"/>
        <family val="2"/>
      </rPr>
      <t>Vidrios</t>
    </r>
  </si>
  <si>
    <r>
      <rPr>
        <b/>
        <sz val="10"/>
        <rFont val="Arial"/>
        <family val="2"/>
      </rPr>
      <t>Total Pedido</t>
    </r>
  </si>
  <si>
    <t>DATOS COMERCIALES</t>
  </si>
  <si>
    <t>Obra: 20250028</t>
  </si>
  <si>
    <t>Fecha:06/02/2025</t>
  </si>
  <si>
    <t>ARTICULO</t>
  </si>
  <si>
    <t>Cantidad</t>
  </si>
  <si>
    <t>Ancho</t>
  </si>
  <si>
    <t>Alto</t>
  </si>
  <si>
    <t>Precio</t>
  </si>
  <si>
    <t>Precio total</t>
  </si>
  <si>
    <t>30371-TAPA DESAGUE NEGRO - HERRAJE BLANCO</t>
  </si>
  <si>
    <t>33040-COMPAS OB 80 KG PEQUEÑO - Sin color</t>
  </si>
  <si>
    <t>33180-PUNTO DE CIERRE ADICIONAL HOJA PASIVA - Sin color</t>
  </si>
  <si>
    <r>
      <rPr>
        <sz val="8"/>
        <rFont val="Arial"/>
        <family val="2"/>
      </rPr>
      <t>31073-JUNTA INTERIOR ACRIST. 3,5-5(Rollo de 200 metros) - Sin
color</t>
    </r>
  </si>
  <si>
    <t>33042-COMPAS OB 80 KG GRANDE - Sin color</t>
  </si>
  <si>
    <r>
      <rPr>
        <sz val="8"/>
        <rFont val="Arial"/>
        <family val="2"/>
      </rPr>
      <t>31072-JUNTA ACRIST. EXTERIOR EPDM 3,5x3(Rollo de 200
metros) - Sin color</t>
    </r>
  </si>
  <si>
    <r>
      <rPr>
        <sz val="8"/>
        <rFont val="Arial"/>
        <family val="2"/>
      </rPr>
      <t>31051-JUNTA CENTRAL DOMO-60 RT(Rollo de 120 metros) - Sin
color</t>
    </r>
  </si>
  <si>
    <r>
      <rPr>
        <sz val="8"/>
        <rFont val="Arial"/>
        <family val="2"/>
      </rPr>
      <t>30459-JUEGO TAPA INVERSOR RECTA D-60 RT(Conjunto de 25
unidades) - Sin color</t>
    </r>
  </si>
  <si>
    <r>
      <rPr>
        <sz val="8"/>
        <rFont val="Arial"/>
        <family val="2"/>
      </rPr>
      <t>30200-ESCUADRAS ALMTO. 30x15x0.8 MM(Conjunto de 100
unidades) - Sin color</t>
    </r>
  </si>
  <si>
    <r>
      <rPr>
        <sz val="8"/>
        <rFont val="Arial"/>
        <family val="2"/>
      </rPr>
      <t>31041-JUNTA BATIENTE COEXTRUSIONADA(Rollo de 300
metros) - Sin color</t>
    </r>
  </si>
  <si>
    <t>33041-COMPAS OB 80KG MEDIANO - Sin color</t>
  </si>
  <si>
    <t>33160-ENCUENTRO SIMPLE - Sin color</t>
  </si>
  <si>
    <t>33010-BISAGRA ACTIVA OB 80 KG - HERRAJE BLANCO</t>
  </si>
  <si>
    <t>33100-CREMONA OB KORA - HERRAJE BLANCO</t>
  </si>
  <si>
    <t>33150-PASADOR BIRECCIONAL - Sin color</t>
  </si>
  <si>
    <r>
      <rPr>
        <sz val="8"/>
        <rFont val="Arial"/>
        <family val="2"/>
      </rPr>
      <t>30195-ESCUADRA ALINEAMIENTO ZAMAK(Conjunto de 250
unidades) - Sin color</t>
    </r>
  </si>
  <si>
    <t>33140-ADAPTADOR HOJA PASIVA 80KG - Sin color</t>
  </si>
  <si>
    <t>33165-KIT CIERRE SUPLEMENTARIO H-1200 L-1000 - Sin color</t>
  </si>
  <si>
    <t>33170-ANGULO DE REENVIO EG - Sin color</t>
  </si>
  <si>
    <t>31056-ANGULO VULCAN.J.CENTRAL D-60RT - Sin color</t>
  </si>
  <si>
    <t>33000-MECANISMO OB - Sin color</t>
  </si>
  <si>
    <r>
      <rPr>
        <sz val="8"/>
        <rFont val="Arial"/>
        <family val="2"/>
      </rPr>
      <t>30180-ESCUADRA TETÓN 24x14 - 0443 ALUGANDIA
(Conjunto de 250 unidades) - Sin color</t>
    </r>
  </si>
  <si>
    <t>RESUMEN DEL PEDIDO</t>
  </si>
  <si>
    <t>Perfiles</t>
  </si>
  <si>
    <t>Accesorios</t>
  </si>
  <si>
    <t>Mano Obra</t>
  </si>
  <si>
    <t>Compactos</t>
  </si>
  <si>
    <t>Vidrios</t>
  </si>
  <si>
    <t>Total Pedido</t>
  </si>
  <si>
    <r>
      <t xml:space="preserve">Total Accesorios:                                  </t>
    </r>
    <r>
      <rPr>
        <b/>
        <sz val="8"/>
        <color rgb="FF007F00"/>
        <rFont val="Arial"/>
        <family val="2"/>
      </rPr>
      <t>1505,43 €</t>
    </r>
  </si>
  <si>
    <r>
      <rPr>
        <b/>
        <sz val="8"/>
        <color rgb="FFFFFFFF"/>
        <rFont val="Arial"/>
        <family val="2"/>
      </rPr>
      <t>LISTADO DE CRISTALES A PEDIR</t>
    </r>
  </si>
  <si>
    <r>
      <t xml:space="preserve">Total vidrios:                                </t>
    </r>
    <r>
      <rPr>
        <b/>
        <sz val="8"/>
        <color rgb="FF007F00"/>
        <rFont val="Arial"/>
        <family val="2"/>
      </rPr>
      <t>0 €</t>
    </r>
  </si>
  <si>
    <r>
      <rPr>
        <b/>
        <sz val="12"/>
        <color rgb="FFFFFFFF"/>
        <rFont val="Arial"/>
        <family val="2"/>
      </rPr>
      <t>LISTADO DE ACCESORIOS A PEDIR</t>
    </r>
  </si>
  <si>
    <r>
      <rPr>
        <sz val="10"/>
        <rFont val="Arial"/>
        <family val="2"/>
      </rPr>
      <t>Cliente: Aluminios Cristian Obra: 20250028
Presupuesto: Serie A / 1329 - Oferta 3</t>
    </r>
  </si>
  <si>
    <t>Prec. 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</si>
</sst>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\ \€"/>
    <numFmt numFmtId="165" formatCode="#,##0.00\ \€"/>
    <numFmt numFmtId="166" formatCode="0.000"/>
    <numFmt numFmtId="167" formatCode="0.0000"/>
    <numFmt numFmtId="168" formatCode="0\ \€"/>
  </numFmts>
  <fonts count="34" x14ac:knownFonts="1">
    <font>
      <sz val="10"/>
      <color rgb="FF000000"/>
      <name val="Times New Roman"/>
      <charset val="204"/>
    </font>
    <font>
      <b/>
      <sz val="10"/>
      <name val="Arial"/>
    </font>
    <font>
      <b/>
      <sz val="18"/>
      <name val="Arial"/>
    </font>
    <font>
      <b/>
      <sz val="9"/>
      <name val="Arial"/>
    </font>
    <font>
      <sz val="10"/>
      <name val="Arial"/>
    </font>
    <font>
      <b/>
      <sz val="8"/>
      <name val="Arial"/>
    </font>
    <font>
      <sz val="8"/>
      <name val="Arial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rgb="FF007F00"/>
      <name val="Arial"/>
      <family val="2"/>
    </font>
    <font>
      <b/>
      <sz val="12"/>
      <color rgb="FF000000"/>
      <name val="Arial"/>
      <family val="2"/>
    </font>
    <font>
      <b/>
      <sz val="10"/>
      <name val="Arial"/>
      <family val="2"/>
    </font>
    <font>
      <b/>
      <sz val="18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0"/>
      <color rgb="FF7F7F7F"/>
      <name val="Arial"/>
      <family val="2"/>
    </font>
    <font>
      <sz val="8"/>
      <name val="Arial"/>
      <family val="2"/>
    </font>
    <font>
      <sz val="8"/>
      <color rgb="FF0000FF"/>
      <name val="Arial"/>
      <family val="2"/>
    </font>
    <font>
      <sz val="8"/>
      <color rgb="FF007F7F"/>
      <name val="Arial"/>
      <family val="2"/>
    </font>
    <font>
      <b/>
      <vertAlign val="subscript"/>
      <sz val="10"/>
      <name val="Arial"/>
      <family val="2"/>
    </font>
    <font>
      <b/>
      <sz val="8"/>
      <color rgb="FF0000FF"/>
      <name val="Arial"/>
      <family val="2"/>
    </font>
    <font>
      <b/>
      <sz val="8"/>
      <color rgb="FF007F7F"/>
      <name val="Arial"/>
      <family val="2"/>
    </font>
    <font>
      <b/>
      <vertAlign val="superscript"/>
      <sz val="8"/>
      <color rgb="FF0000FF"/>
      <name val="Arial"/>
      <family val="2"/>
    </font>
    <font>
      <b/>
      <sz val="12"/>
      <name val="Arial"/>
      <family val="2"/>
    </font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7F00"/>
      <name val="Arial"/>
      <family val="2"/>
    </font>
    <font>
      <b/>
      <sz val="12"/>
      <color rgb="FFFFFFFF"/>
      <name val="Arial"/>
      <family val="2"/>
    </font>
    <font>
      <b/>
      <sz val="8"/>
      <color rgb="FF0099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9DF7B"/>
      </patternFill>
    </fill>
    <fill>
      <patternFill patternType="solid">
        <fgColor rgb="FF737373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707070"/>
      </bottom>
      <diagonal/>
    </border>
    <border>
      <left/>
      <right/>
      <top style="thin">
        <color rgb="FF000000"/>
      </top>
      <bottom style="thin">
        <color rgb="FF707070"/>
      </bottom>
      <diagonal/>
    </border>
    <border>
      <left/>
      <right style="thin">
        <color rgb="FF000000"/>
      </right>
      <top style="thin">
        <color rgb="FF000000"/>
      </top>
      <bottom style="thin">
        <color rgb="FF707070"/>
      </bottom>
      <diagonal/>
    </border>
    <border>
      <left style="thin">
        <color rgb="FF707070"/>
      </left>
      <right/>
      <top style="thin">
        <color rgb="FF000000"/>
      </top>
      <bottom style="thin">
        <color rgb="FF707070"/>
      </bottom>
      <diagonal/>
    </border>
    <border>
      <left/>
      <right style="thin">
        <color rgb="FF707070"/>
      </right>
      <top style="thin">
        <color rgb="FF000000"/>
      </top>
      <bottom style="thin">
        <color rgb="FF707070"/>
      </bottom>
      <diagonal/>
    </border>
    <border>
      <left style="thin">
        <color rgb="FF707070"/>
      </left>
      <right/>
      <top style="thin">
        <color rgb="FF707070"/>
      </top>
      <bottom style="thin">
        <color rgb="FF707070"/>
      </bottom>
      <diagonal/>
    </border>
    <border>
      <left/>
      <right/>
      <top style="thin">
        <color rgb="FF707070"/>
      </top>
      <bottom style="thin">
        <color rgb="FF707070"/>
      </bottom>
      <diagonal/>
    </border>
    <border>
      <left/>
      <right style="thin">
        <color rgb="FF707070"/>
      </right>
      <top style="thin">
        <color rgb="FF707070"/>
      </top>
      <bottom style="thin">
        <color rgb="FF707070"/>
      </bottom>
      <diagonal/>
    </border>
  </borders>
  <cellStyleXfs count="2">
    <xf numFmtId="0" fontId="0" fillId="0" borderId="0"/>
    <xf numFmtId="44" fontId="28" fillId="0" borderId="0" applyFont="0" applyFill="0" applyBorder="0" applyAlignment="0" applyProtection="0"/>
  </cellStyleXfs>
  <cellXfs count="224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6"/>
    </xf>
    <xf numFmtId="0" fontId="1" fillId="2" borderId="2" xfId="0" applyFont="1" applyFill="1" applyBorder="1" applyAlignment="1">
      <alignment horizontal="left" vertical="top" wrapText="1" indent="6"/>
    </xf>
    <xf numFmtId="0" fontId="1" fillId="2" borderId="3" xfId="0" applyFont="1" applyFill="1" applyBorder="1" applyAlignment="1">
      <alignment horizontal="left" vertical="top" wrapText="1" indent="6"/>
    </xf>
    <xf numFmtId="0" fontId="1" fillId="2" borderId="4" xfId="0" applyFont="1" applyFill="1" applyBorder="1" applyAlignment="1">
      <alignment horizontal="left" vertical="top" wrapText="1" indent="6"/>
    </xf>
    <xf numFmtId="0" fontId="1" fillId="2" borderId="5" xfId="0" applyFont="1" applyFill="1" applyBorder="1" applyAlignment="1">
      <alignment horizontal="left" vertical="top" wrapText="1" indent="6"/>
    </xf>
    <xf numFmtId="0" fontId="1" fillId="2" borderId="6" xfId="0" applyFont="1" applyFill="1" applyBorder="1" applyAlignment="1">
      <alignment horizontal="left" vertical="top" wrapText="1" indent="6"/>
    </xf>
    <xf numFmtId="0" fontId="0" fillId="0" borderId="0" xfId="0" applyAlignment="1">
      <alignment horizontal="left" wrapText="1"/>
    </xf>
    <xf numFmtId="0" fontId="2" fillId="3" borderId="0" xfId="0" applyFont="1" applyFill="1" applyAlignment="1">
      <alignment horizontal="left" vertical="top" wrapText="1" indent="8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left" vertical="top" wrapText="1" indent="3"/>
    </xf>
    <xf numFmtId="0" fontId="3" fillId="2" borderId="8" xfId="0" applyFont="1" applyFill="1" applyBorder="1" applyAlignment="1">
      <alignment horizontal="left" vertical="top" wrapText="1" indent="3"/>
    </xf>
    <xf numFmtId="0" fontId="3" fillId="2" borderId="9" xfId="0" applyFont="1" applyFill="1" applyBorder="1" applyAlignment="1">
      <alignment horizontal="left" vertical="top" wrapText="1" indent="3"/>
    </xf>
    <xf numFmtId="0" fontId="5" fillId="2" borderId="7" xfId="0" applyFont="1" applyFill="1" applyBorder="1" applyAlignment="1">
      <alignment horizontal="right" vertical="top" wrapText="1"/>
    </xf>
    <xf numFmtId="0" fontId="5" fillId="2" borderId="9" xfId="0" applyFont="1" applyFill="1" applyBorder="1" applyAlignment="1">
      <alignment horizontal="right"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left" vertical="top" wrapText="1" indent="1"/>
    </xf>
    <xf numFmtId="0" fontId="3" fillId="2" borderId="8" xfId="0" applyFont="1" applyFill="1" applyBorder="1" applyAlignment="1">
      <alignment horizontal="left" vertical="top" wrapText="1" indent="1"/>
    </xf>
    <xf numFmtId="0" fontId="3" fillId="2" borderId="9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3"/>
    </xf>
    <xf numFmtId="0" fontId="6" fillId="0" borderId="7" xfId="0" applyFont="1" applyBorder="1" applyAlignment="1">
      <alignment horizontal="left" vertical="top" wrapText="1" indent="6"/>
    </xf>
    <xf numFmtId="0" fontId="6" fillId="0" borderId="8" xfId="0" applyFont="1" applyBorder="1" applyAlignment="1">
      <alignment horizontal="left" vertical="top" wrapText="1" indent="6"/>
    </xf>
    <xf numFmtId="0" fontId="6" fillId="0" borderId="9" xfId="0" applyFont="1" applyBorder="1" applyAlignment="1">
      <alignment horizontal="left" vertical="top" wrapText="1" indent="6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right" vertical="top" wrapText="1"/>
    </xf>
    <xf numFmtId="1" fontId="7" fillId="0" borderId="7" xfId="0" applyNumberFormat="1" applyFont="1" applyBorder="1" applyAlignment="1">
      <alignment horizontal="center" vertical="top" shrinkToFit="1"/>
    </xf>
    <xf numFmtId="1" fontId="7" fillId="0" borderId="9" xfId="0" applyNumberFormat="1" applyFont="1" applyBorder="1" applyAlignment="1">
      <alignment horizontal="center" vertical="top" shrinkToFit="1"/>
    </xf>
    <xf numFmtId="164" fontId="7" fillId="0" borderId="7" xfId="0" applyNumberFormat="1" applyFont="1" applyBorder="1" applyAlignment="1">
      <alignment horizontal="right" vertical="top" shrinkToFit="1"/>
    </xf>
    <xf numFmtId="164" fontId="7" fillId="0" borderId="9" xfId="0" applyNumberFormat="1" applyFont="1" applyBorder="1" applyAlignment="1">
      <alignment horizontal="right" vertical="top" shrinkToFit="1"/>
    </xf>
    <xf numFmtId="164" fontId="7" fillId="0" borderId="8" xfId="0" applyNumberFormat="1" applyFont="1" applyBorder="1" applyAlignment="1">
      <alignment horizontal="right" vertical="top" shrinkToFit="1"/>
    </xf>
    <xf numFmtId="0" fontId="6" fillId="0" borderId="7" xfId="0" applyFont="1" applyBorder="1" applyAlignment="1">
      <alignment horizontal="left" vertical="top" wrapText="1" indent="3"/>
    </xf>
    <xf numFmtId="0" fontId="6" fillId="0" borderId="8" xfId="0" applyFont="1" applyBorder="1" applyAlignment="1">
      <alignment horizontal="left" vertical="top" wrapText="1" indent="3"/>
    </xf>
    <xf numFmtId="0" fontId="6" fillId="0" borderId="9" xfId="0" applyFont="1" applyBorder="1" applyAlignment="1">
      <alignment horizontal="left" vertical="top" wrapText="1" indent="3"/>
    </xf>
    <xf numFmtId="164" fontId="8" fillId="0" borderId="7" xfId="0" applyNumberFormat="1" applyFont="1" applyBorder="1" applyAlignment="1">
      <alignment horizontal="left" vertical="top" indent="4" shrinkToFit="1"/>
    </xf>
    <xf numFmtId="164" fontId="8" fillId="0" borderId="8" xfId="0" applyNumberFormat="1" applyFont="1" applyBorder="1" applyAlignment="1">
      <alignment horizontal="left" vertical="top" indent="4" shrinkToFit="1"/>
    </xf>
    <xf numFmtId="164" fontId="8" fillId="0" borderId="9" xfId="0" applyNumberFormat="1" applyFont="1" applyBorder="1" applyAlignment="1">
      <alignment horizontal="left" vertical="top" indent="4" shrinkToFi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  <xf numFmtId="164" fontId="8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left" vertical="top" wrapText="1" indent="6"/>
    </xf>
    <xf numFmtId="0" fontId="6" fillId="0" borderId="7" xfId="0" applyFont="1" applyBorder="1" applyAlignment="1">
      <alignment horizontal="left" vertical="top" wrapText="1" indent="2"/>
    </xf>
    <xf numFmtId="0" fontId="6" fillId="0" borderId="8" xfId="0" applyFont="1" applyBorder="1" applyAlignment="1">
      <alignment horizontal="left" vertical="top" wrapText="1" indent="2"/>
    </xf>
    <xf numFmtId="0" fontId="6" fillId="0" borderId="9" xfId="0" applyFont="1" applyBorder="1" applyAlignment="1">
      <alignment horizontal="left" vertical="top" wrapText="1" indent="2"/>
    </xf>
    <xf numFmtId="165" fontId="8" fillId="0" borderId="7" xfId="0" applyNumberFormat="1" applyFont="1" applyBorder="1" applyAlignment="1">
      <alignment horizontal="left" vertical="top" indent="3" shrinkToFit="1"/>
    </xf>
    <xf numFmtId="165" fontId="8" fillId="0" borderId="8" xfId="0" applyNumberFormat="1" applyFont="1" applyBorder="1" applyAlignment="1">
      <alignment horizontal="left" vertical="top" indent="3" shrinkToFit="1"/>
    </xf>
    <xf numFmtId="165" fontId="8" fillId="0" borderId="9" xfId="0" applyNumberFormat="1" applyFont="1" applyBorder="1" applyAlignment="1">
      <alignment horizontal="left" vertical="top" indent="3" shrinkToFit="1"/>
    </xf>
    <xf numFmtId="165" fontId="8" fillId="0" borderId="0" xfId="0" applyNumberFormat="1" applyFont="1" applyAlignment="1">
      <alignment horizontal="left" vertical="top" shrinkToFit="1"/>
    </xf>
    <xf numFmtId="0" fontId="0" fillId="0" borderId="10" xfId="0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 indent="3"/>
    </xf>
    <xf numFmtId="164" fontId="8" fillId="0" borderId="10" xfId="0" applyNumberFormat="1" applyFont="1" applyBorder="1" applyAlignment="1">
      <alignment horizontal="left" vertical="top" indent="3" shrinkToFit="1"/>
    </xf>
    <xf numFmtId="0" fontId="0" fillId="0" borderId="11" xfId="0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 indent="2"/>
    </xf>
    <xf numFmtId="165" fontId="8" fillId="0" borderId="11" xfId="0" applyNumberFormat="1" applyFont="1" applyBorder="1" applyAlignment="1">
      <alignment horizontal="left" vertical="top" indent="2" shrinkToFit="1"/>
    </xf>
    <xf numFmtId="0" fontId="0" fillId="0" borderId="12" xfId="0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 indent="2"/>
    </xf>
    <xf numFmtId="164" fontId="8" fillId="0" borderId="12" xfId="0" applyNumberFormat="1" applyFont="1" applyBorder="1" applyAlignment="1">
      <alignment horizontal="left" vertical="top" indent="3" shrinkToFit="1"/>
    </xf>
    <xf numFmtId="0" fontId="3" fillId="0" borderId="0" xfId="0" applyFont="1" applyAlignment="1">
      <alignment horizontal="left" wrapText="1"/>
    </xf>
    <xf numFmtId="0" fontId="2" fillId="3" borderId="0" xfId="0" applyFont="1" applyFill="1" applyAlignment="1">
      <alignment horizontal="left" vertical="top" wrapText="1" indent="2"/>
    </xf>
    <xf numFmtId="0" fontId="3" fillId="2" borderId="7" xfId="0" applyFont="1" applyFill="1" applyBorder="1" applyAlignment="1">
      <alignment horizontal="left" vertical="top" wrapText="1" indent="2"/>
    </xf>
    <xf numFmtId="0" fontId="3" fillId="2" borderId="8" xfId="0" applyFont="1" applyFill="1" applyBorder="1" applyAlignment="1">
      <alignment horizontal="left" vertical="top" wrapText="1" indent="2"/>
    </xf>
    <xf numFmtId="0" fontId="3" fillId="2" borderId="9" xfId="0" applyFont="1" applyFill="1" applyBorder="1" applyAlignment="1">
      <alignment horizontal="left" vertical="top" wrapText="1" indent="2"/>
    </xf>
    <xf numFmtId="0" fontId="0" fillId="0" borderId="7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2" fontId="7" fillId="0" borderId="7" xfId="0" applyNumberFormat="1" applyFont="1" applyBorder="1" applyAlignment="1">
      <alignment horizontal="right" vertical="center" shrinkToFit="1"/>
    </xf>
    <xf numFmtId="2" fontId="7" fillId="0" borderId="8" xfId="0" applyNumberFormat="1" applyFont="1" applyBorder="1" applyAlignment="1">
      <alignment horizontal="right" vertical="center" shrinkToFit="1"/>
    </xf>
    <xf numFmtId="2" fontId="7" fillId="0" borderId="9" xfId="0" applyNumberFormat="1" applyFont="1" applyBorder="1" applyAlignment="1">
      <alignment horizontal="right" vertical="center" shrinkToFit="1"/>
    </xf>
    <xf numFmtId="1" fontId="7" fillId="0" borderId="7" xfId="0" applyNumberFormat="1" applyFont="1" applyBorder="1" applyAlignment="1">
      <alignment horizontal="right" vertical="center" shrinkToFit="1"/>
    </xf>
    <xf numFmtId="1" fontId="7" fillId="0" borderId="9" xfId="0" applyNumberFormat="1" applyFont="1" applyBorder="1" applyAlignment="1">
      <alignment horizontal="right" vertical="center" shrinkToFit="1"/>
    </xf>
    <xf numFmtId="164" fontId="7" fillId="0" borderId="7" xfId="0" applyNumberFormat="1" applyFont="1" applyBorder="1" applyAlignment="1">
      <alignment horizontal="right" vertical="center" shrinkToFit="1"/>
    </xf>
    <xf numFmtId="164" fontId="7" fillId="0" borderId="8" xfId="0" applyNumberFormat="1" applyFont="1" applyBorder="1" applyAlignment="1">
      <alignment horizontal="right" vertical="center" shrinkToFit="1"/>
    </xf>
    <xf numFmtId="164" fontId="7" fillId="0" borderId="9" xfId="0" applyNumberFormat="1" applyFont="1" applyBorder="1" applyAlignment="1">
      <alignment horizontal="right" vertical="center" shrinkToFit="1"/>
    </xf>
    <xf numFmtId="164" fontId="9" fillId="0" borderId="7" xfId="0" applyNumberFormat="1" applyFont="1" applyBorder="1" applyAlignment="1">
      <alignment horizontal="right" vertical="center" shrinkToFit="1"/>
    </xf>
    <xf numFmtId="164" fontId="9" fillId="0" borderId="8" xfId="0" applyNumberFormat="1" applyFont="1" applyBorder="1" applyAlignment="1">
      <alignment horizontal="right" vertical="center" shrinkToFit="1"/>
    </xf>
    <xf numFmtId="164" fontId="9" fillId="0" borderId="9" xfId="0" applyNumberFormat="1" applyFont="1" applyBorder="1" applyAlignment="1">
      <alignment horizontal="right" vertical="center" shrinkToFit="1"/>
    </xf>
    <xf numFmtId="2" fontId="7" fillId="0" borderId="7" xfId="0" applyNumberFormat="1" applyFont="1" applyBorder="1" applyAlignment="1">
      <alignment horizontal="right" vertical="top" shrinkToFit="1"/>
    </xf>
    <xf numFmtId="2" fontId="7" fillId="0" borderId="8" xfId="0" applyNumberFormat="1" applyFont="1" applyBorder="1" applyAlignment="1">
      <alignment horizontal="right" vertical="top" shrinkToFit="1"/>
    </xf>
    <xf numFmtId="2" fontId="7" fillId="0" borderId="9" xfId="0" applyNumberFormat="1" applyFont="1" applyBorder="1" applyAlignment="1">
      <alignment horizontal="right" vertical="top" shrinkToFit="1"/>
    </xf>
    <xf numFmtId="1" fontId="7" fillId="0" borderId="7" xfId="0" applyNumberFormat="1" applyFont="1" applyBorder="1" applyAlignment="1">
      <alignment horizontal="right" vertical="top" shrinkToFit="1"/>
    </xf>
    <xf numFmtId="1" fontId="7" fillId="0" borderId="9" xfId="0" applyNumberFormat="1" applyFont="1" applyBorder="1" applyAlignment="1">
      <alignment horizontal="right" vertical="top" shrinkToFit="1"/>
    </xf>
    <xf numFmtId="164" fontId="9" fillId="0" borderId="7" xfId="0" applyNumberFormat="1" applyFont="1" applyBorder="1" applyAlignment="1">
      <alignment horizontal="left" vertical="top" indent="5" shrinkToFit="1"/>
    </xf>
    <xf numFmtId="164" fontId="9" fillId="0" borderId="8" xfId="0" applyNumberFormat="1" applyFont="1" applyBorder="1" applyAlignment="1">
      <alignment horizontal="left" vertical="top" indent="5" shrinkToFit="1"/>
    </xf>
    <xf numFmtId="164" fontId="9" fillId="0" borderId="9" xfId="0" applyNumberFormat="1" applyFont="1" applyBorder="1" applyAlignment="1">
      <alignment horizontal="left" vertical="top" indent="5" shrinkToFit="1"/>
    </xf>
    <xf numFmtId="0" fontId="0" fillId="0" borderId="8" xfId="0" applyBorder="1" applyAlignment="1">
      <alignment horizontal="left" vertical="top" wrapText="1"/>
    </xf>
    <xf numFmtId="1" fontId="7" fillId="0" borderId="8" xfId="0" applyNumberFormat="1" applyFont="1" applyBorder="1" applyAlignment="1">
      <alignment horizontal="right" vertical="top" shrinkToFit="1"/>
    </xf>
    <xf numFmtId="166" fontId="7" fillId="0" borderId="7" xfId="0" applyNumberFormat="1" applyFont="1" applyBorder="1" applyAlignment="1">
      <alignment horizontal="right" vertical="top" shrinkToFit="1"/>
    </xf>
    <xf numFmtId="166" fontId="7" fillId="0" borderId="9" xfId="0" applyNumberFormat="1" applyFont="1" applyBorder="1" applyAlignment="1">
      <alignment horizontal="right" vertical="top" shrinkToFit="1"/>
    </xf>
    <xf numFmtId="167" fontId="7" fillId="0" borderId="7" xfId="0" applyNumberFormat="1" applyFont="1" applyBorder="1" applyAlignment="1">
      <alignment horizontal="right" vertical="top" shrinkToFit="1"/>
    </xf>
    <xf numFmtId="167" fontId="7" fillId="0" borderId="9" xfId="0" applyNumberFormat="1" applyFont="1" applyBorder="1" applyAlignment="1">
      <alignment horizontal="right" vertical="top" shrinkToFit="1"/>
    </xf>
    <xf numFmtId="164" fontId="9" fillId="0" borderId="7" xfId="0" applyNumberFormat="1" applyFont="1" applyBorder="1" applyAlignment="1">
      <alignment horizontal="right" vertical="top" shrinkToFit="1"/>
    </xf>
    <xf numFmtId="164" fontId="9" fillId="0" borderId="8" xfId="0" applyNumberFormat="1" applyFont="1" applyBorder="1" applyAlignment="1">
      <alignment horizontal="right" vertical="top" shrinkToFit="1"/>
    </xf>
    <xf numFmtId="164" fontId="9" fillId="0" borderId="9" xfId="0" applyNumberFormat="1" applyFont="1" applyBorder="1" applyAlignment="1">
      <alignment horizontal="right" vertical="top" shrinkToFit="1"/>
    </xf>
    <xf numFmtId="0" fontId="1" fillId="0" borderId="0" xfId="0" applyFont="1" applyAlignment="1">
      <alignment horizontal="left" vertical="top" wrapText="1" indent="43"/>
    </xf>
    <xf numFmtId="0" fontId="2" fillId="3" borderId="0" xfId="0" applyFont="1" applyFill="1" applyAlignment="1">
      <alignment horizontal="left" vertical="top" wrapText="1" indent="5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2" borderId="7" xfId="0" applyFont="1" applyFill="1" applyBorder="1" applyAlignment="1">
      <alignment horizontal="right" vertical="top" wrapText="1" indent="1"/>
    </xf>
    <xf numFmtId="0" fontId="1" fillId="2" borderId="9" xfId="0" applyFont="1" applyFill="1" applyBorder="1" applyAlignment="1">
      <alignment horizontal="right" vertical="top" wrapText="1" indent="1"/>
    </xf>
    <xf numFmtId="0" fontId="1" fillId="2" borderId="13" xfId="0" applyFont="1" applyFill="1" applyBorder="1" applyAlignment="1">
      <alignment horizontal="left" vertical="top" wrapText="1" indent="1"/>
    </xf>
    <xf numFmtId="0" fontId="1" fillId="2" borderId="14" xfId="0" applyFont="1" applyFill="1" applyBorder="1" applyAlignment="1">
      <alignment horizontal="left" vertical="top" wrapText="1" indent="1"/>
    </xf>
    <xf numFmtId="0" fontId="1" fillId="2" borderId="15" xfId="0" applyFont="1" applyFill="1" applyBorder="1" applyAlignment="1">
      <alignment horizontal="left" vertical="top" wrapText="1" indent="1"/>
    </xf>
    <xf numFmtId="0" fontId="1" fillId="2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left" vertical="top" wrapText="1"/>
    </xf>
    <xf numFmtId="164" fontId="10" fillId="0" borderId="16" xfId="0" applyNumberFormat="1" applyFont="1" applyBorder="1" applyAlignment="1">
      <alignment horizontal="right" vertical="top" indent="1" shrinkToFit="1"/>
    </xf>
    <xf numFmtId="164" fontId="10" fillId="0" borderId="17" xfId="0" applyNumberFormat="1" applyFont="1" applyBorder="1" applyAlignment="1">
      <alignment horizontal="right" vertical="top" indent="1" shrinkToFit="1"/>
    </xf>
    <xf numFmtId="164" fontId="10" fillId="0" borderId="18" xfId="0" applyNumberFormat="1" applyFont="1" applyBorder="1" applyAlignment="1">
      <alignment horizontal="left" vertical="top" shrinkToFit="1"/>
    </xf>
    <xf numFmtId="164" fontId="10" fillId="0" borderId="19" xfId="0" applyNumberFormat="1" applyFont="1" applyBorder="1" applyAlignment="1">
      <alignment horizontal="left" vertical="top" shrinkToFit="1"/>
    </xf>
    <xf numFmtId="164" fontId="10" fillId="0" borderId="20" xfId="0" applyNumberFormat="1" applyFont="1" applyBorder="1" applyAlignment="1">
      <alignment horizontal="left" vertical="top" shrinkToFit="1"/>
    </xf>
    <xf numFmtId="168" fontId="10" fillId="0" borderId="18" xfId="0" applyNumberFormat="1" applyFont="1" applyBorder="1" applyAlignment="1">
      <alignment horizontal="left" vertical="top" shrinkToFit="1"/>
    </xf>
    <xf numFmtId="168" fontId="10" fillId="0" borderId="19" xfId="0" applyNumberFormat="1" applyFont="1" applyBorder="1" applyAlignment="1">
      <alignment horizontal="left" vertical="top" shrinkToFit="1"/>
    </xf>
    <xf numFmtId="168" fontId="10" fillId="0" borderId="20" xfId="0" applyNumberFormat="1" applyFont="1" applyBorder="1" applyAlignment="1">
      <alignment horizontal="left" vertical="top" shrinkToFit="1"/>
    </xf>
    <xf numFmtId="165" fontId="11" fillId="0" borderId="18" xfId="0" applyNumberFormat="1" applyFont="1" applyBorder="1" applyAlignment="1">
      <alignment horizontal="left" vertical="top" shrinkToFit="1"/>
    </xf>
    <xf numFmtId="165" fontId="11" fillId="0" borderId="19" xfId="0" applyNumberFormat="1" applyFont="1" applyBorder="1" applyAlignment="1">
      <alignment horizontal="left" vertical="top" shrinkToFit="1"/>
    </xf>
    <xf numFmtId="165" fontId="11" fillId="0" borderId="20" xfId="0" applyNumberFormat="1" applyFont="1" applyBorder="1" applyAlignment="1">
      <alignment horizontal="left" vertical="top" shrinkToFit="1"/>
    </xf>
    <xf numFmtId="0" fontId="29" fillId="0" borderId="1" xfId="0" applyFont="1" applyBorder="1" applyAlignment="1">
      <alignment horizontal="left" vertical="top" wrapText="1"/>
    </xf>
    <xf numFmtId="0" fontId="29" fillId="0" borderId="2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0" fontId="29" fillId="0" borderId="5" xfId="0" applyFont="1" applyBorder="1" applyAlignment="1">
      <alignment horizontal="left" vertical="top" wrapText="1"/>
    </xf>
    <xf numFmtId="0" fontId="29" fillId="0" borderId="6" xfId="0" applyFont="1" applyBorder="1" applyAlignment="1">
      <alignment horizontal="left" vertical="top" wrapText="1"/>
    </xf>
    <xf numFmtId="0" fontId="20" fillId="0" borderId="7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top" wrapText="1"/>
    </xf>
    <xf numFmtId="0" fontId="20" fillId="0" borderId="8" xfId="0" applyFont="1" applyBorder="1" applyAlignment="1">
      <alignment horizontal="left" vertical="top" wrapText="1"/>
    </xf>
    <xf numFmtId="0" fontId="20" fillId="0" borderId="9" xfId="0" applyFont="1" applyBorder="1" applyAlignment="1">
      <alignment horizontal="left" vertical="top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top"/>
    </xf>
    <xf numFmtId="0" fontId="17" fillId="3" borderId="0" xfId="0" applyFont="1" applyFill="1" applyAlignment="1">
      <alignment horizontal="left" vertical="top" wrapText="1" indent="8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top" wrapText="1" indent="1"/>
    </xf>
    <xf numFmtId="0" fontId="20" fillId="0" borderId="0" xfId="0" applyFont="1" applyAlignment="1">
      <alignment horizontal="left" vertical="top" wrapText="1"/>
    </xf>
    <xf numFmtId="0" fontId="17" fillId="0" borderId="0" xfId="0" applyFont="1" applyAlignment="1">
      <alignment wrapText="1"/>
    </xf>
    <xf numFmtId="0" fontId="17" fillId="2" borderId="7" xfId="0" applyFont="1" applyFill="1" applyBorder="1" applyAlignment="1">
      <alignment horizontal="center" vertical="top" wrapText="1"/>
    </xf>
    <xf numFmtId="0" fontId="17" fillId="2" borderId="8" xfId="0" applyFont="1" applyFill="1" applyBorder="1" applyAlignment="1">
      <alignment horizontal="center" vertical="top" wrapText="1"/>
    </xf>
    <xf numFmtId="0" fontId="17" fillId="2" borderId="9" xfId="0" applyFont="1" applyFill="1" applyBorder="1" applyAlignment="1">
      <alignment horizontal="center" vertical="top" wrapText="1"/>
    </xf>
    <xf numFmtId="0" fontId="17" fillId="2" borderId="7" xfId="0" applyFont="1" applyFill="1" applyBorder="1" applyAlignment="1">
      <alignment horizontal="left" vertical="top" wrapText="1" indent="1"/>
    </xf>
    <xf numFmtId="0" fontId="17" fillId="2" borderId="8" xfId="0" applyFont="1" applyFill="1" applyBorder="1" applyAlignment="1">
      <alignment horizontal="left" vertical="top" wrapText="1" indent="1"/>
    </xf>
    <xf numFmtId="0" fontId="17" fillId="2" borderId="9" xfId="0" applyFont="1" applyFill="1" applyBorder="1" applyAlignment="1">
      <alignment horizontal="left" vertical="top" wrapText="1" indent="1"/>
    </xf>
    <xf numFmtId="0" fontId="17" fillId="2" borderId="7" xfId="0" applyFont="1" applyFill="1" applyBorder="1" applyAlignment="1">
      <alignment horizontal="left" vertical="top" wrapText="1" indent="2"/>
    </xf>
    <xf numFmtId="0" fontId="17" fillId="2" borderId="8" xfId="0" applyFont="1" applyFill="1" applyBorder="1" applyAlignment="1">
      <alignment horizontal="left" vertical="top" wrapText="1" indent="2"/>
    </xf>
    <xf numFmtId="0" fontId="17" fillId="2" borderId="9" xfId="0" applyFont="1" applyFill="1" applyBorder="1" applyAlignment="1">
      <alignment horizontal="left" vertical="top" wrapText="1" indent="2"/>
    </xf>
    <xf numFmtId="0" fontId="7" fillId="0" borderId="7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 indent="43"/>
    </xf>
    <xf numFmtId="0" fontId="17" fillId="0" borderId="0" xfId="0" applyFont="1" applyAlignment="1">
      <alignment horizontal="left" wrapText="1"/>
    </xf>
    <xf numFmtId="0" fontId="17" fillId="3" borderId="0" xfId="0" applyFont="1" applyFill="1" applyAlignment="1">
      <alignment horizontal="left" vertical="top" wrapText="1" indent="5"/>
    </xf>
    <xf numFmtId="0" fontId="17" fillId="0" borderId="0" xfId="0" applyFont="1" applyAlignment="1">
      <alignment horizontal="left" vertical="center" wrapText="1"/>
    </xf>
    <xf numFmtId="0" fontId="17" fillId="2" borderId="7" xfId="0" applyFont="1" applyFill="1" applyBorder="1" applyAlignment="1">
      <alignment horizontal="right" vertical="top" wrapText="1" indent="1"/>
    </xf>
    <xf numFmtId="0" fontId="17" fillId="2" borderId="9" xfId="0" applyFont="1" applyFill="1" applyBorder="1" applyAlignment="1">
      <alignment horizontal="right" vertical="top" wrapText="1" indent="1"/>
    </xf>
    <xf numFmtId="0" fontId="17" fillId="2" borderId="13" xfId="0" applyFont="1" applyFill="1" applyBorder="1" applyAlignment="1">
      <alignment horizontal="left" vertical="top" wrapText="1" indent="1"/>
    </xf>
    <xf numFmtId="0" fontId="17" fillId="2" borderId="14" xfId="0" applyFont="1" applyFill="1" applyBorder="1" applyAlignment="1">
      <alignment horizontal="left" vertical="top" wrapText="1" indent="1"/>
    </xf>
    <xf numFmtId="0" fontId="17" fillId="2" borderId="15" xfId="0" applyFont="1" applyFill="1" applyBorder="1" applyAlignment="1">
      <alignment horizontal="left" vertical="top" wrapText="1" indent="1"/>
    </xf>
    <xf numFmtId="0" fontId="17" fillId="2" borderId="13" xfId="0" applyFont="1" applyFill="1" applyBorder="1" applyAlignment="1">
      <alignment horizontal="left" vertical="top" wrapText="1"/>
    </xf>
    <xf numFmtId="0" fontId="17" fillId="2" borderId="14" xfId="0" applyFont="1" applyFill="1" applyBorder="1" applyAlignment="1">
      <alignment horizontal="left" vertical="top" wrapText="1"/>
    </xf>
    <xf numFmtId="0" fontId="17" fillId="2" borderId="15" xfId="0" applyFont="1" applyFill="1" applyBorder="1" applyAlignment="1">
      <alignment horizontal="left" vertical="top" wrapText="1"/>
    </xf>
    <xf numFmtId="164" fontId="31" fillId="0" borderId="16" xfId="0" applyNumberFormat="1" applyFont="1" applyBorder="1" applyAlignment="1">
      <alignment horizontal="right" vertical="top" indent="1" shrinkToFit="1"/>
    </xf>
    <xf numFmtId="164" fontId="31" fillId="0" borderId="17" xfId="0" applyNumberFormat="1" applyFont="1" applyBorder="1" applyAlignment="1">
      <alignment horizontal="right" vertical="top" indent="1" shrinkToFit="1"/>
    </xf>
    <xf numFmtId="164" fontId="31" fillId="0" borderId="18" xfId="0" applyNumberFormat="1" applyFont="1" applyBorder="1" applyAlignment="1">
      <alignment horizontal="left" vertical="top" shrinkToFit="1"/>
    </xf>
    <xf numFmtId="164" fontId="31" fillId="0" borderId="19" xfId="0" applyNumberFormat="1" applyFont="1" applyBorder="1" applyAlignment="1">
      <alignment horizontal="left" vertical="top" shrinkToFit="1"/>
    </xf>
    <xf numFmtId="164" fontId="31" fillId="0" borderId="20" xfId="0" applyNumberFormat="1" applyFont="1" applyBorder="1" applyAlignment="1">
      <alignment horizontal="left" vertical="top" shrinkToFit="1"/>
    </xf>
    <xf numFmtId="168" fontId="31" fillId="0" borderId="18" xfId="0" applyNumberFormat="1" applyFont="1" applyBorder="1" applyAlignment="1">
      <alignment horizontal="left" vertical="top" shrinkToFit="1"/>
    </xf>
    <xf numFmtId="168" fontId="31" fillId="0" borderId="19" xfId="0" applyNumberFormat="1" applyFont="1" applyBorder="1" applyAlignment="1">
      <alignment horizontal="left" vertical="top" shrinkToFit="1"/>
    </xf>
    <xf numFmtId="168" fontId="31" fillId="0" borderId="20" xfId="0" applyNumberFormat="1" applyFont="1" applyBorder="1" applyAlignment="1">
      <alignment horizontal="left" vertical="top" shrinkToFit="1"/>
    </xf>
    <xf numFmtId="165" fontId="9" fillId="0" borderId="18" xfId="0" applyNumberFormat="1" applyFont="1" applyBorder="1" applyAlignment="1">
      <alignment horizontal="left" vertical="top" shrinkToFit="1"/>
    </xf>
    <xf numFmtId="165" fontId="9" fillId="0" borderId="19" xfId="0" applyNumberFormat="1" applyFont="1" applyBorder="1" applyAlignment="1">
      <alignment horizontal="left" vertical="top" shrinkToFit="1"/>
    </xf>
    <xf numFmtId="165" fontId="9" fillId="0" borderId="20" xfId="0" applyNumberFormat="1" applyFont="1" applyBorder="1" applyAlignment="1">
      <alignment horizontal="left" vertical="top" shrinkToFit="1"/>
    </xf>
    <xf numFmtId="0" fontId="27" fillId="3" borderId="0" xfId="0" applyFont="1" applyFill="1" applyAlignment="1">
      <alignment horizontal="left" vertical="top" wrapText="1" indent="2"/>
    </xf>
    <xf numFmtId="0" fontId="27" fillId="2" borderId="1" xfId="0" applyFont="1" applyFill="1" applyBorder="1" applyAlignment="1">
      <alignment horizontal="left" vertical="top" wrapText="1" indent="6"/>
    </xf>
    <xf numFmtId="0" fontId="27" fillId="2" borderId="2" xfId="0" applyFont="1" applyFill="1" applyBorder="1" applyAlignment="1">
      <alignment horizontal="left" vertical="top" wrapText="1" indent="6"/>
    </xf>
    <xf numFmtId="0" fontId="27" fillId="2" borderId="3" xfId="0" applyFont="1" applyFill="1" applyBorder="1" applyAlignment="1">
      <alignment horizontal="left" vertical="top" wrapText="1" indent="6"/>
    </xf>
    <xf numFmtId="0" fontId="27" fillId="2" borderId="4" xfId="0" applyFont="1" applyFill="1" applyBorder="1" applyAlignment="1">
      <alignment horizontal="left" vertical="top" wrapText="1" indent="6"/>
    </xf>
    <xf numFmtId="0" fontId="27" fillId="2" borderId="5" xfId="0" applyFont="1" applyFill="1" applyBorder="1" applyAlignment="1">
      <alignment horizontal="left" vertical="top" wrapText="1" indent="6"/>
    </xf>
    <xf numFmtId="0" fontId="27" fillId="2" borderId="6" xfId="0" applyFont="1" applyFill="1" applyBorder="1" applyAlignment="1">
      <alignment horizontal="left" vertical="top" wrapText="1" indent="6"/>
    </xf>
    <xf numFmtId="44" fontId="7" fillId="0" borderId="0" xfId="1" applyFont="1" applyAlignment="1">
      <alignment horizontal="center" vertical="center"/>
    </xf>
    <xf numFmtId="44" fontId="33" fillId="0" borderId="0" xfId="0" applyNumberFormat="1" applyFont="1" applyAlignment="1">
      <alignment horizontal="left" vertical="top"/>
    </xf>
    <xf numFmtId="44" fontId="7" fillId="5" borderId="0" xfId="1" applyFont="1" applyFill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 shrinkToFit="1"/>
    </xf>
    <xf numFmtId="2" fontId="7" fillId="0" borderId="8" xfId="0" applyNumberFormat="1" applyFont="1" applyBorder="1" applyAlignment="1">
      <alignment horizontal="center" vertical="center" shrinkToFit="1"/>
    </xf>
    <xf numFmtId="2" fontId="7" fillId="0" borderId="9" xfId="0" applyNumberFormat="1" applyFont="1" applyBorder="1" applyAlignment="1">
      <alignment horizontal="center" vertical="center" shrinkToFit="1"/>
    </xf>
    <xf numFmtId="1" fontId="7" fillId="0" borderId="7" xfId="0" applyNumberFormat="1" applyFont="1" applyBorder="1" applyAlignment="1">
      <alignment horizontal="center" vertical="center" shrinkToFit="1"/>
    </xf>
    <xf numFmtId="1" fontId="7" fillId="0" borderId="9" xfId="0" applyNumberFormat="1" applyFont="1" applyBorder="1" applyAlignment="1">
      <alignment horizontal="center" vertical="center" shrinkToFit="1"/>
    </xf>
    <xf numFmtId="164" fontId="7" fillId="0" borderId="7" xfId="0" applyNumberFormat="1" applyFont="1" applyBorder="1" applyAlignment="1">
      <alignment horizontal="center" vertical="center" shrinkToFit="1"/>
    </xf>
    <xf numFmtId="164" fontId="7" fillId="0" borderId="8" xfId="0" applyNumberFormat="1" applyFont="1" applyBorder="1" applyAlignment="1">
      <alignment horizontal="center" vertical="center" shrinkToFit="1"/>
    </xf>
    <xf numFmtId="164" fontId="7" fillId="0" borderId="9" xfId="0" applyNumberFormat="1" applyFont="1" applyBorder="1" applyAlignment="1">
      <alignment horizontal="center" vertical="center" shrinkToFit="1"/>
    </xf>
    <xf numFmtId="164" fontId="9" fillId="0" borderId="7" xfId="0" applyNumberFormat="1" applyFont="1" applyBorder="1" applyAlignment="1">
      <alignment horizontal="center" vertical="center" shrinkToFit="1"/>
    </xf>
    <xf numFmtId="164" fontId="9" fillId="0" borderId="8" xfId="0" applyNumberFormat="1" applyFont="1" applyBorder="1" applyAlignment="1">
      <alignment horizontal="center" vertical="center" shrinkToFit="1"/>
    </xf>
    <xf numFmtId="164" fontId="9" fillId="0" borderId="9" xfId="0" applyNumberFormat="1" applyFont="1" applyBorder="1" applyAlignment="1">
      <alignment horizontal="center" vertical="center" shrinkToFit="1"/>
    </xf>
    <xf numFmtId="1" fontId="7" fillId="0" borderId="8" xfId="0" applyNumberFormat="1" applyFont="1" applyBorder="1" applyAlignment="1">
      <alignment horizontal="center" vertical="center" shrinkToFit="1"/>
    </xf>
    <xf numFmtId="166" fontId="7" fillId="0" borderId="7" xfId="0" applyNumberFormat="1" applyFont="1" applyBorder="1" applyAlignment="1">
      <alignment horizontal="center" vertical="center" shrinkToFit="1"/>
    </xf>
    <xf numFmtId="166" fontId="7" fillId="0" borderId="9" xfId="0" applyNumberFormat="1" applyFont="1" applyBorder="1" applyAlignment="1">
      <alignment horizontal="center" vertical="center" shrinkToFit="1"/>
    </xf>
    <xf numFmtId="164" fontId="7" fillId="4" borderId="7" xfId="0" applyNumberFormat="1" applyFont="1" applyFill="1" applyBorder="1" applyAlignment="1">
      <alignment horizontal="center" vertical="center" shrinkToFit="1"/>
    </xf>
    <xf numFmtId="164" fontId="7" fillId="4" borderId="8" xfId="0" applyNumberFormat="1" applyFont="1" applyFill="1" applyBorder="1" applyAlignment="1">
      <alignment horizontal="center" vertical="center" shrinkToFit="1"/>
    </xf>
    <xf numFmtId="164" fontId="7" fillId="4" borderId="9" xfId="0" applyNumberFormat="1" applyFont="1" applyFill="1" applyBorder="1" applyAlignment="1">
      <alignment horizontal="center" vertical="center" shrinkToFit="1"/>
    </xf>
    <xf numFmtId="167" fontId="7" fillId="0" borderId="7" xfId="0" applyNumberFormat="1" applyFont="1" applyBorder="1" applyAlignment="1">
      <alignment horizontal="center" vertical="center" shrinkToFit="1"/>
    </xf>
    <xf numFmtId="167" fontId="7" fillId="0" borderId="9" xfId="0" applyNumberFormat="1" applyFont="1" applyBorder="1" applyAlignment="1">
      <alignment horizontal="center" vertical="center" shrinkToFi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3.jpeg"/><Relationship Id="rId2" Type="http://schemas.openxmlformats.org/officeDocument/2006/relationships/image" Target="../media/image8.png"/><Relationship Id="rId1" Type="http://schemas.openxmlformats.org/officeDocument/2006/relationships/image" Target="../media/image7.jpeg"/><Relationship Id="rId6" Type="http://schemas.openxmlformats.org/officeDocument/2006/relationships/image" Target="../media/image12.png"/><Relationship Id="rId5" Type="http://schemas.openxmlformats.org/officeDocument/2006/relationships/image" Target="../media/image11.jpeg"/><Relationship Id="rId4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61722</xdr:colOff>
      <xdr:row>5</xdr:row>
      <xdr:rowOff>39877</xdr:rowOff>
    </xdr:from>
    <xdr:ext cx="693737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937375" cy="0"/>
        </a:xfrm>
        <a:custGeom>
          <a:avLst/>
          <a:gdLst/>
          <a:ahLst/>
          <a:cxnLst/>
          <a:rect l="0" t="0" r="0" b="0"/>
          <a:pathLst>
            <a:path w="6937375">
              <a:moveTo>
                <a:pt x="0" y="0"/>
              </a:moveTo>
              <a:lnTo>
                <a:pt x="6937375" y="0"/>
              </a:lnTo>
            </a:path>
          </a:pathLst>
        </a:custGeom>
        <a:ln w="14350">
          <a:solidFill>
            <a:srgbClr val="7F7F7F"/>
          </a:solidFill>
        </a:ln>
      </xdr:spPr>
    </xdr:sp>
    <xdr:clientData/>
  </xdr:oneCellAnchor>
  <xdr:oneCellAnchor>
    <xdr:from>
      <xdr:col>0</xdr:col>
      <xdr:colOff>28575</xdr:colOff>
      <xdr:row>8</xdr:row>
      <xdr:rowOff>220574</xdr:rowOff>
    </xdr:from>
    <xdr:ext cx="540004" cy="137143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0004" cy="137143"/>
        </a:xfrm>
        <a:prstGeom prst="rect">
          <a:avLst/>
        </a:prstGeom>
      </xdr:spPr>
    </xdr:pic>
    <xdr:clientData/>
  </xdr:oneCellAnchor>
  <xdr:absoluteAnchor>
    <xdr:pos x="4762" y="2405761"/>
    <xdr:ext cx="711771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7117715" cy="0"/>
        </a:xfrm>
        <a:custGeom>
          <a:avLst/>
          <a:gdLst/>
          <a:ahLst/>
          <a:cxnLst/>
          <a:rect l="0" t="0" r="0" b="0"/>
          <a:pathLst>
            <a:path w="7117715">
              <a:moveTo>
                <a:pt x="0" y="0"/>
              </a:moveTo>
              <a:lnTo>
                <a:pt x="7117333" y="0"/>
              </a:lnTo>
            </a:path>
          </a:pathLst>
        </a:custGeom>
        <a:ln w="14350">
          <a:solidFill>
            <a:srgbClr val="BFBFBF"/>
          </a:solidFill>
          <a:prstDash val="lgDash"/>
        </a:ln>
      </xdr:spPr>
    </xdr:sp>
    <xdr:clientData/>
  </xdr:absoluteAnchor>
  <xdr:oneCellAnchor>
    <xdr:from>
      <xdr:col>1</xdr:col>
      <xdr:colOff>1503</xdr:colOff>
      <xdr:row>12</xdr:row>
      <xdr:rowOff>13462</xdr:rowOff>
    </xdr:from>
    <xdr:ext cx="477860" cy="540003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7860" cy="540003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13</xdr:row>
      <xdr:rowOff>35050</xdr:rowOff>
    </xdr:from>
    <xdr:ext cx="540004" cy="497146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0004" cy="497146"/>
        </a:xfrm>
        <a:prstGeom prst="rect">
          <a:avLst/>
        </a:prstGeom>
      </xdr:spPr>
    </xdr:pic>
    <xdr:clientData/>
  </xdr:oneCellAnchor>
  <xdr:oneCellAnchor>
    <xdr:from>
      <xdr:col>0</xdr:col>
      <xdr:colOff>45717</xdr:colOff>
      <xdr:row>14</xdr:row>
      <xdr:rowOff>22478</xdr:rowOff>
    </xdr:from>
    <xdr:ext cx="497146" cy="540004"/>
    <xdr:pic>
      <xdr:nvPicPr>
        <xdr:cNvPr id="7" name="image4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7146" cy="540004"/>
        </a:xfrm>
        <a:prstGeom prst="rect">
          <a:avLst/>
        </a:prstGeom>
      </xdr:spPr>
    </xdr:pic>
    <xdr:clientData/>
  </xdr:oneCellAnchor>
  <xdr:absoluteAnchor>
    <xdr:pos x="4762" y="4550155"/>
    <xdr:ext cx="7117715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7117715" cy="0"/>
        </a:xfrm>
        <a:custGeom>
          <a:avLst/>
          <a:gdLst/>
          <a:ahLst/>
          <a:cxnLst/>
          <a:rect l="0" t="0" r="0" b="0"/>
          <a:pathLst>
            <a:path w="7117715">
              <a:moveTo>
                <a:pt x="0" y="0"/>
              </a:moveTo>
              <a:lnTo>
                <a:pt x="7117333" y="0"/>
              </a:lnTo>
            </a:path>
          </a:pathLst>
        </a:custGeom>
        <a:ln w="14350">
          <a:solidFill>
            <a:srgbClr val="BFBFBF"/>
          </a:solidFill>
          <a:prstDash val="lgDash"/>
        </a:ln>
      </xdr:spPr>
    </xdr:sp>
    <xdr:clientData/>
  </xdr:absoluteAnchor>
  <xdr:oneCellAnchor>
    <xdr:from>
      <xdr:col>1</xdr:col>
      <xdr:colOff>33646</xdr:colOff>
      <xdr:row>17</xdr:row>
      <xdr:rowOff>179705</xdr:rowOff>
    </xdr:from>
    <xdr:ext cx="411431" cy="540003"/>
    <xdr:pic>
      <xdr:nvPicPr>
        <xdr:cNvPr id="9" name="image5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1431" cy="540003"/>
        </a:xfrm>
        <a:prstGeom prst="rect">
          <a:avLst/>
        </a:prstGeom>
      </xdr:spPr>
    </xdr:pic>
    <xdr:clientData/>
  </xdr:oneCellAnchor>
  <xdr:absoluteAnchor>
    <xdr:pos x="4762" y="5550661"/>
    <xdr:ext cx="7117715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7117715" cy="0"/>
        </a:xfrm>
        <a:custGeom>
          <a:avLst/>
          <a:gdLst/>
          <a:ahLst/>
          <a:cxnLst/>
          <a:rect l="0" t="0" r="0" b="0"/>
          <a:pathLst>
            <a:path w="7117715">
              <a:moveTo>
                <a:pt x="0" y="0"/>
              </a:moveTo>
              <a:lnTo>
                <a:pt x="7117333" y="0"/>
              </a:lnTo>
            </a:path>
          </a:pathLst>
        </a:custGeom>
        <a:ln w="14350">
          <a:solidFill>
            <a:srgbClr val="BFBFBF"/>
          </a:solidFill>
          <a:prstDash val="lgDash"/>
        </a:ln>
      </xdr:spPr>
    </xdr:sp>
    <xdr:clientData/>
  </xdr:absoluteAnchor>
  <xdr:oneCellAnchor>
    <xdr:from>
      <xdr:col>1</xdr:col>
      <xdr:colOff>85075</xdr:colOff>
      <xdr:row>21</xdr:row>
      <xdr:rowOff>178308</xdr:rowOff>
    </xdr:from>
    <xdr:ext cx="308573" cy="540003"/>
    <xdr:pic>
      <xdr:nvPicPr>
        <xdr:cNvPr id="11" name="image6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573" cy="540003"/>
        </a:xfrm>
        <a:prstGeom prst="rect">
          <a:avLst/>
        </a:prstGeom>
      </xdr:spPr>
    </xdr:pic>
    <xdr:clientData/>
  </xdr:oneCellAnchor>
  <xdr:oneCellAnchor>
    <xdr:from>
      <xdr:col>1</xdr:col>
      <xdr:colOff>192913</xdr:colOff>
      <xdr:row>25</xdr:row>
      <xdr:rowOff>168275</xdr:rowOff>
    </xdr:from>
    <xdr:ext cx="7117715" cy="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7117715" cy="0"/>
        </a:xfrm>
        <a:custGeom>
          <a:avLst/>
          <a:gdLst/>
          <a:ahLst/>
          <a:cxnLst/>
          <a:rect l="0" t="0" r="0" b="0"/>
          <a:pathLst>
            <a:path w="7117715">
              <a:moveTo>
                <a:pt x="0" y="0"/>
              </a:moveTo>
              <a:lnTo>
                <a:pt x="7117333" y="0"/>
              </a:lnTo>
            </a:path>
          </a:pathLst>
        </a:custGeom>
        <a:ln w="19050">
          <a:solidFill>
            <a:srgbClr val="7F7F7F"/>
          </a:solidFill>
        </a:ln>
      </xdr:spPr>
    </xdr:sp>
    <xdr:clientData/>
  </xdr:oneCellAnchor>
  <xdr:absoluteAnchor>
    <xdr:pos x="21399" y="7883525"/>
    <xdr:ext cx="6973570" cy="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973570" cy="0"/>
        </a:xfrm>
        <a:custGeom>
          <a:avLst/>
          <a:gdLst/>
          <a:ahLst/>
          <a:cxnLst/>
          <a:rect l="0" t="0" r="0" b="0"/>
          <a:pathLst>
            <a:path w="6973570">
              <a:moveTo>
                <a:pt x="0" y="0"/>
              </a:moveTo>
              <a:lnTo>
                <a:pt x="6973442" y="0"/>
              </a:lnTo>
            </a:path>
          </a:pathLst>
        </a:custGeom>
        <a:ln w="14350">
          <a:solidFill>
            <a:srgbClr val="7F7F7F"/>
          </a:solidFill>
        </a:ln>
      </xdr:spPr>
    </xdr:sp>
    <xdr:clientData/>
  </xdr:absoluteAnchor>
  <xdr:oneCellAnchor>
    <xdr:from>
      <xdr:col>0</xdr:col>
      <xdr:colOff>0</xdr:colOff>
      <xdr:row>31</xdr:row>
      <xdr:rowOff>28702</xdr:rowOff>
    </xdr:from>
    <xdr:ext cx="612013" cy="575945"/>
    <xdr:pic>
      <xdr:nvPicPr>
        <xdr:cNvPr id="14" name="image7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2013" cy="57594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4191</xdr:rowOff>
    </xdr:from>
    <xdr:ext cx="612013" cy="575945"/>
    <xdr:pic>
      <xdr:nvPicPr>
        <xdr:cNvPr id="15" name="image8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2013" cy="57594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4953</xdr:rowOff>
    </xdr:from>
    <xdr:ext cx="612013" cy="575945"/>
    <xdr:pic>
      <xdr:nvPicPr>
        <xdr:cNvPr id="16" name="image9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2013" cy="57594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580898</xdr:rowOff>
    </xdr:from>
    <xdr:ext cx="612013" cy="575945"/>
    <xdr:pic>
      <xdr:nvPicPr>
        <xdr:cNvPr id="17" name="image10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2013" cy="57594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1269</xdr:rowOff>
    </xdr:from>
    <xdr:ext cx="612013" cy="575945"/>
    <xdr:pic>
      <xdr:nvPicPr>
        <xdr:cNvPr id="18" name="image11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2013" cy="57594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5715</xdr:rowOff>
    </xdr:from>
    <xdr:ext cx="612013" cy="575945"/>
    <xdr:pic>
      <xdr:nvPicPr>
        <xdr:cNvPr id="19" name="image12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2013" cy="57594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2159</xdr:rowOff>
    </xdr:from>
    <xdr:ext cx="612013" cy="575945"/>
    <xdr:pic>
      <xdr:nvPicPr>
        <xdr:cNvPr id="20" name="image13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2013" cy="575945"/>
        </a:xfrm>
        <a:prstGeom prst="rect">
          <a:avLst/>
        </a:prstGeom>
      </xdr:spPr>
    </xdr:pic>
    <xdr:clientData/>
  </xdr:oneCellAnchor>
  <xdr:oneCellAnchor>
    <xdr:from>
      <xdr:col>1</xdr:col>
      <xdr:colOff>224536</xdr:colOff>
      <xdr:row>54</xdr:row>
      <xdr:rowOff>7174</xdr:rowOff>
    </xdr:from>
    <xdr:ext cx="6973570" cy="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6973570" cy="0"/>
        </a:xfrm>
        <a:custGeom>
          <a:avLst/>
          <a:gdLst/>
          <a:ahLst/>
          <a:cxnLst/>
          <a:rect l="0" t="0" r="0" b="0"/>
          <a:pathLst>
            <a:path w="6973570">
              <a:moveTo>
                <a:pt x="0" y="0"/>
              </a:moveTo>
              <a:lnTo>
                <a:pt x="6973316" y="0"/>
              </a:lnTo>
            </a:path>
          </a:pathLst>
        </a:custGeom>
        <a:ln w="14350">
          <a:solidFill>
            <a:srgbClr val="BFBFBF"/>
          </a:solidFill>
          <a:prstDash val="lgDash"/>
        </a:ln>
      </xdr:spPr>
    </xdr:sp>
    <xdr:clientData/>
  </xdr:oneCellAnchor>
  <xdr:oneCellAnchor>
    <xdr:from>
      <xdr:col>0</xdr:col>
      <xdr:colOff>0</xdr:colOff>
      <xdr:row>58</xdr:row>
      <xdr:rowOff>37464</xdr:rowOff>
    </xdr:from>
    <xdr:ext cx="6937375" cy="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6937375" cy="0"/>
        </a:xfrm>
        <a:custGeom>
          <a:avLst/>
          <a:gdLst/>
          <a:ahLst/>
          <a:cxnLst/>
          <a:rect l="0" t="0" r="0" b="0"/>
          <a:pathLst>
            <a:path w="6937375">
              <a:moveTo>
                <a:pt x="0" y="0"/>
              </a:moveTo>
              <a:lnTo>
                <a:pt x="6937375" y="0"/>
              </a:lnTo>
            </a:path>
          </a:pathLst>
        </a:custGeom>
        <a:ln w="14350">
          <a:solidFill>
            <a:srgbClr val="7F7F7F"/>
          </a:solidFill>
        </a:ln>
      </xdr:spPr>
    </xdr:sp>
    <xdr:clientData/>
  </xdr:oneCellAnchor>
  <xdr:oneCellAnchor>
    <xdr:from>
      <xdr:col>0</xdr:col>
      <xdr:colOff>29844</xdr:colOff>
      <xdr:row>58</xdr:row>
      <xdr:rowOff>238379</xdr:rowOff>
    </xdr:from>
    <xdr:ext cx="6865620" cy="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6865620" cy="0"/>
        </a:xfrm>
        <a:custGeom>
          <a:avLst/>
          <a:gdLst/>
          <a:ahLst/>
          <a:cxnLst/>
          <a:rect l="0" t="0" r="0" b="0"/>
          <a:pathLst>
            <a:path w="6865620">
              <a:moveTo>
                <a:pt x="0" y="0"/>
              </a:moveTo>
              <a:lnTo>
                <a:pt x="6865365" y="0"/>
              </a:lnTo>
            </a:path>
          </a:pathLst>
        </a:custGeom>
        <a:ln w="19050">
          <a:solidFill>
            <a:srgbClr val="7F7F7F"/>
          </a:solidFill>
        </a:ln>
      </xdr:spPr>
    </xdr:sp>
    <xdr:clientData/>
  </xdr:oneCellAnchor>
  <xdr:oneCellAnchor>
    <xdr:from>
      <xdr:col>0</xdr:col>
      <xdr:colOff>33782</xdr:colOff>
      <xdr:row>59</xdr:row>
      <xdr:rowOff>433323</xdr:rowOff>
    </xdr:from>
    <xdr:ext cx="6865620" cy="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6865620" cy="0"/>
        </a:xfrm>
        <a:custGeom>
          <a:avLst/>
          <a:gdLst/>
          <a:ahLst/>
          <a:cxnLst/>
          <a:rect l="0" t="0" r="0" b="0"/>
          <a:pathLst>
            <a:path w="6865620">
              <a:moveTo>
                <a:pt x="0" y="0"/>
              </a:moveTo>
              <a:lnTo>
                <a:pt x="6865365" y="0"/>
              </a:lnTo>
            </a:path>
          </a:pathLst>
        </a:custGeom>
        <a:ln w="28575">
          <a:solidFill>
            <a:srgbClr val="7F7F7F"/>
          </a:solidFill>
          <a:prstDash val="dash"/>
        </a:ln>
      </xdr:spPr>
    </xdr:sp>
    <xdr:clientData/>
  </xdr:oneCellAnchor>
  <xdr:oneCellAnchor>
    <xdr:from>
      <xdr:col>1</xdr:col>
      <xdr:colOff>308102</xdr:colOff>
      <xdr:row>61</xdr:row>
      <xdr:rowOff>195770</xdr:rowOff>
    </xdr:from>
    <xdr:ext cx="6865620" cy="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6865620" cy="0"/>
        </a:xfrm>
        <a:custGeom>
          <a:avLst/>
          <a:gdLst/>
          <a:ahLst/>
          <a:cxnLst/>
          <a:rect l="0" t="0" r="0" b="0"/>
          <a:pathLst>
            <a:path w="6865620">
              <a:moveTo>
                <a:pt x="0" y="0"/>
              </a:moveTo>
              <a:lnTo>
                <a:pt x="6865366" y="0"/>
              </a:lnTo>
            </a:path>
          </a:pathLst>
        </a:custGeom>
        <a:ln w="14350">
          <a:solidFill>
            <a:srgbClr val="BFBFBF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61722</xdr:colOff>
      <xdr:row>5</xdr:row>
      <xdr:rowOff>0</xdr:rowOff>
    </xdr:from>
    <xdr:ext cx="693737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89BE580D-8C74-4DB8-BAB1-7FAA999F3F69}"/>
            </a:ext>
          </a:extLst>
        </xdr:cNvPr>
        <xdr:cNvSpPr/>
      </xdr:nvSpPr>
      <xdr:spPr>
        <a:xfrm>
          <a:off x="61722" y="954277"/>
          <a:ext cx="6937375" cy="0"/>
        </a:xfrm>
        <a:custGeom>
          <a:avLst/>
          <a:gdLst/>
          <a:ahLst/>
          <a:cxnLst/>
          <a:rect l="0" t="0" r="0" b="0"/>
          <a:pathLst>
            <a:path w="6937375">
              <a:moveTo>
                <a:pt x="0" y="0"/>
              </a:moveTo>
              <a:lnTo>
                <a:pt x="6937375" y="0"/>
              </a:lnTo>
            </a:path>
          </a:pathLst>
        </a:custGeom>
        <a:ln w="14350">
          <a:solidFill>
            <a:srgbClr val="7F7F7F"/>
          </a:solidFill>
        </a:ln>
      </xdr:spPr>
    </xdr:sp>
    <xdr:clientData/>
  </xdr:oneCellAnchor>
  <xdr:oneCellAnchor>
    <xdr:from>
      <xdr:col>1</xdr:col>
      <xdr:colOff>192913</xdr:colOff>
      <xdr:row>5</xdr:row>
      <xdr:rowOff>0</xdr:rowOff>
    </xdr:from>
    <xdr:ext cx="7117715" cy="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8FEB4658-959F-4068-88E8-41D12A9A8CA8}"/>
            </a:ext>
          </a:extLst>
        </xdr:cNvPr>
        <xdr:cNvSpPr/>
      </xdr:nvSpPr>
      <xdr:spPr>
        <a:xfrm>
          <a:off x="259588" y="7131050"/>
          <a:ext cx="7117715" cy="0"/>
        </a:xfrm>
        <a:custGeom>
          <a:avLst/>
          <a:gdLst/>
          <a:ahLst/>
          <a:cxnLst/>
          <a:rect l="0" t="0" r="0" b="0"/>
          <a:pathLst>
            <a:path w="7117715">
              <a:moveTo>
                <a:pt x="0" y="0"/>
              </a:moveTo>
              <a:lnTo>
                <a:pt x="7117333" y="0"/>
              </a:lnTo>
            </a:path>
          </a:pathLst>
        </a:custGeom>
        <a:ln w="19050">
          <a:solidFill>
            <a:srgbClr val="7F7F7F"/>
          </a:solidFill>
        </a:ln>
      </xdr:spPr>
    </xdr:sp>
    <xdr:clientData/>
  </xdr:oneCellAnchor>
  <xdr:oneCellAnchor>
    <xdr:from>
      <xdr:col>0</xdr:col>
      <xdr:colOff>0</xdr:colOff>
      <xdr:row>9</xdr:row>
      <xdr:rowOff>28702</xdr:rowOff>
    </xdr:from>
    <xdr:ext cx="612013" cy="575945"/>
    <xdr:pic>
      <xdr:nvPicPr>
        <xdr:cNvPr id="14" name="image7.jpeg">
          <a:extLst>
            <a:ext uri="{FF2B5EF4-FFF2-40B4-BE49-F238E27FC236}">
              <a16:creationId xmlns:a16="http://schemas.microsoft.com/office/drawing/2014/main" id="{461AE97F-BEB6-4F26-8A79-F4D15DB8F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391652"/>
          <a:ext cx="612013" cy="57594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4191</xdr:rowOff>
    </xdr:from>
    <xdr:ext cx="612013" cy="575945"/>
    <xdr:pic>
      <xdr:nvPicPr>
        <xdr:cNvPr id="15" name="image8.png">
          <a:extLst>
            <a:ext uri="{FF2B5EF4-FFF2-40B4-BE49-F238E27FC236}">
              <a16:creationId xmlns:a16="http://schemas.microsoft.com/office/drawing/2014/main" id="{F770F791-B3E6-4D37-B6BC-F43FCAD9A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119741"/>
          <a:ext cx="612013" cy="57594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4953</xdr:rowOff>
    </xdr:from>
    <xdr:ext cx="612013" cy="575945"/>
    <xdr:pic>
      <xdr:nvPicPr>
        <xdr:cNvPr id="16" name="image9.png">
          <a:extLst>
            <a:ext uri="{FF2B5EF4-FFF2-40B4-BE49-F238E27FC236}">
              <a16:creationId xmlns:a16="http://schemas.microsoft.com/office/drawing/2014/main" id="{7C10F79F-EF74-4F67-8A5B-5F22BBA16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44528"/>
          <a:ext cx="612013" cy="57594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580898</xdr:rowOff>
    </xdr:from>
    <xdr:ext cx="612013" cy="575945"/>
    <xdr:pic>
      <xdr:nvPicPr>
        <xdr:cNvPr id="17" name="image10.jpeg">
          <a:extLst>
            <a:ext uri="{FF2B5EF4-FFF2-40B4-BE49-F238E27FC236}">
              <a16:creationId xmlns:a16="http://schemas.microsoft.com/office/drawing/2014/main" id="{36E248C4-F201-4D2A-A67A-C3B72DC98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420473"/>
          <a:ext cx="612013" cy="57594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1269</xdr:rowOff>
    </xdr:from>
    <xdr:ext cx="612013" cy="575945"/>
    <xdr:pic>
      <xdr:nvPicPr>
        <xdr:cNvPr id="18" name="image11.jpeg">
          <a:extLst>
            <a:ext uri="{FF2B5EF4-FFF2-40B4-BE49-F238E27FC236}">
              <a16:creationId xmlns:a16="http://schemas.microsoft.com/office/drawing/2014/main" id="{135D42AC-ADEB-49EF-97EA-4141EE0AD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993369"/>
          <a:ext cx="612013" cy="57594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5715</xdr:rowOff>
    </xdr:from>
    <xdr:ext cx="612013" cy="575945"/>
    <xdr:pic>
      <xdr:nvPicPr>
        <xdr:cNvPr id="19" name="image12.png">
          <a:extLst>
            <a:ext uri="{FF2B5EF4-FFF2-40B4-BE49-F238E27FC236}">
              <a16:creationId xmlns:a16="http://schemas.microsoft.com/office/drawing/2014/main" id="{8A990B15-98D6-4731-81DF-E975AA307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569315"/>
          <a:ext cx="612013" cy="57594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2159</xdr:rowOff>
    </xdr:from>
    <xdr:ext cx="612013" cy="575945"/>
    <xdr:pic>
      <xdr:nvPicPr>
        <xdr:cNvPr id="20" name="image13.jpeg">
          <a:extLst>
            <a:ext uri="{FF2B5EF4-FFF2-40B4-BE49-F238E27FC236}">
              <a16:creationId xmlns:a16="http://schemas.microsoft.com/office/drawing/2014/main" id="{01578001-5705-41CF-9A12-349C1BF0A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299809"/>
          <a:ext cx="612013" cy="575945"/>
        </a:xfrm>
        <a:prstGeom prst="rect">
          <a:avLst/>
        </a:prstGeom>
      </xdr:spPr>
    </xdr:pic>
    <xdr:clientData/>
  </xdr:oneCellAnchor>
  <xdr:oneCellAnchor>
    <xdr:from>
      <xdr:col>1</xdr:col>
      <xdr:colOff>224536</xdr:colOff>
      <xdr:row>32</xdr:row>
      <xdr:rowOff>7174</xdr:rowOff>
    </xdr:from>
    <xdr:ext cx="6973570" cy="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27BDFD71-8432-4D79-A61F-CD3F7D8A78BF}"/>
            </a:ext>
          </a:extLst>
        </xdr:cNvPr>
        <xdr:cNvSpPr/>
      </xdr:nvSpPr>
      <xdr:spPr>
        <a:xfrm>
          <a:off x="291211" y="21276499"/>
          <a:ext cx="6973570" cy="0"/>
        </a:xfrm>
        <a:custGeom>
          <a:avLst/>
          <a:gdLst/>
          <a:ahLst/>
          <a:cxnLst/>
          <a:rect l="0" t="0" r="0" b="0"/>
          <a:pathLst>
            <a:path w="6973570">
              <a:moveTo>
                <a:pt x="0" y="0"/>
              </a:moveTo>
              <a:lnTo>
                <a:pt x="6973316" y="0"/>
              </a:lnTo>
            </a:path>
          </a:pathLst>
        </a:custGeom>
        <a:ln w="14350">
          <a:solidFill>
            <a:srgbClr val="BFBFBF"/>
          </a:solidFill>
          <a:prstDash val="lgDash"/>
        </a:ln>
      </xdr:spPr>
    </xdr:sp>
    <xdr:clientData/>
  </xdr:oneCellAnchor>
  <xdr:oneCellAnchor>
    <xdr:from>
      <xdr:col>0</xdr:col>
      <xdr:colOff>0</xdr:colOff>
      <xdr:row>36</xdr:row>
      <xdr:rowOff>37464</xdr:rowOff>
    </xdr:from>
    <xdr:ext cx="6937375" cy="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290E21F3-60B7-4EDF-A979-367382E15C7A}"/>
            </a:ext>
          </a:extLst>
        </xdr:cNvPr>
        <xdr:cNvSpPr/>
      </xdr:nvSpPr>
      <xdr:spPr>
        <a:xfrm>
          <a:off x="0" y="22259289"/>
          <a:ext cx="6937375" cy="0"/>
        </a:xfrm>
        <a:custGeom>
          <a:avLst/>
          <a:gdLst/>
          <a:ahLst/>
          <a:cxnLst/>
          <a:rect l="0" t="0" r="0" b="0"/>
          <a:pathLst>
            <a:path w="6937375">
              <a:moveTo>
                <a:pt x="0" y="0"/>
              </a:moveTo>
              <a:lnTo>
                <a:pt x="6937375" y="0"/>
              </a:lnTo>
            </a:path>
          </a:pathLst>
        </a:custGeom>
        <a:ln w="14350">
          <a:solidFill>
            <a:srgbClr val="7F7F7F"/>
          </a:solidFill>
        </a:ln>
      </xdr:spPr>
    </xdr:sp>
    <xdr:clientData/>
  </xdr:oneCellAnchor>
  <xdr:oneCellAnchor>
    <xdr:from>
      <xdr:col>0</xdr:col>
      <xdr:colOff>29844</xdr:colOff>
      <xdr:row>36</xdr:row>
      <xdr:rowOff>238379</xdr:rowOff>
    </xdr:from>
    <xdr:ext cx="6865620" cy="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C0A521BF-8F1D-47A4-85CA-D8AABB09F5F2}"/>
            </a:ext>
          </a:extLst>
        </xdr:cNvPr>
        <xdr:cNvSpPr/>
      </xdr:nvSpPr>
      <xdr:spPr>
        <a:xfrm>
          <a:off x="29844" y="22460204"/>
          <a:ext cx="6865620" cy="0"/>
        </a:xfrm>
        <a:custGeom>
          <a:avLst/>
          <a:gdLst/>
          <a:ahLst/>
          <a:cxnLst/>
          <a:rect l="0" t="0" r="0" b="0"/>
          <a:pathLst>
            <a:path w="6865620">
              <a:moveTo>
                <a:pt x="0" y="0"/>
              </a:moveTo>
              <a:lnTo>
                <a:pt x="6865365" y="0"/>
              </a:lnTo>
            </a:path>
          </a:pathLst>
        </a:custGeom>
        <a:ln w="19050">
          <a:solidFill>
            <a:srgbClr val="7F7F7F"/>
          </a:solidFill>
        </a:ln>
      </xdr:spPr>
    </xdr:sp>
    <xdr:clientData/>
  </xdr:oneCellAnchor>
  <xdr:oneCellAnchor>
    <xdr:from>
      <xdr:col>0</xdr:col>
      <xdr:colOff>33782</xdr:colOff>
      <xdr:row>37</xdr:row>
      <xdr:rowOff>433323</xdr:rowOff>
    </xdr:from>
    <xdr:ext cx="6865620" cy="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609B2559-174C-41C6-B1F0-29E942556964}"/>
            </a:ext>
          </a:extLst>
        </xdr:cNvPr>
        <xdr:cNvSpPr/>
      </xdr:nvSpPr>
      <xdr:spPr>
        <a:xfrm>
          <a:off x="33782" y="23036148"/>
          <a:ext cx="6865620" cy="0"/>
        </a:xfrm>
        <a:custGeom>
          <a:avLst/>
          <a:gdLst/>
          <a:ahLst/>
          <a:cxnLst/>
          <a:rect l="0" t="0" r="0" b="0"/>
          <a:pathLst>
            <a:path w="6865620">
              <a:moveTo>
                <a:pt x="0" y="0"/>
              </a:moveTo>
              <a:lnTo>
                <a:pt x="6865365" y="0"/>
              </a:lnTo>
            </a:path>
          </a:pathLst>
        </a:custGeom>
        <a:ln w="28575">
          <a:solidFill>
            <a:srgbClr val="7F7F7F"/>
          </a:solidFill>
          <a:prstDash val="dash"/>
        </a:ln>
      </xdr:spPr>
    </xdr:sp>
    <xdr:clientData/>
  </xdr:oneCellAnchor>
  <xdr:oneCellAnchor>
    <xdr:from>
      <xdr:col>1</xdr:col>
      <xdr:colOff>308102</xdr:colOff>
      <xdr:row>39</xdr:row>
      <xdr:rowOff>195770</xdr:rowOff>
    </xdr:from>
    <xdr:ext cx="6865620" cy="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DBE88A73-B0A7-45E0-B1FD-2D714CD35D13}"/>
            </a:ext>
          </a:extLst>
        </xdr:cNvPr>
        <xdr:cNvSpPr/>
      </xdr:nvSpPr>
      <xdr:spPr>
        <a:xfrm>
          <a:off x="374777" y="23703470"/>
          <a:ext cx="6865620" cy="0"/>
        </a:xfrm>
        <a:custGeom>
          <a:avLst/>
          <a:gdLst/>
          <a:ahLst/>
          <a:cxnLst/>
          <a:rect l="0" t="0" r="0" b="0"/>
          <a:pathLst>
            <a:path w="6865620">
              <a:moveTo>
                <a:pt x="0" y="0"/>
              </a:moveTo>
              <a:lnTo>
                <a:pt x="6865366" y="0"/>
              </a:lnTo>
            </a:path>
          </a:pathLst>
        </a:custGeom>
        <a:ln w="14350">
          <a:solidFill>
            <a:srgbClr val="BFBFBF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3"/>
  <sheetViews>
    <sheetView topLeftCell="A22" workbookViewId="0">
      <selection activeCell="A28" sqref="A28:C30"/>
    </sheetView>
  </sheetViews>
  <sheetFormatPr baseColWidth="10" defaultColWidth="9.33203125" defaultRowHeight="12.75" x14ac:dyDescent="0.2"/>
  <cols>
    <col min="1" max="1" width="1.1640625" customWidth="1"/>
    <col min="2" max="2" width="10.5" customWidth="1"/>
    <col min="3" max="3" width="3.33203125" customWidth="1"/>
    <col min="4" max="4" width="2.1640625" customWidth="1"/>
    <col min="5" max="5" width="17.33203125" customWidth="1"/>
    <col min="6" max="6" width="5.83203125" customWidth="1"/>
    <col min="7" max="7" width="6.83203125" customWidth="1"/>
    <col min="8" max="9" width="2.1640625" customWidth="1"/>
    <col min="10" max="11" width="5.83203125" customWidth="1"/>
    <col min="12" max="12" width="1.1640625" customWidth="1"/>
    <col min="13" max="13" width="3.33203125" customWidth="1"/>
    <col min="14" max="14" width="1.1640625" customWidth="1"/>
    <col min="15" max="15" width="6.83203125" customWidth="1"/>
    <col min="16" max="16" width="3.33203125" customWidth="1"/>
    <col min="17" max="17" width="2.1640625" customWidth="1"/>
    <col min="18" max="18" width="5.83203125" customWidth="1"/>
    <col min="19" max="19" width="3.33203125" customWidth="1"/>
    <col min="20" max="20" width="2.1640625" customWidth="1"/>
    <col min="21" max="21" width="6.83203125" customWidth="1"/>
    <col min="22" max="22" width="5.83203125" customWidth="1"/>
    <col min="23" max="23" width="2.1640625" customWidth="1"/>
    <col min="24" max="24" width="4.6640625" customWidth="1"/>
    <col min="25" max="25" width="1.1640625" customWidth="1"/>
    <col min="26" max="26" width="4.6640625" customWidth="1"/>
    <col min="27" max="28" width="1.1640625" customWidth="1"/>
    <col min="29" max="29" width="4.6640625" customWidth="1"/>
    <col min="30" max="30" width="1.1640625" customWidth="1"/>
    <col min="31" max="31" width="2.1640625" customWidth="1"/>
    <col min="32" max="34" width="1.1640625" customWidth="1"/>
  </cols>
  <sheetData>
    <row r="1" spans="1:34" ht="7.7" customHeight="1" x14ac:dyDescent="0.2">
      <c r="A1" s="1"/>
      <c r="B1" s="4" t="s">
        <v>0</v>
      </c>
      <c r="C1" s="5"/>
      <c r="D1" s="5"/>
      <c r="E1" s="5"/>
      <c r="F1" s="5"/>
      <c r="G1" s="5"/>
      <c r="H1" s="6"/>
      <c r="I1" s="1"/>
      <c r="J1" s="1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"/>
      <c r="Y1" s="1"/>
      <c r="Z1" s="1"/>
      <c r="AA1" s="1"/>
      <c r="AB1" s="1"/>
      <c r="AC1" s="10"/>
      <c r="AD1" s="10"/>
      <c r="AE1" s="1"/>
      <c r="AF1" s="10"/>
      <c r="AG1" s="10"/>
      <c r="AH1" s="10"/>
    </row>
    <row r="2" spans="1:34" ht="10.5" customHeight="1" x14ac:dyDescent="0.2">
      <c r="A2" s="1"/>
      <c r="B2" s="7"/>
      <c r="C2" s="8"/>
      <c r="D2" s="8"/>
      <c r="E2" s="8"/>
      <c r="F2" s="8"/>
      <c r="G2" s="8"/>
      <c r="H2" s="9"/>
      <c r="I2" s="1"/>
      <c r="J2" s="11" t="s">
        <v>1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2"/>
      <c r="AF2" s="12"/>
      <c r="AG2" s="12"/>
      <c r="AH2" s="12"/>
    </row>
    <row r="3" spans="1:34" ht="15" customHeight="1" x14ac:dyDescent="0.2">
      <c r="A3" s="1"/>
      <c r="B3" s="13" t="s">
        <v>2</v>
      </c>
      <c r="C3" s="14"/>
      <c r="D3" s="14"/>
      <c r="E3" s="14"/>
      <c r="F3" s="14"/>
      <c r="G3" s="14"/>
      <c r="H3" s="15"/>
      <c r="I3" s="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"/>
      <c r="AF3" s="10"/>
      <c r="AG3" s="10"/>
      <c r="AH3" s="10"/>
    </row>
    <row r="4" spans="1:34" ht="24.6" customHeight="1" x14ac:dyDescent="0.2">
      <c r="A4" s="2"/>
      <c r="B4" s="16"/>
      <c r="C4" s="17"/>
      <c r="D4" s="17"/>
      <c r="E4" s="17"/>
      <c r="F4" s="17"/>
      <c r="G4" s="17"/>
      <c r="H4" s="18"/>
      <c r="I4" s="2"/>
      <c r="J4" s="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2"/>
      <c r="Y4" s="2"/>
      <c r="Z4" s="2"/>
      <c r="AA4" s="2"/>
      <c r="AB4" s="2"/>
      <c r="AC4" s="12"/>
      <c r="AD4" s="12"/>
      <c r="AE4" s="2"/>
      <c r="AF4" s="12"/>
      <c r="AG4" s="12"/>
      <c r="AH4" s="12"/>
    </row>
    <row r="5" spans="1:34" ht="15.6" customHeight="1" x14ac:dyDescent="0.2">
      <c r="A5" s="19" t="s">
        <v>3</v>
      </c>
      <c r="B5" s="19"/>
      <c r="C5" s="19"/>
      <c r="D5" s="19"/>
      <c r="E5" s="10"/>
      <c r="F5" s="10"/>
      <c r="G5" s="10"/>
      <c r="H5" s="10"/>
      <c r="I5" s="1"/>
      <c r="J5" s="1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20" t="s">
        <v>4</v>
      </c>
      <c r="Y5" s="20"/>
      <c r="Z5" s="20"/>
      <c r="AA5" s="20"/>
      <c r="AB5" s="20"/>
      <c r="AC5" s="20"/>
      <c r="AD5" s="20"/>
      <c r="AE5" s="20"/>
      <c r="AF5" s="20"/>
      <c r="AG5" s="20"/>
      <c r="AH5" s="20"/>
    </row>
    <row r="6" spans="1:34" ht="5.25" customHeight="1" x14ac:dyDescent="0.2">
      <c r="A6" s="1"/>
      <c r="B6" s="10"/>
      <c r="C6" s="10"/>
      <c r="D6" s="10"/>
      <c r="E6" s="10"/>
      <c r="F6" s="10"/>
      <c r="G6" s="10"/>
      <c r="H6" s="10"/>
      <c r="I6" s="1"/>
      <c r="J6" s="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spans="1:34" ht="24.2" customHeight="1" x14ac:dyDescent="0.2">
      <c r="A7" s="21" t="s">
        <v>5</v>
      </c>
      <c r="B7" s="22"/>
      <c r="C7" s="22"/>
      <c r="D7" s="22"/>
      <c r="E7" s="22"/>
      <c r="F7" s="23"/>
      <c r="G7" s="24" t="s">
        <v>6</v>
      </c>
      <c r="H7" s="25"/>
      <c r="I7" s="25"/>
      <c r="J7" s="26"/>
      <c r="K7" s="27" t="s">
        <v>7</v>
      </c>
      <c r="L7" s="28"/>
      <c r="M7" s="29" t="s">
        <v>8</v>
      </c>
      <c r="N7" s="30"/>
      <c r="O7" s="27" t="s">
        <v>9</v>
      </c>
      <c r="P7" s="28"/>
      <c r="Q7" s="31" t="s">
        <v>10</v>
      </c>
      <c r="R7" s="32"/>
      <c r="S7" s="33"/>
      <c r="T7" s="34" t="s">
        <v>11</v>
      </c>
      <c r="U7" s="35"/>
      <c r="V7" s="34" t="s">
        <v>12</v>
      </c>
      <c r="W7" s="36"/>
      <c r="X7" s="35"/>
      <c r="Y7" s="31" t="s">
        <v>13</v>
      </c>
      <c r="Z7" s="32"/>
      <c r="AA7" s="32"/>
      <c r="AB7" s="32"/>
      <c r="AC7" s="32"/>
      <c r="AD7" s="33"/>
      <c r="AE7" s="2"/>
      <c r="AF7" s="12"/>
      <c r="AG7" s="12"/>
      <c r="AH7" s="12"/>
    </row>
    <row r="8" spans="1:34" ht="30" customHeight="1" x14ac:dyDescent="0.2">
      <c r="A8" s="37" t="s">
        <v>14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</row>
    <row r="9" spans="1:34" ht="45.6" customHeight="1" x14ac:dyDescent="0.2">
      <c r="A9" s="38" t="s">
        <v>15</v>
      </c>
      <c r="B9" s="39"/>
      <c r="C9" s="39"/>
      <c r="D9" s="39"/>
      <c r="E9" s="39"/>
      <c r="F9" s="40"/>
      <c r="G9" s="41" t="s">
        <v>16</v>
      </c>
      <c r="H9" s="42"/>
      <c r="I9" s="42"/>
      <c r="J9" s="43"/>
      <c r="K9" s="44" t="s">
        <v>17</v>
      </c>
      <c r="L9" s="45"/>
      <c r="M9" s="46">
        <v>3</v>
      </c>
      <c r="N9" s="47"/>
      <c r="O9" s="48">
        <v>3.17</v>
      </c>
      <c r="P9" s="49"/>
      <c r="Q9" s="48">
        <v>20.58</v>
      </c>
      <c r="R9" s="50"/>
      <c r="S9" s="49"/>
      <c r="T9" s="44" t="s">
        <v>18</v>
      </c>
      <c r="U9" s="45"/>
      <c r="V9" s="51" t="s">
        <v>19</v>
      </c>
      <c r="W9" s="52"/>
      <c r="X9" s="53"/>
      <c r="Y9" s="54">
        <v>61.73</v>
      </c>
      <c r="Z9" s="55"/>
      <c r="AA9" s="55"/>
      <c r="AB9" s="55"/>
      <c r="AC9" s="55"/>
      <c r="AD9" s="56"/>
      <c r="AE9" s="3"/>
      <c r="AF9" s="57"/>
      <c r="AG9" s="57"/>
      <c r="AH9" s="57"/>
    </row>
    <row r="10" spans="1:34" ht="14.45" customHeight="1" x14ac:dyDescent="0.2">
      <c r="A10" s="58" t="s">
        <v>20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1"/>
      <c r="Z10" s="1"/>
      <c r="AA10" s="1"/>
      <c r="AB10" s="1"/>
      <c r="AC10" s="59">
        <v>61.73</v>
      </c>
      <c r="AD10" s="59"/>
      <c r="AE10" s="59"/>
      <c r="AF10" s="59"/>
      <c r="AG10" s="59"/>
      <c r="AH10" s="59"/>
    </row>
    <row r="11" spans="1:34" ht="5.45" customHeight="1" x14ac:dyDescent="0.2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1"/>
      <c r="Z11" s="1"/>
      <c r="AA11" s="1"/>
      <c r="AB11" s="1"/>
      <c r="AC11" s="10"/>
      <c r="AD11" s="10"/>
      <c r="AE11" s="1"/>
      <c r="AF11" s="10"/>
      <c r="AG11" s="10"/>
      <c r="AH11" s="10"/>
    </row>
    <row r="12" spans="1:34" ht="14.25" customHeight="1" x14ac:dyDescent="0.2">
      <c r="A12" s="60" t="s">
        <v>21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</row>
    <row r="13" spans="1:34" ht="45" customHeight="1" x14ac:dyDescent="0.2">
      <c r="A13" s="38" t="s">
        <v>22</v>
      </c>
      <c r="B13" s="39"/>
      <c r="C13" s="39"/>
      <c r="D13" s="39"/>
      <c r="E13" s="39"/>
      <c r="F13" s="40"/>
      <c r="G13" s="41" t="s">
        <v>16</v>
      </c>
      <c r="H13" s="42"/>
      <c r="I13" s="42"/>
      <c r="J13" s="43"/>
      <c r="K13" s="44" t="s">
        <v>17</v>
      </c>
      <c r="L13" s="45"/>
      <c r="M13" s="46">
        <v>2</v>
      </c>
      <c r="N13" s="47"/>
      <c r="O13" s="48">
        <v>12.92</v>
      </c>
      <c r="P13" s="49"/>
      <c r="Q13" s="48">
        <v>83.99</v>
      </c>
      <c r="R13" s="50"/>
      <c r="S13" s="49"/>
      <c r="T13" s="44" t="s">
        <v>23</v>
      </c>
      <c r="U13" s="45"/>
      <c r="V13" s="61" t="s">
        <v>24</v>
      </c>
      <c r="W13" s="62"/>
      <c r="X13" s="63"/>
      <c r="Y13" s="54">
        <v>167.99</v>
      </c>
      <c r="Z13" s="55"/>
      <c r="AA13" s="55"/>
      <c r="AB13" s="55"/>
      <c r="AC13" s="55"/>
      <c r="AD13" s="56"/>
      <c r="AE13" s="3"/>
      <c r="AF13" s="57"/>
      <c r="AG13" s="57"/>
      <c r="AH13" s="57"/>
    </row>
    <row r="14" spans="1:34" ht="45" customHeight="1" x14ac:dyDescent="0.2">
      <c r="A14" s="38" t="s">
        <v>25</v>
      </c>
      <c r="B14" s="39"/>
      <c r="C14" s="39"/>
      <c r="D14" s="39"/>
      <c r="E14" s="39"/>
      <c r="F14" s="40"/>
      <c r="G14" s="41" t="s">
        <v>16</v>
      </c>
      <c r="H14" s="42"/>
      <c r="I14" s="42"/>
      <c r="J14" s="43"/>
      <c r="K14" s="44" t="s">
        <v>17</v>
      </c>
      <c r="L14" s="45"/>
      <c r="M14" s="46">
        <v>9</v>
      </c>
      <c r="N14" s="47"/>
      <c r="O14" s="48">
        <v>11.93</v>
      </c>
      <c r="P14" s="49"/>
      <c r="Q14" s="48">
        <v>77.569999999999993</v>
      </c>
      <c r="R14" s="50"/>
      <c r="S14" s="49"/>
      <c r="T14" s="44" t="s">
        <v>26</v>
      </c>
      <c r="U14" s="45"/>
      <c r="V14" s="61" t="s">
        <v>27</v>
      </c>
      <c r="W14" s="62"/>
      <c r="X14" s="63"/>
      <c r="Y14" s="54">
        <v>698.14</v>
      </c>
      <c r="Z14" s="55"/>
      <c r="AA14" s="55"/>
      <c r="AB14" s="55"/>
      <c r="AC14" s="55"/>
      <c r="AD14" s="56"/>
      <c r="AE14" s="3"/>
      <c r="AF14" s="57"/>
      <c r="AG14" s="57"/>
      <c r="AH14" s="57"/>
    </row>
    <row r="15" spans="1:34" ht="45.75" customHeight="1" x14ac:dyDescent="0.2">
      <c r="A15" s="38" t="s">
        <v>28</v>
      </c>
      <c r="B15" s="39"/>
      <c r="C15" s="39"/>
      <c r="D15" s="39"/>
      <c r="E15" s="39"/>
      <c r="F15" s="40"/>
      <c r="G15" s="41" t="s">
        <v>16</v>
      </c>
      <c r="H15" s="42"/>
      <c r="I15" s="42"/>
      <c r="J15" s="43"/>
      <c r="K15" s="44" t="s">
        <v>17</v>
      </c>
      <c r="L15" s="45"/>
      <c r="M15" s="46">
        <v>12</v>
      </c>
      <c r="N15" s="47"/>
      <c r="O15" s="48">
        <v>13.93</v>
      </c>
      <c r="P15" s="49"/>
      <c r="Q15" s="48">
        <v>90.54</v>
      </c>
      <c r="R15" s="50"/>
      <c r="S15" s="49"/>
      <c r="T15" s="44" t="s">
        <v>29</v>
      </c>
      <c r="U15" s="45"/>
      <c r="V15" s="51" t="s">
        <v>30</v>
      </c>
      <c r="W15" s="52"/>
      <c r="X15" s="53"/>
      <c r="Y15" s="64">
        <v>1086.5</v>
      </c>
      <c r="Z15" s="65"/>
      <c r="AA15" s="65"/>
      <c r="AB15" s="65"/>
      <c r="AC15" s="65"/>
      <c r="AD15" s="66"/>
      <c r="AE15" s="3"/>
      <c r="AF15" s="57"/>
      <c r="AG15" s="57"/>
      <c r="AH15" s="57"/>
    </row>
    <row r="16" spans="1:34" ht="14.25" customHeight="1" x14ac:dyDescent="0.2">
      <c r="A16" s="58" t="s">
        <v>31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1"/>
      <c r="Z16" s="1"/>
      <c r="AA16" s="67">
        <v>1952.63</v>
      </c>
      <c r="AB16" s="67"/>
      <c r="AC16" s="67"/>
      <c r="AD16" s="67"/>
      <c r="AE16" s="67"/>
      <c r="AF16" s="67"/>
      <c r="AG16" s="67"/>
      <c r="AH16" s="67"/>
    </row>
    <row r="17" spans="1:34" ht="6.6" customHeight="1" x14ac:dyDescent="0.2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1"/>
      <c r="Z17" s="1"/>
      <c r="AA17" s="1"/>
      <c r="AB17" s="1"/>
      <c r="AC17" s="10"/>
      <c r="AD17" s="10"/>
      <c r="AE17" s="1"/>
      <c r="AF17" s="10"/>
      <c r="AG17" s="10"/>
      <c r="AH17" s="10"/>
    </row>
    <row r="18" spans="1:34" ht="14.25" customHeight="1" x14ac:dyDescent="0.2">
      <c r="A18" s="60" t="s">
        <v>32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</row>
    <row r="19" spans="1:34" ht="45.75" customHeight="1" x14ac:dyDescent="0.2">
      <c r="A19" s="38" t="s">
        <v>33</v>
      </c>
      <c r="B19" s="39"/>
      <c r="C19" s="39"/>
      <c r="D19" s="39"/>
      <c r="E19" s="39"/>
      <c r="F19" s="40"/>
      <c r="G19" s="41" t="s">
        <v>16</v>
      </c>
      <c r="H19" s="42"/>
      <c r="I19" s="42"/>
      <c r="J19" s="43"/>
      <c r="K19" s="44" t="s">
        <v>17</v>
      </c>
      <c r="L19" s="45"/>
      <c r="M19" s="46">
        <v>11</v>
      </c>
      <c r="N19" s="47"/>
      <c r="O19" s="48">
        <v>2.5</v>
      </c>
      <c r="P19" s="49"/>
      <c r="Q19" s="48">
        <v>16.27</v>
      </c>
      <c r="R19" s="50"/>
      <c r="S19" s="49"/>
      <c r="T19" s="44" t="s">
        <v>34</v>
      </c>
      <c r="U19" s="45"/>
      <c r="V19" s="61" t="s">
        <v>35</v>
      </c>
      <c r="W19" s="62"/>
      <c r="X19" s="63"/>
      <c r="Y19" s="54">
        <v>178.93</v>
      </c>
      <c r="Z19" s="55"/>
      <c r="AA19" s="55"/>
      <c r="AB19" s="55"/>
      <c r="AC19" s="55"/>
      <c r="AD19" s="56"/>
      <c r="AE19" s="3"/>
      <c r="AF19" s="57"/>
      <c r="AG19" s="57"/>
      <c r="AH19" s="57"/>
    </row>
    <row r="20" spans="1:34" ht="14.25" customHeight="1" x14ac:dyDescent="0.2">
      <c r="A20" s="58" t="s">
        <v>36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1"/>
      <c r="Z20" s="1"/>
      <c r="AA20" s="1"/>
      <c r="AB20" s="59">
        <v>178.93</v>
      </c>
      <c r="AC20" s="59"/>
      <c r="AD20" s="59"/>
      <c r="AE20" s="59"/>
      <c r="AF20" s="59"/>
      <c r="AG20" s="59"/>
      <c r="AH20" s="59"/>
    </row>
    <row r="21" spans="1:34" ht="6.6" customHeight="1" x14ac:dyDescent="0.2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1"/>
      <c r="Z21" s="1"/>
      <c r="AA21" s="1"/>
      <c r="AB21" s="1"/>
      <c r="AC21" s="10"/>
      <c r="AD21" s="10"/>
      <c r="AE21" s="1"/>
      <c r="AF21" s="10"/>
      <c r="AG21" s="10"/>
      <c r="AH21" s="10"/>
    </row>
    <row r="22" spans="1:34" ht="14.25" customHeight="1" x14ac:dyDescent="0.2">
      <c r="A22" s="60" t="s">
        <v>37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</row>
    <row r="23" spans="1:34" ht="45.75" customHeight="1" x14ac:dyDescent="0.2">
      <c r="A23" s="38" t="s">
        <v>38</v>
      </c>
      <c r="B23" s="39"/>
      <c r="C23" s="39"/>
      <c r="D23" s="39"/>
      <c r="E23" s="39"/>
      <c r="F23" s="40"/>
      <c r="G23" s="41" t="s">
        <v>16</v>
      </c>
      <c r="H23" s="42"/>
      <c r="I23" s="42"/>
      <c r="J23" s="43"/>
      <c r="K23" s="44" t="s">
        <v>17</v>
      </c>
      <c r="L23" s="45"/>
      <c r="M23" s="46">
        <v>9</v>
      </c>
      <c r="N23" s="47"/>
      <c r="O23" s="48">
        <v>2.09</v>
      </c>
      <c r="P23" s="49"/>
      <c r="Q23" s="48">
        <v>13.56</v>
      </c>
      <c r="R23" s="50"/>
      <c r="S23" s="49"/>
      <c r="T23" s="44" t="s">
        <v>26</v>
      </c>
      <c r="U23" s="45"/>
      <c r="V23" s="61" t="s">
        <v>39</v>
      </c>
      <c r="W23" s="62"/>
      <c r="X23" s="63"/>
      <c r="Y23" s="54">
        <v>122.06</v>
      </c>
      <c r="Z23" s="55"/>
      <c r="AA23" s="55"/>
      <c r="AB23" s="55"/>
      <c r="AC23" s="55"/>
      <c r="AD23" s="56"/>
      <c r="AE23" s="3"/>
      <c r="AF23" s="57"/>
      <c r="AG23" s="57"/>
      <c r="AH23" s="57"/>
    </row>
    <row r="24" spans="1:34" ht="18.2" customHeight="1" x14ac:dyDescent="0.2">
      <c r="A24" s="68" t="s">
        <v>40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9" t="s">
        <v>41</v>
      </c>
      <c r="W24" s="69"/>
      <c r="X24" s="69"/>
      <c r="Y24" s="69"/>
      <c r="Z24" s="70">
        <v>122.06</v>
      </c>
      <c r="AA24" s="70"/>
      <c r="AB24" s="70"/>
      <c r="AC24" s="70"/>
      <c r="AD24" s="70"/>
      <c r="AE24" s="70"/>
      <c r="AF24" s="12"/>
      <c r="AG24" s="12"/>
      <c r="AH24" s="12"/>
    </row>
    <row r="25" spans="1:34" ht="24" customHeight="1" x14ac:dyDescent="0.2">
      <c r="A25" s="71" t="s">
        <v>42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2" t="s">
        <v>43</v>
      </c>
      <c r="W25" s="72"/>
      <c r="X25" s="72"/>
      <c r="Y25" s="72"/>
      <c r="Z25" s="73">
        <v>2315.34</v>
      </c>
      <c r="AA25" s="73"/>
      <c r="AB25" s="73"/>
      <c r="AC25" s="73"/>
      <c r="AD25" s="73"/>
      <c r="AE25" s="73"/>
      <c r="AF25" s="12"/>
      <c r="AG25" s="12"/>
      <c r="AH25" s="12"/>
    </row>
    <row r="26" spans="1:34" ht="17.25" customHeight="1" x14ac:dyDescent="0.2">
      <c r="A26" s="74" t="s">
        <v>44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5" t="s">
        <v>43</v>
      </c>
      <c r="W26" s="75"/>
      <c r="X26" s="75"/>
      <c r="Y26" s="75"/>
      <c r="Z26" s="76">
        <v>2315.34</v>
      </c>
      <c r="AA26" s="76"/>
      <c r="AB26" s="76"/>
      <c r="AC26" s="76"/>
      <c r="AD26" s="76"/>
      <c r="AE26" s="76"/>
      <c r="AF26" s="12"/>
      <c r="AG26" s="12"/>
      <c r="AH26" s="12"/>
    </row>
    <row r="27" spans="1:34" ht="2.1" customHeight="1" x14ac:dyDescent="0.2"/>
    <row r="28" spans="1:34" ht="27" customHeight="1" x14ac:dyDescent="0.2">
      <c r="A28" s="77" t="s">
        <v>3</v>
      </c>
      <c r="B28" s="77"/>
      <c r="C28" s="77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34" ht="25.5" customHeight="1" x14ac:dyDescent="0.2">
      <c r="A29" s="77"/>
      <c r="B29" s="77"/>
      <c r="C29" s="77"/>
      <c r="D29" s="12"/>
      <c r="E29" s="12"/>
      <c r="F29" s="12"/>
      <c r="G29" s="12"/>
      <c r="H29" s="12"/>
      <c r="I29" s="12"/>
      <c r="J29" s="78" t="s">
        <v>45</v>
      </c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12"/>
      <c r="AF29" s="12"/>
    </row>
    <row r="30" spans="1:34" ht="23.45" customHeight="1" x14ac:dyDescent="0.2">
      <c r="A30" s="77"/>
      <c r="B30" s="77"/>
      <c r="C30" s="77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spans="1:34" ht="15.95" customHeight="1" x14ac:dyDescent="0.2">
      <c r="A31" s="21" t="s">
        <v>5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3"/>
      <c r="N31" s="31" t="s">
        <v>46</v>
      </c>
      <c r="O31" s="32"/>
      <c r="P31" s="32"/>
      <c r="Q31" s="33"/>
      <c r="R31" s="31" t="s">
        <v>47</v>
      </c>
      <c r="S31" s="33"/>
      <c r="T31" s="31" t="s">
        <v>48</v>
      </c>
      <c r="U31" s="33"/>
      <c r="V31" s="79" t="s">
        <v>49</v>
      </c>
      <c r="W31" s="80"/>
      <c r="X31" s="80"/>
      <c r="Y31" s="81"/>
      <c r="Z31" s="31" t="s">
        <v>50</v>
      </c>
      <c r="AA31" s="32"/>
      <c r="AB31" s="32"/>
      <c r="AC31" s="32"/>
      <c r="AD31" s="32"/>
      <c r="AE31" s="32"/>
      <c r="AF31" s="33"/>
    </row>
    <row r="32" spans="1:34" ht="48" customHeight="1" x14ac:dyDescent="0.2">
      <c r="A32" s="82"/>
      <c r="B32" s="83"/>
      <c r="C32" s="84" t="s">
        <v>51</v>
      </c>
      <c r="D32" s="85"/>
      <c r="E32" s="85"/>
      <c r="F32" s="85"/>
      <c r="G32" s="85"/>
      <c r="H32" s="85"/>
      <c r="I32" s="85"/>
      <c r="J32" s="85"/>
      <c r="K32" s="85"/>
      <c r="L32" s="85"/>
      <c r="M32" s="86"/>
      <c r="N32" s="87">
        <v>22</v>
      </c>
      <c r="O32" s="88"/>
      <c r="P32" s="88"/>
      <c r="Q32" s="89"/>
      <c r="R32" s="90">
        <v>0</v>
      </c>
      <c r="S32" s="91"/>
      <c r="T32" s="90">
        <v>0</v>
      </c>
      <c r="U32" s="91"/>
      <c r="V32" s="92">
        <v>0.18</v>
      </c>
      <c r="W32" s="93"/>
      <c r="X32" s="93"/>
      <c r="Y32" s="94"/>
      <c r="Z32" s="95">
        <v>3.96</v>
      </c>
      <c r="AA32" s="96"/>
      <c r="AB32" s="96"/>
      <c r="AC32" s="96"/>
      <c r="AD32" s="96"/>
      <c r="AE32" s="96"/>
      <c r="AF32" s="97"/>
    </row>
    <row r="33" spans="1:34" ht="45" customHeight="1" x14ac:dyDescent="0.2">
      <c r="A33" s="82"/>
      <c r="B33" s="83"/>
      <c r="C33" s="41" t="s">
        <v>52</v>
      </c>
      <c r="D33" s="42"/>
      <c r="E33" s="42"/>
      <c r="F33" s="42"/>
      <c r="G33" s="42"/>
      <c r="H33" s="42"/>
      <c r="I33" s="42"/>
      <c r="J33" s="42"/>
      <c r="K33" s="42"/>
      <c r="L33" s="42"/>
      <c r="M33" s="43"/>
      <c r="N33" s="98">
        <v>2</v>
      </c>
      <c r="O33" s="99"/>
      <c r="P33" s="99"/>
      <c r="Q33" s="100"/>
      <c r="R33" s="101">
        <v>0</v>
      </c>
      <c r="S33" s="102"/>
      <c r="T33" s="101">
        <v>0</v>
      </c>
      <c r="U33" s="102"/>
      <c r="V33" s="48">
        <v>7.63</v>
      </c>
      <c r="W33" s="50"/>
      <c r="X33" s="50"/>
      <c r="Y33" s="49"/>
      <c r="Z33" s="103">
        <v>15.26</v>
      </c>
      <c r="AA33" s="104"/>
      <c r="AB33" s="104"/>
      <c r="AC33" s="104"/>
      <c r="AD33" s="104"/>
      <c r="AE33" s="104"/>
      <c r="AF33" s="105"/>
    </row>
    <row r="34" spans="1:34" ht="45" customHeight="1" x14ac:dyDescent="0.2">
      <c r="A34" s="82"/>
      <c r="B34" s="83"/>
      <c r="C34" s="41" t="s">
        <v>53</v>
      </c>
      <c r="D34" s="42"/>
      <c r="E34" s="42"/>
      <c r="F34" s="42"/>
      <c r="G34" s="42"/>
      <c r="H34" s="42"/>
      <c r="I34" s="42"/>
      <c r="J34" s="42"/>
      <c r="K34" s="42"/>
      <c r="L34" s="42"/>
      <c r="M34" s="43"/>
      <c r="N34" s="98">
        <v>8</v>
      </c>
      <c r="O34" s="99"/>
      <c r="P34" s="99"/>
      <c r="Q34" s="100"/>
      <c r="R34" s="101">
        <v>0</v>
      </c>
      <c r="S34" s="102"/>
      <c r="T34" s="101">
        <v>0</v>
      </c>
      <c r="U34" s="102"/>
      <c r="V34" s="48">
        <v>5.34</v>
      </c>
      <c r="W34" s="50"/>
      <c r="X34" s="50"/>
      <c r="Y34" s="49"/>
      <c r="Z34" s="103">
        <v>42.72</v>
      </c>
      <c r="AA34" s="104"/>
      <c r="AB34" s="104"/>
      <c r="AC34" s="104"/>
      <c r="AD34" s="104"/>
      <c r="AE34" s="104"/>
      <c r="AF34" s="105"/>
    </row>
    <row r="35" spans="1:34" ht="45.95" customHeight="1" x14ac:dyDescent="0.2">
      <c r="A35" s="82"/>
      <c r="B35" s="83"/>
      <c r="C35" s="82" t="s">
        <v>54</v>
      </c>
      <c r="D35" s="106"/>
      <c r="E35" s="106"/>
      <c r="F35" s="106"/>
      <c r="G35" s="106"/>
      <c r="H35" s="106"/>
      <c r="I35" s="106"/>
      <c r="J35" s="106"/>
      <c r="K35" s="106"/>
      <c r="L35" s="106"/>
      <c r="M35" s="83"/>
      <c r="N35" s="101">
        <v>1</v>
      </c>
      <c r="O35" s="107"/>
      <c r="P35" s="107"/>
      <c r="Q35" s="102"/>
      <c r="R35" s="108">
        <v>65.384</v>
      </c>
      <c r="S35" s="109"/>
      <c r="T35" s="101">
        <v>0</v>
      </c>
      <c r="U35" s="102"/>
      <c r="V35" s="48">
        <v>128</v>
      </c>
      <c r="W35" s="50"/>
      <c r="X35" s="50"/>
      <c r="Y35" s="49"/>
      <c r="Z35" s="103">
        <v>128</v>
      </c>
      <c r="AA35" s="104"/>
      <c r="AB35" s="104"/>
      <c r="AC35" s="104"/>
      <c r="AD35" s="104"/>
      <c r="AE35" s="104"/>
      <c r="AF35" s="105"/>
    </row>
    <row r="36" spans="1:34" ht="45" customHeight="1" x14ac:dyDescent="0.2">
      <c r="A36" s="82"/>
      <c r="B36" s="83"/>
      <c r="C36" s="41" t="s">
        <v>55</v>
      </c>
      <c r="D36" s="42"/>
      <c r="E36" s="42"/>
      <c r="F36" s="42"/>
      <c r="G36" s="42"/>
      <c r="H36" s="42"/>
      <c r="I36" s="42"/>
      <c r="J36" s="42"/>
      <c r="K36" s="42"/>
      <c r="L36" s="42"/>
      <c r="M36" s="43"/>
      <c r="N36" s="98">
        <v>3</v>
      </c>
      <c r="O36" s="99"/>
      <c r="P36" s="99"/>
      <c r="Q36" s="100"/>
      <c r="R36" s="101">
        <v>0</v>
      </c>
      <c r="S36" s="102"/>
      <c r="T36" s="101">
        <v>0</v>
      </c>
      <c r="U36" s="102"/>
      <c r="V36" s="48">
        <v>7.63</v>
      </c>
      <c r="W36" s="50"/>
      <c r="X36" s="50"/>
      <c r="Y36" s="49"/>
      <c r="Z36" s="103">
        <v>22.89</v>
      </c>
      <c r="AA36" s="104"/>
      <c r="AB36" s="104"/>
      <c r="AC36" s="104"/>
      <c r="AD36" s="104"/>
      <c r="AE36" s="104"/>
      <c r="AF36" s="105"/>
    </row>
    <row r="37" spans="1:34" ht="45" customHeight="1" x14ac:dyDescent="0.2">
      <c r="A37" s="82"/>
      <c r="B37" s="83"/>
      <c r="C37" s="82" t="s">
        <v>56</v>
      </c>
      <c r="D37" s="106"/>
      <c r="E37" s="106"/>
      <c r="F37" s="106"/>
      <c r="G37" s="106"/>
      <c r="H37" s="106"/>
      <c r="I37" s="106"/>
      <c r="J37" s="106"/>
      <c r="K37" s="106"/>
      <c r="L37" s="106"/>
      <c r="M37" s="83"/>
      <c r="N37" s="101">
        <v>1</v>
      </c>
      <c r="O37" s="107"/>
      <c r="P37" s="107"/>
      <c r="Q37" s="102"/>
      <c r="R37" s="108">
        <v>65.384</v>
      </c>
      <c r="S37" s="109"/>
      <c r="T37" s="101">
        <v>0</v>
      </c>
      <c r="U37" s="102"/>
      <c r="V37" s="48">
        <v>126</v>
      </c>
      <c r="W37" s="50"/>
      <c r="X37" s="50"/>
      <c r="Y37" s="49"/>
      <c r="Z37" s="103">
        <v>126</v>
      </c>
      <c r="AA37" s="104"/>
      <c r="AB37" s="104"/>
      <c r="AC37" s="104"/>
      <c r="AD37" s="104"/>
      <c r="AE37" s="104"/>
      <c r="AF37" s="105"/>
    </row>
    <row r="38" spans="1:34" ht="45.95" customHeight="1" x14ac:dyDescent="0.2">
      <c r="A38" s="82"/>
      <c r="B38" s="83"/>
      <c r="C38" s="82" t="s">
        <v>57</v>
      </c>
      <c r="D38" s="106"/>
      <c r="E38" s="106"/>
      <c r="F38" s="106"/>
      <c r="G38" s="106"/>
      <c r="H38" s="106"/>
      <c r="I38" s="106"/>
      <c r="J38" s="106"/>
      <c r="K38" s="106"/>
      <c r="L38" s="106"/>
      <c r="M38" s="83"/>
      <c r="N38" s="101">
        <v>1</v>
      </c>
      <c r="O38" s="107"/>
      <c r="P38" s="107"/>
      <c r="Q38" s="102"/>
      <c r="R38" s="110">
        <v>61.480800000000002</v>
      </c>
      <c r="S38" s="111"/>
      <c r="T38" s="101">
        <v>0</v>
      </c>
      <c r="U38" s="102"/>
      <c r="V38" s="48">
        <v>184.8</v>
      </c>
      <c r="W38" s="50"/>
      <c r="X38" s="50"/>
      <c r="Y38" s="49"/>
      <c r="Z38" s="103">
        <v>184.8</v>
      </c>
      <c r="AA38" s="104"/>
      <c r="AB38" s="104"/>
      <c r="AC38" s="104"/>
      <c r="AD38" s="104"/>
      <c r="AE38" s="104"/>
      <c r="AF38" s="105"/>
    </row>
    <row r="39" spans="1:34" ht="45" customHeight="1" x14ac:dyDescent="0.2">
      <c r="A39" s="82"/>
      <c r="B39" s="83"/>
      <c r="C39" s="82" t="s">
        <v>58</v>
      </c>
      <c r="D39" s="106"/>
      <c r="E39" s="106"/>
      <c r="F39" s="106"/>
      <c r="G39" s="106"/>
      <c r="H39" s="106"/>
      <c r="I39" s="106"/>
      <c r="J39" s="106"/>
      <c r="K39" s="106"/>
      <c r="L39" s="106"/>
      <c r="M39" s="83"/>
      <c r="N39" s="101">
        <v>8</v>
      </c>
      <c r="O39" s="107"/>
      <c r="P39" s="107"/>
      <c r="Q39" s="102"/>
      <c r="R39" s="101">
        <v>0</v>
      </c>
      <c r="S39" s="102"/>
      <c r="T39" s="101">
        <v>0</v>
      </c>
      <c r="U39" s="102"/>
      <c r="V39" s="48">
        <v>60.5</v>
      </c>
      <c r="W39" s="50"/>
      <c r="X39" s="50"/>
      <c r="Y39" s="49"/>
      <c r="Z39" s="103">
        <v>60.5</v>
      </c>
      <c r="AA39" s="104"/>
      <c r="AB39" s="104"/>
      <c r="AC39" s="104"/>
      <c r="AD39" s="104"/>
      <c r="AE39" s="104"/>
      <c r="AF39" s="105"/>
    </row>
    <row r="40" spans="1:34" ht="45" customHeight="1" x14ac:dyDescent="0.2">
      <c r="A40" s="82"/>
      <c r="B40" s="83"/>
      <c r="C40" s="82" t="s">
        <v>59</v>
      </c>
      <c r="D40" s="106"/>
      <c r="E40" s="106"/>
      <c r="F40" s="106"/>
      <c r="G40" s="106"/>
      <c r="H40" s="106"/>
      <c r="I40" s="106"/>
      <c r="J40" s="106"/>
      <c r="K40" s="106"/>
      <c r="L40" s="106"/>
      <c r="M40" s="83"/>
      <c r="N40" s="101">
        <v>112</v>
      </c>
      <c r="O40" s="107"/>
      <c r="P40" s="107"/>
      <c r="Q40" s="102"/>
      <c r="R40" s="101">
        <v>0</v>
      </c>
      <c r="S40" s="102"/>
      <c r="T40" s="101">
        <v>0</v>
      </c>
      <c r="U40" s="102"/>
      <c r="V40" s="48">
        <v>19</v>
      </c>
      <c r="W40" s="50"/>
      <c r="X40" s="50"/>
      <c r="Y40" s="49"/>
      <c r="Z40" s="103">
        <v>38</v>
      </c>
      <c r="AA40" s="104"/>
      <c r="AB40" s="104"/>
      <c r="AC40" s="104"/>
      <c r="AD40" s="104"/>
      <c r="AE40" s="104"/>
      <c r="AF40" s="105"/>
    </row>
    <row r="41" spans="1:34" ht="45.95" customHeight="1" x14ac:dyDescent="0.2">
      <c r="A41" s="82"/>
      <c r="B41" s="83"/>
      <c r="C41" s="82" t="s">
        <v>60</v>
      </c>
      <c r="D41" s="106"/>
      <c r="E41" s="106"/>
      <c r="F41" s="106"/>
      <c r="G41" s="106"/>
      <c r="H41" s="106"/>
      <c r="I41" s="106"/>
      <c r="J41" s="106"/>
      <c r="K41" s="106"/>
      <c r="L41" s="106"/>
      <c r="M41" s="83"/>
      <c r="N41" s="101">
        <v>1</v>
      </c>
      <c r="O41" s="107"/>
      <c r="P41" s="107"/>
      <c r="Q41" s="102"/>
      <c r="R41" s="108">
        <v>146.89599999999999</v>
      </c>
      <c r="S41" s="109"/>
      <c r="T41" s="101">
        <v>0</v>
      </c>
      <c r="U41" s="102"/>
      <c r="V41" s="48">
        <v>132</v>
      </c>
      <c r="W41" s="50"/>
      <c r="X41" s="50"/>
      <c r="Y41" s="49"/>
      <c r="Z41" s="103">
        <v>132</v>
      </c>
      <c r="AA41" s="104"/>
      <c r="AB41" s="104"/>
      <c r="AC41" s="104"/>
      <c r="AD41" s="104"/>
      <c r="AE41" s="104"/>
      <c r="AF41" s="105"/>
    </row>
    <row r="42" spans="1:34" ht="45" customHeight="1" x14ac:dyDescent="0.2">
      <c r="A42" s="82"/>
      <c r="B42" s="83"/>
      <c r="C42" s="41" t="s">
        <v>61</v>
      </c>
      <c r="D42" s="42"/>
      <c r="E42" s="42"/>
      <c r="F42" s="42"/>
      <c r="G42" s="42"/>
      <c r="H42" s="42"/>
      <c r="I42" s="42"/>
      <c r="J42" s="42"/>
      <c r="K42" s="42"/>
      <c r="L42" s="42"/>
      <c r="M42" s="43"/>
      <c r="N42" s="98">
        <v>5</v>
      </c>
      <c r="O42" s="99"/>
      <c r="P42" s="99"/>
      <c r="Q42" s="100"/>
      <c r="R42" s="101">
        <v>0</v>
      </c>
      <c r="S42" s="102"/>
      <c r="T42" s="101">
        <v>0</v>
      </c>
      <c r="U42" s="102"/>
      <c r="V42" s="48">
        <v>7.63</v>
      </c>
      <c r="W42" s="50"/>
      <c r="X42" s="50"/>
      <c r="Y42" s="49"/>
      <c r="Z42" s="103">
        <v>38.15</v>
      </c>
      <c r="AA42" s="104"/>
      <c r="AB42" s="104"/>
      <c r="AC42" s="104"/>
      <c r="AD42" s="104"/>
      <c r="AE42" s="104"/>
      <c r="AF42" s="105"/>
    </row>
    <row r="43" spans="1:34" ht="45.95" customHeight="1" x14ac:dyDescent="0.2">
      <c r="A43" s="82"/>
      <c r="B43" s="83"/>
      <c r="C43" s="41" t="s">
        <v>62</v>
      </c>
      <c r="D43" s="42"/>
      <c r="E43" s="42"/>
      <c r="F43" s="42"/>
      <c r="G43" s="42"/>
      <c r="H43" s="42"/>
      <c r="I43" s="42"/>
      <c r="J43" s="42"/>
      <c r="K43" s="42"/>
      <c r="L43" s="42"/>
      <c r="M43" s="43"/>
      <c r="N43" s="98">
        <v>8</v>
      </c>
      <c r="O43" s="99"/>
      <c r="P43" s="99"/>
      <c r="Q43" s="100"/>
      <c r="R43" s="101">
        <v>0</v>
      </c>
      <c r="S43" s="102"/>
      <c r="T43" s="101">
        <v>0</v>
      </c>
      <c r="U43" s="102"/>
      <c r="V43" s="48">
        <v>1.24</v>
      </c>
      <c r="W43" s="50"/>
      <c r="X43" s="50"/>
      <c r="Y43" s="49"/>
      <c r="Z43" s="112">
        <v>9.92</v>
      </c>
      <c r="AA43" s="113"/>
      <c r="AB43" s="113"/>
      <c r="AC43" s="113"/>
      <c r="AD43" s="113"/>
      <c r="AE43" s="113"/>
      <c r="AF43" s="114"/>
    </row>
    <row r="44" spans="1:34" ht="45" customHeight="1" x14ac:dyDescent="0.2">
      <c r="A44" s="82"/>
      <c r="B44" s="83"/>
      <c r="C44" s="41" t="s">
        <v>63</v>
      </c>
      <c r="D44" s="42"/>
      <c r="E44" s="42"/>
      <c r="F44" s="42"/>
      <c r="G44" s="42"/>
      <c r="H44" s="42"/>
      <c r="I44" s="42"/>
      <c r="J44" s="42"/>
      <c r="K44" s="42"/>
      <c r="L44" s="42"/>
      <c r="M44" s="43"/>
      <c r="N44" s="98">
        <v>18</v>
      </c>
      <c r="O44" s="99"/>
      <c r="P44" s="99"/>
      <c r="Q44" s="100"/>
      <c r="R44" s="101">
        <v>0</v>
      </c>
      <c r="S44" s="102"/>
      <c r="T44" s="101">
        <v>0</v>
      </c>
      <c r="U44" s="102"/>
      <c r="V44" s="48">
        <v>11.31</v>
      </c>
      <c r="W44" s="50"/>
      <c r="X44" s="50"/>
      <c r="Y44" s="49"/>
      <c r="Z44" s="103">
        <v>203.58</v>
      </c>
      <c r="AA44" s="104"/>
      <c r="AB44" s="104"/>
      <c r="AC44" s="104"/>
      <c r="AD44" s="104"/>
      <c r="AE44" s="104"/>
      <c r="AF44" s="105"/>
    </row>
    <row r="45" spans="1:34" ht="45" customHeight="1" x14ac:dyDescent="0.2">
      <c r="A45" s="82"/>
      <c r="B45" s="83"/>
      <c r="C45" s="41" t="s">
        <v>64</v>
      </c>
      <c r="D45" s="42"/>
      <c r="E45" s="42"/>
      <c r="F45" s="42"/>
      <c r="G45" s="42"/>
      <c r="H45" s="42"/>
      <c r="I45" s="42"/>
      <c r="J45" s="42"/>
      <c r="K45" s="42"/>
      <c r="L45" s="42"/>
      <c r="M45" s="43"/>
      <c r="N45" s="98">
        <v>10</v>
      </c>
      <c r="O45" s="99"/>
      <c r="P45" s="99"/>
      <c r="Q45" s="100"/>
      <c r="R45" s="101">
        <v>0</v>
      </c>
      <c r="S45" s="102"/>
      <c r="T45" s="101">
        <v>0</v>
      </c>
      <c r="U45" s="102"/>
      <c r="V45" s="48">
        <v>11.95</v>
      </c>
      <c r="W45" s="50"/>
      <c r="X45" s="50"/>
      <c r="Y45" s="49"/>
      <c r="Z45" s="103">
        <v>119.5</v>
      </c>
      <c r="AA45" s="104"/>
      <c r="AB45" s="104"/>
      <c r="AC45" s="104"/>
      <c r="AD45" s="104"/>
      <c r="AE45" s="104"/>
      <c r="AF45" s="105"/>
    </row>
    <row r="46" spans="1:34" ht="45.6" customHeight="1" x14ac:dyDescent="0.2">
      <c r="A46" s="82"/>
      <c r="B46" s="83"/>
      <c r="C46" s="41" t="s">
        <v>65</v>
      </c>
      <c r="D46" s="42"/>
      <c r="E46" s="42"/>
      <c r="F46" s="42"/>
      <c r="G46" s="42"/>
      <c r="H46" s="42"/>
      <c r="I46" s="42"/>
      <c r="J46" s="42"/>
      <c r="K46" s="42"/>
      <c r="L46" s="42"/>
      <c r="M46" s="43"/>
      <c r="N46" s="98">
        <v>8</v>
      </c>
      <c r="O46" s="99"/>
      <c r="P46" s="99"/>
      <c r="Q46" s="100"/>
      <c r="R46" s="101">
        <v>0</v>
      </c>
      <c r="S46" s="102"/>
      <c r="T46" s="101">
        <v>0</v>
      </c>
      <c r="U46" s="102"/>
      <c r="V46" s="48">
        <v>11.22</v>
      </c>
      <c r="W46" s="50"/>
      <c r="X46" s="50"/>
      <c r="Y46" s="49"/>
      <c r="Z46" s="103">
        <v>89.76</v>
      </c>
      <c r="AA46" s="104"/>
      <c r="AB46" s="104"/>
      <c r="AC46" s="104"/>
      <c r="AD46" s="104"/>
      <c r="AE46" s="104"/>
      <c r="AF46" s="105"/>
    </row>
    <row r="47" spans="1:34" ht="44.45" customHeight="1" x14ac:dyDescent="0.2">
      <c r="A47" s="82"/>
      <c r="B47" s="83"/>
      <c r="C47" s="82" t="s">
        <v>66</v>
      </c>
      <c r="D47" s="106"/>
      <c r="E47" s="106"/>
      <c r="F47" s="106"/>
      <c r="G47" s="106"/>
      <c r="H47" s="106"/>
      <c r="I47" s="106"/>
      <c r="J47" s="106"/>
      <c r="K47" s="106"/>
      <c r="L47" s="106"/>
      <c r="M47" s="83"/>
      <c r="N47" s="101">
        <v>72</v>
      </c>
      <c r="O47" s="107"/>
      <c r="P47" s="107"/>
      <c r="Q47" s="102"/>
      <c r="R47" s="101">
        <v>0</v>
      </c>
      <c r="S47" s="102"/>
      <c r="T47" s="101">
        <v>0</v>
      </c>
      <c r="U47" s="102"/>
      <c r="V47" s="48">
        <v>57.5</v>
      </c>
      <c r="W47" s="50"/>
      <c r="X47" s="50"/>
      <c r="Y47" s="49"/>
      <c r="Z47" s="112">
        <v>57.5</v>
      </c>
      <c r="AA47" s="113"/>
      <c r="AB47" s="113"/>
      <c r="AC47" s="113"/>
      <c r="AD47" s="113"/>
      <c r="AE47" s="113"/>
      <c r="AF47" s="114"/>
      <c r="AG47" s="57"/>
      <c r="AH47" s="57"/>
    </row>
    <row r="48" spans="1:34" ht="45" customHeight="1" x14ac:dyDescent="0.2">
      <c r="A48" s="82"/>
      <c r="B48" s="83"/>
      <c r="C48" s="41" t="s">
        <v>67</v>
      </c>
      <c r="D48" s="42"/>
      <c r="E48" s="42"/>
      <c r="F48" s="42"/>
      <c r="G48" s="42"/>
      <c r="H48" s="42"/>
      <c r="I48" s="42"/>
      <c r="J48" s="42"/>
      <c r="K48" s="42"/>
      <c r="L48" s="42"/>
      <c r="M48" s="43"/>
      <c r="N48" s="98">
        <v>8</v>
      </c>
      <c r="O48" s="99"/>
      <c r="P48" s="99"/>
      <c r="Q48" s="100"/>
      <c r="R48" s="101">
        <v>0</v>
      </c>
      <c r="S48" s="102"/>
      <c r="T48" s="101">
        <v>0</v>
      </c>
      <c r="U48" s="102"/>
      <c r="V48" s="48">
        <v>3.36</v>
      </c>
      <c r="W48" s="50"/>
      <c r="X48" s="50"/>
      <c r="Y48" s="49"/>
      <c r="Z48" s="112">
        <v>26.88</v>
      </c>
      <c r="AA48" s="113"/>
      <c r="AB48" s="113"/>
      <c r="AC48" s="113"/>
      <c r="AD48" s="113"/>
      <c r="AE48" s="113"/>
      <c r="AF48" s="114"/>
      <c r="AG48" s="57"/>
      <c r="AH48" s="57"/>
    </row>
    <row r="49" spans="1:34" ht="45.95" customHeight="1" x14ac:dyDescent="0.2">
      <c r="A49" s="82"/>
      <c r="B49" s="83"/>
      <c r="C49" s="41" t="s">
        <v>68</v>
      </c>
      <c r="D49" s="42"/>
      <c r="E49" s="42"/>
      <c r="F49" s="42"/>
      <c r="G49" s="42"/>
      <c r="H49" s="42"/>
      <c r="I49" s="42"/>
      <c r="J49" s="42"/>
      <c r="K49" s="42"/>
      <c r="L49" s="42"/>
      <c r="M49" s="43"/>
      <c r="N49" s="98">
        <v>12</v>
      </c>
      <c r="O49" s="99"/>
      <c r="P49" s="99"/>
      <c r="Q49" s="100"/>
      <c r="R49" s="101">
        <v>0</v>
      </c>
      <c r="S49" s="102"/>
      <c r="T49" s="101">
        <v>0</v>
      </c>
      <c r="U49" s="102"/>
      <c r="V49" s="48">
        <v>20.67</v>
      </c>
      <c r="W49" s="50"/>
      <c r="X49" s="50"/>
      <c r="Y49" s="49"/>
      <c r="Z49" s="112">
        <v>248.04</v>
      </c>
      <c r="AA49" s="113"/>
      <c r="AB49" s="113"/>
      <c r="AC49" s="113"/>
      <c r="AD49" s="113"/>
      <c r="AE49" s="113"/>
      <c r="AF49" s="114"/>
      <c r="AG49" s="57"/>
      <c r="AH49" s="57"/>
    </row>
    <row r="50" spans="1:34" ht="45" customHeight="1" x14ac:dyDescent="0.2">
      <c r="A50" s="82"/>
      <c r="B50" s="83"/>
      <c r="C50" s="41" t="s">
        <v>69</v>
      </c>
      <c r="D50" s="42"/>
      <c r="E50" s="42"/>
      <c r="F50" s="42"/>
      <c r="G50" s="42"/>
      <c r="H50" s="42"/>
      <c r="I50" s="42"/>
      <c r="J50" s="42"/>
      <c r="K50" s="42"/>
      <c r="L50" s="42"/>
      <c r="M50" s="43"/>
      <c r="N50" s="98">
        <v>12</v>
      </c>
      <c r="O50" s="99"/>
      <c r="P50" s="99"/>
      <c r="Q50" s="100"/>
      <c r="R50" s="101">
        <v>0</v>
      </c>
      <c r="S50" s="102"/>
      <c r="T50" s="101">
        <v>0</v>
      </c>
      <c r="U50" s="102"/>
      <c r="V50" s="48">
        <v>9.84</v>
      </c>
      <c r="W50" s="50"/>
      <c r="X50" s="50"/>
      <c r="Y50" s="49"/>
      <c r="Z50" s="112">
        <v>118.08</v>
      </c>
      <c r="AA50" s="113"/>
      <c r="AB50" s="113"/>
      <c r="AC50" s="113"/>
      <c r="AD50" s="113"/>
      <c r="AE50" s="113"/>
      <c r="AF50" s="114"/>
      <c r="AG50" s="57"/>
      <c r="AH50" s="57"/>
    </row>
    <row r="51" spans="1:34" ht="45.95" customHeight="1" x14ac:dyDescent="0.2">
      <c r="A51" s="82"/>
      <c r="B51" s="83"/>
      <c r="C51" s="41" t="s">
        <v>70</v>
      </c>
      <c r="D51" s="42"/>
      <c r="E51" s="42"/>
      <c r="F51" s="42"/>
      <c r="G51" s="42"/>
      <c r="H51" s="42"/>
      <c r="I51" s="42"/>
      <c r="J51" s="42"/>
      <c r="K51" s="42"/>
      <c r="L51" s="42"/>
      <c r="M51" s="43"/>
      <c r="N51" s="98">
        <v>40</v>
      </c>
      <c r="O51" s="99"/>
      <c r="P51" s="99"/>
      <c r="Q51" s="100"/>
      <c r="R51" s="101">
        <v>0</v>
      </c>
      <c r="S51" s="102"/>
      <c r="T51" s="101">
        <v>0</v>
      </c>
      <c r="U51" s="102"/>
      <c r="V51" s="48">
        <v>1.58</v>
      </c>
      <c r="W51" s="50"/>
      <c r="X51" s="50"/>
      <c r="Y51" s="49"/>
      <c r="Z51" s="112">
        <v>63.2</v>
      </c>
      <c r="AA51" s="113"/>
      <c r="AB51" s="113"/>
      <c r="AC51" s="113"/>
      <c r="AD51" s="113"/>
      <c r="AE51" s="113"/>
      <c r="AF51" s="114"/>
      <c r="AG51" s="57"/>
      <c r="AH51" s="57"/>
    </row>
    <row r="52" spans="1:34" ht="45" customHeight="1" x14ac:dyDescent="0.2">
      <c r="A52" s="82"/>
      <c r="B52" s="83"/>
      <c r="C52" s="41" t="s">
        <v>71</v>
      </c>
      <c r="D52" s="42"/>
      <c r="E52" s="42"/>
      <c r="F52" s="42"/>
      <c r="G52" s="42"/>
      <c r="H52" s="42"/>
      <c r="I52" s="42"/>
      <c r="J52" s="42"/>
      <c r="K52" s="42"/>
      <c r="L52" s="42"/>
      <c r="M52" s="43"/>
      <c r="N52" s="98">
        <v>10</v>
      </c>
      <c r="O52" s="99"/>
      <c r="P52" s="99"/>
      <c r="Q52" s="100"/>
      <c r="R52" s="101">
        <v>0</v>
      </c>
      <c r="S52" s="102"/>
      <c r="T52" s="101">
        <v>0</v>
      </c>
      <c r="U52" s="102"/>
      <c r="V52" s="48">
        <v>10.09</v>
      </c>
      <c r="W52" s="50"/>
      <c r="X52" s="50"/>
      <c r="Y52" s="49"/>
      <c r="Z52" s="112">
        <v>100.9</v>
      </c>
      <c r="AA52" s="113"/>
      <c r="AB52" s="113"/>
      <c r="AC52" s="113"/>
      <c r="AD52" s="113"/>
      <c r="AE52" s="113"/>
      <c r="AF52" s="114"/>
      <c r="AG52" s="57"/>
      <c r="AH52" s="57"/>
    </row>
    <row r="53" spans="1:34" ht="45.6" customHeight="1" x14ac:dyDescent="0.2">
      <c r="A53" s="82"/>
      <c r="B53" s="83"/>
      <c r="C53" s="82" t="s">
        <v>72</v>
      </c>
      <c r="D53" s="106"/>
      <c r="E53" s="106"/>
      <c r="F53" s="106"/>
      <c r="G53" s="106"/>
      <c r="H53" s="106"/>
      <c r="I53" s="106"/>
      <c r="J53" s="106"/>
      <c r="K53" s="106"/>
      <c r="L53" s="106"/>
      <c r="M53" s="83"/>
      <c r="N53" s="101">
        <v>112</v>
      </c>
      <c r="O53" s="107"/>
      <c r="P53" s="107"/>
      <c r="Q53" s="102"/>
      <c r="R53" s="101">
        <v>0</v>
      </c>
      <c r="S53" s="102"/>
      <c r="T53" s="101">
        <v>0</v>
      </c>
      <c r="U53" s="102"/>
      <c r="V53" s="48">
        <v>230</v>
      </c>
      <c r="W53" s="50"/>
      <c r="X53" s="50"/>
      <c r="Y53" s="49"/>
      <c r="Z53" s="112">
        <v>230</v>
      </c>
      <c r="AA53" s="113"/>
      <c r="AB53" s="113"/>
      <c r="AC53" s="113"/>
      <c r="AD53" s="113"/>
      <c r="AE53" s="113"/>
      <c r="AF53" s="114"/>
      <c r="AG53" s="57"/>
      <c r="AH53" s="57"/>
    </row>
    <row r="54" spans="1:34" ht="20.100000000000001" customHeight="1" x14ac:dyDescent="0.2">
      <c r="A54" s="115" t="s">
        <v>73</v>
      </c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</row>
    <row r="55" spans="1:34" ht="2.1" customHeight="1" x14ac:dyDescent="0.2"/>
    <row r="56" spans="1:34" ht="33" customHeight="1" x14ac:dyDescent="0.2">
      <c r="A56" s="77" t="s">
        <v>3</v>
      </c>
      <c r="B56" s="77"/>
      <c r="C56" s="77"/>
      <c r="D56" s="12"/>
      <c r="E56" s="12"/>
      <c r="F56" s="12"/>
      <c r="G56" s="12"/>
      <c r="H56" s="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4" ht="25.5" customHeight="1" x14ac:dyDescent="0.2">
      <c r="A57" s="77"/>
      <c r="B57" s="77"/>
      <c r="C57" s="77"/>
      <c r="D57" s="12"/>
      <c r="E57" s="12"/>
      <c r="F57" s="12"/>
      <c r="G57" s="12"/>
      <c r="H57" s="2"/>
      <c r="I57" s="116" t="s">
        <v>74</v>
      </c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2"/>
      <c r="AE57" s="12"/>
      <c r="AF57" s="12"/>
      <c r="AG57" s="12"/>
    </row>
    <row r="58" spans="1:34" ht="15" customHeight="1" x14ac:dyDescent="0.2">
      <c r="A58" s="77"/>
      <c r="B58" s="77"/>
      <c r="C58" s="77"/>
      <c r="D58" s="10"/>
      <c r="E58" s="10"/>
      <c r="F58" s="10"/>
      <c r="G58" s="10"/>
      <c r="H58" s="1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4" ht="30.6" customHeight="1" x14ac:dyDescent="0.2">
      <c r="A59" s="12"/>
      <c r="B59" s="12"/>
      <c r="C59" s="12"/>
      <c r="D59" s="12"/>
      <c r="E59" s="12"/>
      <c r="F59" s="12"/>
      <c r="G59" s="12"/>
      <c r="H59" s="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17" t="s">
        <v>75</v>
      </c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</row>
    <row r="60" spans="1:34" ht="57" customHeight="1" x14ac:dyDescent="0.2">
      <c r="A60" s="118" t="s">
        <v>76</v>
      </c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</row>
    <row r="61" spans="1:34" ht="14.25" customHeight="1" x14ac:dyDescent="0.2">
      <c r="A61" s="10"/>
      <c r="B61" s="10"/>
      <c r="C61" s="10"/>
      <c r="D61" s="10"/>
      <c r="E61" s="10"/>
      <c r="F61" s="119" t="s">
        <v>77</v>
      </c>
      <c r="G61" s="120"/>
      <c r="H61" s="121" t="s">
        <v>78</v>
      </c>
      <c r="I61" s="122"/>
      <c r="J61" s="122"/>
      <c r="K61" s="123"/>
      <c r="L61" s="124" t="s">
        <v>79</v>
      </c>
      <c r="M61" s="125"/>
      <c r="N61" s="125"/>
      <c r="O61" s="126"/>
      <c r="P61" s="121" t="s">
        <v>80</v>
      </c>
      <c r="Q61" s="122"/>
      <c r="R61" s="122"/>
      <c r="S61" s="122"/>
      <c r="T61" s="123"/>
      <c r="U61" s="121" t="s">
        <v>81</v>
      </c>
      <c r="V61" s="123"/>
      <c r="W61" s="121" t="s">
        <v>82</v>
      </c>
      <c r="X61" s="122"/>
      <c r="Y61" s="122"/>
      <c r="Z61" s="122"/>
      <c r="AA61" s="122"/>
      <c r="AB61" s="122"/>
      <c r="AC61" s="123"/>
      <c r="AD61" s="10"/>
      <c r="AE61" s="10"/>
      <c r="AF61" s="10"/>
      <c r="AG61" s="10"/>
    </row>
    <row r="62" spans="1:34" ht="17.25" customHeight="1" x14ac:dyDescent="0.2">
      <c r="A62" s="10"/>
      <c r="B62" s="10"/>
      <c r="C62" s="10"/>
      <c r="D62" s="10"/>
      <c r="E62" s="10"/>
      <c r="F62" s="127">
        <v>2315.34</v>
      </c>
      <c r="G62" s="128"/>
      <c r="H62" s="129">
        <v>1505.43</v>
      </c>
      <c r="I62" s="130"/>
      <c r="J62" s="130"/>
      <c r="K62" s="131"/>
      <c r="L62" s="132">
        <v>0</v>
      </c>
      <c r="M62" s="133"/>
      <c r="N62" s="133"/>
      <c r="O62" s="134"/>
      <c r="P62" s="132">
        <v>0</v>
      </c>
      <c r="Q62" s="133"/>
      <c r="R62" s="133"/>
      <c r="S62" s="133"/>
      <c r="T62" s="134"/>
      <c r="U62" s="132">
        <v>0</v>
      </c>
      <c r="V62" s="134"/>
      <c r="W62" s="135">
        <v>3820.77</v>
      </c>
      <c r="X62" s="136"/>
      <c r="Y62" s="136"/>
      <c r="Z62" s="136"/>
      <c r="AA62" s="136"/>
      <c r="AB62" s="136"/>
      <c r="AC62" s="137"/>
      <c r="AD62" s="10"/>
      <c r="AE62" s="10"/>
      <c r="AF62" s="10"/>
      <c r="AG62" s="10"/>
    </row>
    <row r="63" spans="1:34" ht="2.1" customHeight="1" x14ac:dyDescent="0.2"/>
  </sheetData>
  <mergeCells count="375">
    <mergeCell ref="A62:C62"/>
    <mergeCell ref="D62:E62"/>
    <mergeCell ref="F62:G62"/>
    <mergeCell ref="H62:K62"/>
    <mergeCell ref="L62:O62"/>
    <mergeCell ref="P62:T62"/>
    <mergeCell ref="U62:V62"/>
    <mergeCell ref="W62:AC62"/>
    <mergeCell ref="AD62:AG62"/>
    <mergeCell ref="A59:C59"/>
    <mergeCell ref="D59:E59"/>
    <mergeCell ref="F59:G59"/>
    <mergeCell ref="I59:K59"/>
    <mergeCell ref="L59:O59"/>
    <mergeCell ref="P59:R59"/>
    <mergeCell ref="S59:AG59"/>
    <mergeCell ref="A60:AG60"/>
    <mergeCell ref="A61:C61"/>
    <mergeCell ref="D61:E61"/>
    <mergeCell ref="F61:G61"/>
    <mergeCell ref="H61:K61"/>
    <mergeCell ref="L61:O61"/>
    <mergeCell ref="P61:T61"/>
    <mergeCell ref="U61:V61"/>
    <mergeCell ref="W61:AC61"/>
    <mergeCell ref="AD61:AG61"/>
    <mergeCell ref="AD56:AG56"/>
    <mergeCell ref="D57:E57"/>
    <mergeCell ref="F57:G57"/>
    <mergeCell ref="I57:AC57"/>
    <mergeCell ref="AD57:AG57"/>
    <mergeCell ref="D58:E58"/>
    <mergeCell ref="F58:G58"/>
    <mergeCell ref="I58:K58"/>
    <mergeCell ref="L58:O58"/>
    <mergeCell ref="P58:R58"/>
    <mergeCell ref="S58:T58"/>
    <mergeCell ref="U58:V58"/>
    <mergeCell ref="W58:AC58"/>
    <mergeCell ref="AD58:AG58"/>
    <mergeCell ref="A56:C58"/>
    <mergeCell ref="D56:E56"/>
    <mergeCell ref="F56:G56"/>
    <mergeCell ref="I56:K56"/>
    <mergeCell ref="L56:O56"/>
    <mergeCell ref="P56:R56"/>
    <mergeCell ref="S56:T56"/>
    <mergeCell ref="U56:V56"/>
    <mergeCell ref="W56:AC56"/>
    <mergeCell ref="A53:B53"/>
    <mergeCell ref="C53:M53"/>
    <mergeCell ref="N53:Q53"/>
    <mergeCell ref="R53:S53"/>
    <mergeCell ref="T53:U53"/>
    <mergeCell ref="V53:Y53"/>
    <mergeCell ref="Z53:AF53"/>
    <mergeCell ref="AG53:AH53"/>
    <mergeCell ref="A54:AH54"/>
    <mergeCell ref="A51:B51"/>
    <mergeCell ref="C51:M51"/>
    <mergeCell ref="N51:Q51"/>
    <mergeCell ref="R51:S51"/>
    <mergeCell ref="T51:U51"/>
    <mergeCell ref="V51:Y51"/>
    <mergeCell ref="Z51:AF51"/>
    <mergeCell ref="AG51:AH51"/>
    <mergeCell ref="A52:B52"/>
    <mergeCell ref="C52:M52"/>
    <mergeCell ref="N52:Q52"/>
    <mergeCell ref="R52:S52"/>
    <mergeCell ref="T52:U52"/>
    <mergeCell ref="V52:Y52"/>
    <mergeCell ref="Z52:AF52"/>
    <mergeCell ref="AG52:AH52"/>
    <mergeCell ref="A49:B49"/>
    <mergeCell ref="C49:M49"/>
    <mergeCell ref="N49:Q49"/>
    <mergeCell ref="R49:S49"/>
    <mergeCell ref="T49:U49"/>
    <mergeCell ref="V49:Y49"/>
    <mergeCell ref="Z49:AF49"/>
    <mergeCell ref="AG49:AH49"/>
    <mergeCell ref="A50:B50"/>
    <mergeCell ref="C50:M50"/>
    <mergeCell ref="N50:Q50"/>
    <mergeCell ref="R50:S50"/>
    <mergeCell ref="T50:U50"/>
    <mergeCell ref="V50:Y50"/>
    <mergeCell ref="Z50:AF50"/>
    <mergeCell ref="AG50:AH50"/>
    <mergeCell ref="A47:B47"/>
    <mergeCell ref="C47:M47"/>
    <mergeCell ref="N47:Q47"/>
    <mergeCell ref="R47:S47"/>
    <mergeCell ref="T47:U47"/>
    <mergeCell ref="V47:Y47"/>
    <mergeCell ref="Z47:AF47"/>
    <mergeCell ref="AG47:AH47"/>
    <mergeCell ref="A48:B48"/>
    <mergeCell ref="C48:M48"/>
    <mergeCell ref="N48:Q48"/>
    <mergeCell ref="R48:S48"/>
    <mergeCell ref="T48:U48"/>
    <mergeCell ref="V48:Y48"/>
    <mergeCell ref="Z48:AF48"/>
    <mergeCell ref="AG48:AH48"/>
    <mergeCell ref="A45:B45"/>
    <mergeCell ref="C45:M45"/>
    <mergeCell ref="N45:Q45"/>
    <mergeCell ref="R45:S45"/>
    <mergeCell ref="T45:U45"/>
    <mergeCell ref="V45:Y45"/>
    <mergeCell ref="Z45:AF45"/>
    <mergeCell ref="A46:B46"/>
    <mergeCell ref="C46:M46"/>
    <mergeCell ref="N46:Q46"/>
    <mergeCell ref="R46:S46"/>
    <mergeCell ref="T46:U46"/>
    <mergeCell ref="V46:Y46"/>
    <mergeCell ref="Z46:AF46"/>
    <mergeCell ref="A43:B43"/>
    <mergeCell ref="C43:M43"/>
    <mergeCell ref="N43:Q43"/>
    <mergeCell ref="R43:S43"/>
    <mergeCell ref="T43:U43"/>
    <mergeCell ref="V43:Y43"/>
    <mergeCell ref="Z43:AF43"/>
    <mergeCell ref="A44:B44"/>
    <mergeCell ref="C44:M44"/>
    <mergeCell ref="N44:Q44"/>
    <mergeCell ref="R44:S44"/>
    <mergeCell ref="T44:U44"/>
    <mergeCell ref="V44:Y44"/>
    <mergeCell ref="Z44:AF44"/>
    <mergeCell ref="A41:B41"/>
    <mergeCell ref="C41:M41"/>
    <mergeCell ref="N41:Q41"/>
    <mergeCell ref="R41:S41"/>
    <mergeCell ref="T41:U41"/>
    <mergeCell ref="V41:Y41"/>
    <mergeCell ref="Z41:AF41"/>
    <mergeCell ref="A42:B42"/>
    <mergeCell ref="C42:M42"/>
    <mergeCell ref="N42:Q42"/>
    <mergeCell ref="R42:S42"/>
    <mergeCell ref="T42:U42"/>
    <mergeCell ref="V42:Y42"/>
    <mergeCell ref="Z42:AF42"/>
    <mergeCell ref="A39:B39"/>
    <mergeCell ref="C39:M39"/>
    <mergeCell ref="N39:Q39"/>
    <mergeCell ref="R39:S39"/>
    <mergeCell ref="T39:U39"/>
    <mergeCell ref="V39:Y39"/>
    <mergeCell ref="Z39:AF39"/>
    <mergeCell ref="A40:B40"/>
    <mergeCell ref="C40:M40"/>
    <mergeCell ref="N40:Q40"/>
    <mergeCell ref="R40:S40"/>
    <mergeCell ref="T40:U40"/>
    <mergeCell ref="V40:Y40"/>
    <mergeCell ref="Z40:AF40"/>
    <mergeCell ref="A37:B37"/>
    <mergeCell ref="C37:M37"/>
    <mergeCell ref="N37:Q37"/>
    <mergeCell ref="R37:S37"/>
    <mergeCell ref="T37:U37"/>
    <mergeCell ref="V37:Y37"/>
    <mergeCell ref="Z37:AF37"/>
    <mergeCell ref="A38:B38"/>
    <mergeCell ref="C38:M38"/>
    <mergeCell ref="N38:Q38"/>
    <mergeCell ref="R38:S38"/>
    <mergeCell ref="T38:U38"/>
    <mergeCell ref="V38:Y38"/>
    <mergeCell ref="Z38:AF38"/>
    <mergeCell ref="A35:B35"/>
    <mergeCell ref="C35:M35"/>
    <mergeCell ref="N35:Q35"/>
    <mergeCell ref="R35:S35"/>
    <mergeCell ref="T35:U35"/>
    <mergeCell ref="V35:Y35"/>
    <mergeCell ref="Z35:AF35"/>
    <mergeCell ref="A36:B36"/>
    <mergeCell ref="C36:M36"/>
    <mergeCell ref="N36:Q36"/>
    <mergeCell ref="R36:S36"/>
    <mergeCell ref="T36:U36"/>
    <mergeCell ref="V36:Y36"/>
    <mergeCell ref="Z36:AF36"/>
    <mergeCell ref="A33:B33"/>
    <mergeCell ref="C33:M33"/>
    <mergeCell ref="N33:Q33"/>
    <mergeCell ref="R33:S33"/>
    <mergeCell ref="T33:U33"/>
    <mergeCell ref="V33:Y33"/>
    <mergeCell ref="Z33:AF33"/>
    <mergeCell ref="A34:B34"/>
    <mergeCell ref="C34:M34"/>
    <mergeCell ref="N34:Q34"/>
    <mergeCell ref="R34:S34"/>
    <mergeCell ref="T34:U34"/>
    <mergeCell ref="V34:Y34"/>
    <mergeCell ref="Z34:AF34"/>
    <mergeCell ref="A31:M31"/>
    <mergeCell ref="N31:Q31"/>
    <mergeCell ref="R31:S31"/>
    <mergeCell ref="T31:U31"/>
    <mergeCell ref="V31:Y31"/>
    <mergeCell ref="Z31:AF31"/>
    <mergeCell ref="A32:B32"/>
    <mergeCell ref="C32:M32"/>
    <mergeCell ref="N32:Q32"/>
    <mergeCell ref="R32:S32"/>
    <mergeCell ref="T32:U32"/>
    <mergeCell ref="V32:Y32"/>
    <mergeCell ref="Z32:AF32"/>
    <mergeCell ref="A28:C30"/>
    <mergeCell ref="D28:I28"/>
    <mergeCell ref="J28:M28"/>
    <mergeCell ref="N28:Q28"/>
    <mergeCell ref="R28:S28"/>
    <mergeCell ref="T28:U28"/>
    <mergeCell ref="V28:Y28"/>
    <mergeCell ref="Z28:AD28"/>
    <mergeCell ref="AE28:AF28"/>
    <mergeCell ref="D29:I29"/>
    <mergeCell ref="J29:AD29"/>
    <mergeCell ref="AE29:AF29"/>
    <mergeCell ref="D30:I30"/>
    <mergeCell ref="J30:M30"/>
    <mergeCell ref="N30:Q30"/>
    <mergeCell ref="R30:S30"/>
    <mergeCell ref="T30:U30"/>
    <mergeCell ref="V30:Y30"/>
    <mergeCell ref="Z30:AD30"/>
    <mergeCell ref="AE30:AF30"/>
    <mergeCell ref="A24:U24"/>
    <mergeCell ref="V24:Y24"/>
    <mergeCell ref="Z24:AE24"/>
    <mergeCell ref="AF24:AH24"/>
    <mergeCell ref="A25:U25"/>
    <mergeCell ref="V25:Y25"/>
    <mergeCell ref="Z25:AE25"/>
    <mergeCell ref="AF25:AH25"/>
    <mergeCell ref="A26:U26"/>
    <mergeCell ref="V26:Y26"/>
    <mergeCell ref="Z26:AE26"/>
    <mergeCell ref="AF26:AH26"/>
    <mergeCell ref="A20:X21"/>
    <mergeCell ref="AB20:AH20"/>
    <mergeCell ref="AC21:AD21"/>
    <mergeCell ref="AF21:AH21"/>
    <mergeCell ref="A22:AH22"/>
    <mergeCell ref="A23:F23"/>
    <mergeCell ref="G23:J23"/>
    <mergeCell ref="K23:L23"/>
    <mergeCell ref="M23:N23"/>
    <mergeCell ref="O23:P23"/>
    <mergeCell ref="Q23:S23"/>
    <mergeCell ref="T23:U23"/>
    <mergeCell ref="V23:X23"/>
    <mergeCell ref="Y23:AD23"/>
    <mergeCell ref="AF23:AH23"/>
    <mergeCell ref="A16:X17"/>
    <mergeCell ref="AA16:AH16"/>
    <mergeCell ref="AC17:AD17"/>
    <mergeCell ref="AF17:AH17"/>
    <mergeCell ref="A18:AH18"/>
    <mergeCell ref="A19:F19"/>
    <mergeCell ref="G19:J19"/>
    <mergeCell ref="K19:L19"/>
    <mergeCell ref="M19:N19"/>
    <mergeCell ref="O19:P19"/>
    <mergeCell ref="Q19:S19"/>
    <mergeCell ref="T19:U19"/>
    <mergeCell ref="V19:X19"/>
    <mergeCell ref="Y19:AD19"/>
    <mergeCell ref="AF19:AH19"/>
    <mergeCell ref="AF14:AH14"/>
    <mergeCell ref="A15:F15"/>
    <mergeCell ref="G15:J15"/>
    <mergeCell ref="K15:L15"/>
    <mergeCell ref="M15:N15"/>
    <mergeCell ref="O15:P15"/>
    <mergeCell ref="Q15:S15"/>
    <mergeCell ref="T15:U15"/>
    <mergeCell ref="V15:X15"/>
    <mergeCell ref="Y15:AD15"/>
    <mergeCell ref="AF15:AH15"/>
    <mergeCell ref="A14:F14"/>
    <mergeCell ref="G14:J14"/>
    <mergeCell ref="K14:L14"/>
    <mergeCell ref="M14:N14"/>
    <mergeCell ref="O14:P14"/>
    <mergeCell ref="Q14:S14"/>
    <mergeCell ref="T14:U14"/>
    <mergeCell ref="V14:X14"/>
    <mergeCell ref="Y14:AD14"/>
    <mergeCell ref="A10:X11"/>
    <mergeCell ref="AC10:AH10"/>
    <mergeCell ref="AC11:AD11"/>
    <mergeCell ref="AF11:AH11"/>
    <mergeCell ref="A12:AH12"/>
    <mergeCell ref="A13:F13"/>
    <mergeCell ref="G13:J13"/>
    <mergeCell ref="K13:L13"/>
    <mergeCell ref="M13:N13"/>
    <mergeCell ref="O13:P13"/>
    <mergeCell ref="Q13:S13"/>
    <mergeCell ref="T13:U13"/>
    <mergeCell ref="V13:X13"/>
    <mergeCell ref="Y13:AD13"/>
    <mergeCell ref="AF13:AH13"/>
    <mergeCell ref="AF7:AH7"/>
    <mergeCell ref="A8:AH8"/>
    <mergeCell ref="A9:F9"/>
    <mergeCell ref="G9:J9"/>
    <mergeCell ref="K9:L9"/>
    <mergeCell ref="M9:N9"/>
    <mergeCell ref="O9:P9"/>
    <mergeCell ref="Q9:S9"/>
    <mergeCell ref="T9:U9"/>
    <mergeCell ref="V9:X9"/>
    <mergeCell ref="Y9:AD9"/>
    <mergeCell ref="AF9:AH9"/>
    <mergeCell ref="A7:F7"/>
    <mergeCell ref="G7:J7"/>
    <mergeCell ref="K7:L7"/>
    <mergeCell ref="M7:N7"/>
    <mergeCell ref="O7:P7"/>
    <mergeCell ref="Q7:S7"/>
    <mergeCell ref="T7:U7"/>
    <mergeCell ref="V7:X7"/>
    <mergeCell ref="Y7:AD7"/>
    <mergeCell ref="X5:AH6"/>
    <mergeCell ref="B6:D6"/>
    <mergeCell ref="E6:F6"/>
    <mergeCell ref="G6:H6"/>
    <mergeCell ref="K6:L6"/>
    <mergeCell ref="M6:N6"/>
    <mergeCell ref="O6:P6"/>
    <mergeCell ref="Q6:S6"/>
    <mergeCell ref="T6:U6"/>
    <mergeCell ref="V6:W6"/>
    <mergeCell ref="A5:D5"/>
    <mergeCell ref="E5:F5"/>
    <mergeCell ref="G5:H5"/>
    <mergeCell ref="K5:L5"/>
    <mergeCell ref="M5:N5"/>
    <mergeCell ref="O5:P5"/>
    <mergeCell ref="Q5:S5"/>
    <mergeCell ref="T5:U5"/>
    <mergeCell ref="V5:W5"/>
    <mergeCell ref="B1:H2"/>
    <mergeCell ref="K1:L1"/>
    <mergeCell ref="M1:N1"/>
    <mergeCell ref="O1:P1"/>
    <mergeCell ref="Q1:S1"/>
    <mergeCell ref="T1:U1"/>
    <mergeCell ref="V1:W1"/>
    <mergeCell ref="AC1:AD1"/>
    <mergeCell ref="AF1:AH1"/>
    <mergeCell ref="J2:AD3"/>
    <mergeCell ref="AF2:AH2"/>
    <mergeCell ref="B3:H4"/>
    <mergeCell ref="AF3:AH3"/>
    <mergeCell ref="K4:L4"/>
    <mergeCell ref="M4:N4"/>
    <mergeCell ref="O4:P4"/>
    <mergeCell ref="Q4:S4"/>
    <mergeCell ref="T4:U4"/>
    <mergeCell ref="V4:W4"/>
    <mergeCell ref="AC4:AD4"/>
    <mergeCell ref="AF4:AH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70B2-F2DE-4977-B4FC-3B6E24B86E52}">
  <dimension ref="A1:AL41"/>
  <sheetViews>
    <sheetView tabSelected="1" topLeftCell="A22" zoomScale="115" zoomScaleNormal="115" workbookViewId="0">
      <selection activeCell="AL32" sqref="AL32"/>
    </sheetView>
  </sheetViews>
  <sheetFormatPr baseColWidth="10" defaultColWidth="9.33203125" defaultRowHeight="11.25" x14ac:dyDescent="0.2"/>
  <cols>
    <col min="1" max="1" width="1.1640625" style="152" customWidth="1"/>
    <col min="2" max="2" width="10.5" style="152" customWidth="1"/>
    <col min="3" max="3" width="3.33203125" style="152" customWidth="1"/>
    <col min="4" max="4" width="2.1640625" style="152" customWidth="1"/>
    <col min="5" max="5" width="17.33203125" style="152" customWidth="1"/>
    <col min="6" max="6" width="5.83203125" style="152" customWidth="1"/>
    <col min="7" max="7" width="6.83203125" style="152" customWidth="1"/>
    <col min="8" max="9" width="2.1640625" style="152" customWidth="1"/>
    <col min="10" max="11" width="5.83203125" style="152" customWidth="1"/>
    <col min="12" max="12" width="1.1640625" style="152" customWidth="1"/>
    <col min="13" max="13" width="3.33203125" style="152" customWidth="1"/>
    <col min="14" max="14" width="1.1640625" style="152" customWidth="1"/>
    <col min="15" max="15" width="6.83203125" style="152" customWidth="1"/>
    <col min="16" max="16" width="3.33203125" style="152" customWidth="1"/>
    <col min="17" max="17" width="2.1640625" style="152" customWidth="1"/>
    <col min="18" max="18" width="5.83203125" style="152" customWidth="1"/>
    <col min="19" max="19" width="3.33203125" style="152" customWidth="1"/>
    <col min="20" max="20" width="2.1640625" style="152" customWidth="1"/>
    <col min="21" max="21" width="6.83203125" style="152" customWidth="1"/>
    <col min="22" max="22" width="5.83203125" style="152" customWidth="1"/>
    <col min="23" max="23" width="2.1640625" style="152" customWidth="1"/>
    <col min="24" max="24" width="4.6640625" style="152" customWidth="1"/>
    <col min="25" max="25" width="1.1640625" style="152" customWidth="1"/>
    <col min="26" max="26" width="4.6640625" style="152" customWidth="1"/>
    <col min="27" max="28" width="1.1640625" style="152" customWidth="1"/>
    <col min="29" max="29" width="4.6640625" style="152" customWidth="1"/>
    <col min="30" max="30" width="1.1640625" style="152" customWidth="1"/>
    <col min="31" max="31" width="2.1640625" style="152" customWidth="1"/>
    <col min="32" max="34" width="1.1640625" style="152" customWidth="1"/>
    <col min="35" max="35" width="9.33203125" style="152"/>
    <col min="36" max="36" width="14.1640625" style="152" customWidth="1"/>
    <col min="37" max="37" width="9.33203125" style="152"/>
    <col min="38" max="38" width="12" style="152" bestFit="1" customWidth="1"/>
    <col min="39" max="16384" width="9.33203125" style="152"/>
  </cols>
  <sheetData>
    <row r="1" spans="1:38" ht="7.7" customHeight="1" x14ac:dyDescent="0.2">
      <c r="A1" s="150"/>
      <c r="B1" s="196" t="s">
        <v>83</v>
      </c>
      <c r="C1" s="197"/>
      <c r="D1" s="197"/>
      <c r="E1" s="197"/>
      <c r="F1" s="197"/>
      <c r="G1" s="197"/>
      <c r="H1" s="198"/>
      <c r="I1" s="150"/>
      <c r="J1" s="150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0"/>
      <c r="Y1" s="150"/>
      <c r="Z1" s="150"/>
      <c r="AA1" s="150"/>
      <c r="AB1" s="150"/>
      <c r="AC1" s="151"/>
      <c r="AD1" s="151"/>
      <c r="AE1" s="150"/>
      <c r="AF1" s="151"/>
      <c r="AG1" s="151"/>
      <c r="AH1" s="151"/>
    </row>
    <row r="2" spans="1:38" ht="10.5" customHeight="1" x14ac:dyDescent="0.2">
      <c r="A2" s="150"/>
      <c r="B2" s="199"/>
      <c r="C2" s="200"/>
      <c r="D2" s="200"/>
      <c r="E2" s="200"/>
      <c r="F2" s="200"/>
      <c r="G2" s="200"/>
      <c r="H2" s="201"/>
      <c r="I2" s="150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4"/>
      <c r="AF2" s="155"/>
      <c r="AG2" s="155"/>
      <c r="AH2" s="155"/>
    </row>
    <row r="3" spans="1:38" ht="15" customHeight="1" x14ac:dyDescent="0.2">
      <c r="A3" s="150"/>
      <c r="B3" s="138" t="s">
        <v>125</v>
      </c>
      <c r="C3" s="139"/>
      <c r="D3" s="139"/>
      <c r="E3" s="139"/>
      <c r="F3" s="139"/>
      <c r="G3" s="139"/>
      <c r="H3" s="140"/>
      <c r="I3" s="150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0"/>
      <c r="AF3" s="151"/>
      <c r="AG3" s="151"/>
      <c r="AH3" s="151"/>
    </row>
    <row r="4" spans="1:38" ht="24.6" customHeight="1" x14ac:dyDescent="0.2">
      <c r="A4" s="154"/>
      <c r="B4" s="141"/>
      <c r="C4" s="142"/>
      <c r="D4" s="142"/>
      <c r="E4" s="142"/>
      <c r="F4" s="142"/>
      <c r="G4" s="142"/>
      <c r="H4" s="143"/>
      <c r="I4" s="154"/>
      <c r="J4" s="154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4"/>
      <c r="Y4" s="154"/>
      <c r="Z4" s="154"/>
      <c r="AA4" s="154"/>
      <c r="AB4" s="154"/>
      <c r="AC4" s="155"/>
      <c r="AD4" s="155"/>
      <c r="AE4" s="154"/>
      <c r="AF4" s="155"/>
      <c r="AG4" s="155"/>
      <c r="AH4" s="155"/>
    </row>
    <row r="5" spans="1:38" ht="15.6" customHeight="1" x14ac:dyDescent="0.2">
      <c r="A5" s="156" t="s">
        <v>84</v>
      </c>
      <c r="B5" s="156"/>
      <c r="C5" s="156"/>
      <c r="D5" s="156"/>
      <c r="E5" s="151"/>
      <c r="F5" s="151"/>
      <c r="G5" s="151"/>
      <c r="H5" s="151"/>
      <c r="I5" s="150"/>
      <c r="J5" s="150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7" t="s">
        <v>85</v>
      </c>
      <c r="Y5" s="157"/>
      <c r="Z5" s="157"/>
      <c r="AA5" s="157"/>
      <c r="AB5" s="157"/>
      <c r="AC5" s="157"/>
      <c r="AD5" s="157"/>
      <c r="AE5" s="157"/>
      <c r="AF5" s="157"/>
      <c r="AG5" s="157"/>
      <c r="AH5" s="157"/>
    </row>
    <row r="6" spans="1:38" ht="2.1" customHeight="1" x14ac:dyDescent="0.2"/>
    <row r="7" spans="1:38" ht="25.5" customHeight="1" x14ac:dyDescent="0.2">
      <c r="A7" s="158"/>
      <c r="B7" s="158"/>
      <c r="C7" s="158"/>
      <c r="D7" s="155"/>
      <c r="E7" s="155"/>
      <c r="F7" s="155"/>
      <c r="G7" s="155"/>
      <c r="H7" s="155"/>
      <c r="I7" s="155"/>
      <c r="J7" s="195" t="s">
        <v>124</v>
      </c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55"/>
      <c r="AF7" s="155"/>
    </row>
    <row r="8" spans="1:38" ht="23.45" customHeight="1" x14ac:dyDescent="0.2">
      <c r="A8" s="158"/>
      <c r="B8" s="158"/>
      <c r="C8" s="158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</row>
    <row r="9" spans="1:38" ht="15.95" customHeight="1" x14ac:dyDescent="0.2">
      <c r="A9" s="159" t="s">
        <v>86</v>
      </c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1"/>
      <c r="N9" s="162" t="s">
        <v>87</v>
      </c>
      <c r="O9" s="163"/>
      <c r="P9" s="163"/>
      <c r="Q9" s="164"/>
      <c r="R9" s="162" t="s">
        <v>88</v>
      </c>
      <c r="S9" s="164"/>
      <c r="T9" s="162" t="s">
        <v>89</v>
      </c>
      <c r="U9" s="164"/>
      <c r="V9" s="165" t="s">
        <v>90</v>
      </c>
      <c r="W9" s="166"/>
      <c r="X9" s="166"/>
      <c r="Y9" s="167"/>
      <c r="Z9" s="162" t="s">
        <v>91</v>
      </c>
      <c r="AA9" s="163"/>
      <c r="AB9" s="163"/>
      <c r="AC9" s="163"/>
      <c r="AD9" s="163"/>
      <c r="AE9" s="163"/>
      <c r="AF9" s="164"/>
      <c r="AK9" s="152" t="s">
        <v>126</v>
      </c>
    </row>
    <row r="10" spans="1:38" ht="48" customHeight="1" x14ac:dyDescent="0.2">
      <c r="A10" s="168"/>
      <c r="B10" s="169"/>
      <c r="C10" s="144" t="s">
        <v>92</v>
      </c>
      <c r="D10" s="145"/>
      <c r="E10" s="145"/>
      <c r="F10" s="145"/>
      <c r="G10" s="145"/>
      <c r="H10" s="145"/>
      <c r="I10" s="145"/>
      <c r="J10" s="145"/>
      <c r="K10" s="145"/>
      <c r="L10" s="145"/>
      <c r="M10" s="146"/>
      <c r="N10" s="205">
        <v>22</v>
      </c>
      <c r="O10" s="206"/>
      <c r="P10" s="206"/>
      <c r="Q10" s="207"/>
      <c r="R10" s="208">
        <v>0</v>
      </c>
      <c r="S10" s="209"/>
      <c r="T10" s="208">
        <v>0</v>
      </c>
      <c r="U10" s="209"/>
      <c r="V10" s="210">
        <v>0.18</v>
      </c>
      <c r="W10" s="211"/>
      <c r="X10" s="211"/>
      <c r="Y10" s="212"/>
      <c r="Z10" s="213">
        <v>3.96</v>
      </c>
      <c r="AA10" s="214"/>
      <c r="AB10" s="214"/>
      <c r="AC10" s="214"/>
      <c r="AD10" s="214"/>
      <c r="AE10" s="214"/>
      <c r="AF10" s="215"/>
      <c r="AJ10" s="202">
        <f>N10*V10</f>
        <v>3.96</v>
      </c>
      <c r="AK10" s="202"/>
      <c r="AL10" s="202">
        <f>AJ10</f>
        <v>3.96</v>
      </c>
    </row>
    <row r="11" spans="1:38" ht="45" customHeight="1" x14ac:dyDescent="0.2">
      <c r="A11" s="168"/>
      <c r="B11" s="169"/>
      <c r="C11" s="147" t="s">
        <v>93</v>
      </c>
      <c r="D11" s="148"/>
      <c r="E11" s="148"/>
      <c r="F11" s="148"/>
      <c r="G11" s="148"/>
      <c r="H11" s="148"/>
      <c r="I11" s="148"/>
      <c r="J11" s="148"/>
      <c r="K11" s="148"/>
      <c r="L11" s="148"/>
      <c r="M11" s="149"/>
      <c r="N11" s="205">
        <v>2</v>
      </c>
      <c r="O11" s="206"/>
      <c r="P11" s="206"/>
      <c r="Q11" s="207"/>
      <c r="R11" s="208">
        <v>0</v>
      </c>
      <c r="S11" s="209"/>
      <c r="T11" s="208">
        <v>0</v>
      </c>
      <c r="U11" s="209"/>
      <c r="V11" s="210">
        <v>7.63</v>
      </c>
      <c r="W11" s="211"/>
      <c r="X11" s="211"/>
      <c r="Y11" s="212"/>
      <c r="Z11" s="213">
        <v>15.26</v>
      </c>
      <c r="AA11" s="214"/>
      <c r="AB11" s="214"/>
      <c r="AC11" s="214"/>
      <c r="AD11" s="214"/>
      <c r="AE11" s="214"/>
      <c r="AF11" s="215"/>
      <c r="AJ11" s="202">
        <f>N11*V11</f>
        <v>15.26</v>
      </c>
      <c r="AK11" s="202"/>
      <c r="AL11" s="202">
        <f t="shared" ref="AL11:AL31" si="0">AJ11</f>
        <v>15.26</v>
      </c>
    </row>
    <row r="12" spans="1:38" ht="45" customHeight="1" x14ac:dyDescent="0.2">
      <c r="A12" s="168"/>
      <c r="B12" s="169"/>
      <c r="C12" s="147" t="s">
        <v>94</v>
      </c>
      <c r="D12" s="148"/>
      <c r="E12" s="148"/>
      <c r="F12" s="148"/>
      <c r="G12" s="148"/>
      <c r="H12" s="148"/>
      <c r="I12" s="148"/>
      <c r="J12" s="148"/>
      <c r="K12" s="148"/>
      <c r="L12" s="148"/>
      <c r="M12" s="149"/>
      <c r="N12" s="205">
        <v>8</v>
      </c>
      <c r="O12" s="206"/>
      <c r="P12" s="206"/>
      <c r="Q12" s="207"/>
      <c r="R12" s="208">
        <v>0</v>
      </c>
      <c r="S12" s="209"/>
      <c r="T12" s="208">
        <v>0</v>
      </c>
      <c r="U12" s="209"/>
      <c r="V12" s="210">
        <v>5.34</v>
      </c>
      <c r="W12" s="211"/>
      <c r="X12" s="211"/>
      <c r="Y12" s="212"/>
      <c r="Z12" s="213">
        <v>42.72</v>
      </c>
      <c r="AA12" s="214"/>
      <c r="AB12" s="214"/>
      <c r="AC12" s="214"/>
      <c r="AD12" s="214"/>
      <c r="AE12" s="214"/>
      <c r="AF12" s="215"/>
      <c r="AJ12" s="202">
        <f>N12*V12</f>
        <v>42.72</v>
      </c>
      <c r="AK12" s="202"/>
      <c r="AL12" s="202">
        <f t="shared" si="0"/>
        <v>42.72</v>
      </c>
    </row>
    <row r="13" spans="1:38" ht="45.95" customHeight="1" x14ac:dyDescent="0.2">
      <c r="A13" s="168"/>
      <c r="B13" s="169"/>
      <c r="C13" s="168" t="s">
        <v>95</v>
      </c>
      <c r="D13" s="170"/>
      <c r="E13" s="170"/>
      <c r="F13" s="170"/>
      <c r="G13" s="170"/>
      <c r="H13" s="170"/>
      <c r="I13" s="170"/>
      <c r="J13" s="170"/>
      <c r="K13" s="170"/>
      <c r="L13" s="170"/>
      <c r="M13" s="169"/>
      <c r="N13" s="208">
        <v>1</v>
      </c>
      <c r="O13" s="216"/>
      <c r="P13" s="216"/>
      <c r="Q13" s="209"/>
      <c r="R13" s="217">
        <v>65.384</v>
      </c>
      <c r="S13" s="218"/>
      <c r="T13" s="208">
        <v>0</v>
      </c>
      <c r="U13" s="209"/>
      <c r="V13" s="219">
        <v>128</v>
      </c>
      <c r="W13" s="220"/>
      <c r="X13" s="220"/>
      <c r="Y13" s="221"/>
      <c r="Z13" s="213">
        <v>128</v>
      </c>
      <c r="AA13" s="214"/>
      <c r="AB13" s="214"/>
      <c r="AC13" s="214"/>
      <c r="AD13" s="214"/>
      <c r="AE13" s="214"/>
      <c r="AF13" s="215"/>
      <c r="AJ13" s="204">
        <f>N13*V13</f>
        <v>128</v>
      </c>
      <c r="AK13" s="202">
        <f>V13/200</f>
        <v>0.64</v>
      </c>
      <c r="AL13" s="202">
        <f>N13*R13*AK13</f>
        <v>41.845759999999999</v>
      </c>
    </row>
    <row r="14" spans="1:38" ht="45" customHeight="1" x14ac:dyDescent="0.2">
      <c r="A14" s="168"/>
      <c r="B14" s="169"/>
      <c r="C14" s="147" t="s">
        <v>96</v>
      </c>
      <c r="D14" s="148"/>
      <c r="E14" s="148"/>
      <c r="F14" s="148"/>
      <c r="G14" s="148"/>
      <c r="H14" s="148"/>
      <c r="I14" s="148"/>
      <c r="J14" s="148"/>
      <c r="K14" s="148"/>
      <c r="L14" s="148"/>
      <c r="M14" s="149"/>
      <c r="N14" s="205">
        <v>3</v>
      </c>
      <c r="O14" s="206"/>
      <c r="P14" s="206"/>
      <c r="Q14" s="207"/>
      <c r="R14" s="208">
        <v>0</v>
      </c>
      <c r="S14" s="209"/>
      <c r="T14" s="208">
        <v>0</v>
      </c>
      <c r="U14" s="209"/>
      <c r="V14" s="210">
        <v>7.63</v>
      </c>
      <c r="W14" s="211"/>
      <c r="X14" s="211"/>
      <c r="Y14" s="212"/>
      <c r="Z14" s="213">
        <v>22.89</v>
      </c>
      <c r="AA14" s="214"/>
      <c r="AB14" s="214"/>
      <c r="AC14" s="214"/>
      <c r="AD14" s="214"/>
      <c r="AE14" s="214"/>
      <c r="AF14" s="215"/>
      <c r="AJ14" s="202">
        <f>N14*V14</f>
        <v>22.89</v>
      </c>
      <c r="AK14" s="202"/>
      <c r="AL14" s="202">
        <f t="shared" si="0"/>
        <v>22.89</v>
      </c>
    </row>
    <row r="15" spans="1:38" ht="45" customHeight="1" x14ac:dyDescent="0.2">
      <c r="A15" s="168"/>
      <c r="B15" s="169"/>
      <c r="C15" s="168" t="s">
        <v>97</v>
      </c>
      <c r="D15" s="170"/>
      <c r="E15" s="170"/>
      <c r="F15" s="170"/>
      <c r="G15" s="170"/>
      <c r="H15" s="170"/>
      <c r="I15" s="170"/>
      <c r="J15" s="170"/>
      <c r="K15" s="170"/>
      <c r="L15" s="170"/>
      <c r="M15" s="169"/>
      <c r="N15" s="208">
        <v>1</v>
      </c>
      <c r="O15" s="216"/>
      <c r="P15" s="216"/>
      <c r="Q15" s="209"/>
      <c r="R15" s="217">
        <v>65.384</v>
      </c>
      <c r="S15" s="218"/>
      <c r="T15" s="208">
        <v>0</v>
      </c>
      <c r="U15" s="209"/>
      <c r="V15" s="219">
        <v>126</v>
      </c>
      <c r="W15" s="220"/>
      <c r="X15" s="220"/>
      <c r="Y15" s="221"/>
      <c r="Z15" s="213">
        <v>126</v>
      </c>
      <c r="AA15" s="214"/>
      <c r="AB15" s="214"/>
      <c r="AC15" s="214"/>
      <c r="AD15" s="214"/>
      <c r="AE15" s="214"/>
      <c r="AF15" s="215"/>
      <c r="AJ15" s="204">
        <f>N15*V15</f>
        <v>126</v>
      </c>
      <c r="AK15" s="202">
        <f t="shared" ref="AK14:AK31" si="1">V15/200</f>
        <v>0.63</v>
      </c>
      <c r="AL15" s="202">
        <f>N15*R15*AK15</f>
        <v>41.191920000000003</v>
      </c>
    </row>
    <row r="16" spans="1:38" ht="45.95" customHeight="1" x14ac:dyDescent="0.2">
      <c r="A16" s="168"/>
      <c r="B16" s="169"/>
      <c r="C16" s="168" t="s">
        <v>98</v>
      </c>
      <c r="D16" s="170"/>
      <c r="E16" s="170"/>
      <c r="F16" s="170"/>
      <c r="G16" s="170"/>
      <c r="H16" s="170"/>
      <c r="I16" s="170"/>
      <c r="J16" s="170"/>
      <c r="K16" s="170"/>
      <c r="L16" s="170"/>
      <c r="M16" s="169"/>
      <c r="N16" s="208">
        <v>1</v>
      </c>
      <c r="O16" s="216"/>
      <c r="P16" s="216"/>
      <c r="Q16" s="209"/>
      <c r="R16" s="222">
        <v>61.480800000000002</v>
      </c>
      <c r="S16" s="223"/>
      <c r="T16" s="208">
        <v>0</v>
      </c>
      <c r="U16" s="209"/>
      <c r="V16" s="219">
        <v>184.8</v>
      </c>
      <c r="W16" s="220"/>
      <c r="X16" s="220"/>
      <c r="Y16" s="221"/>
      <c r="Z16" s="213">
        <v>184.8</v>
      </c>
      <c r="AA16" s="214"/>
      <c r="AB16" s="214"/>
      <c r="AC16" s="214"/>
      <c r="AD16" s="214"/>
      <c r="AE16" s="214"/>
      <c r="AF16" s="215"/>
      <c r="AJ16" s="204">
        <f t="shared" ref="AJ16:AJ31" si="2">N16*V16</f>
        <v>184.8</v>
      </c>
      <c r="AK16" s="202">
        <f>V16/120</f>
        <v>1.54</v>
      </c>
      <c r="AL16" s="202">
        <f t="shared" ref="AL16:AL19" si="3">N16*R16*AK16</f>
        <v>94.68043200000001</v>
      </c>
    </row>
    <row r="17" spans="1:38" ht="45" customHeight="1" x14ac:dyDescent="0.2">
      <c r="A17" s="168"/>
      <c r="B17" s="169"/>
      <c r="C17" s="168" t="s">
        <v>99</v>
      </c>
      <c r="D17" s="170"/>
      <c r="E17" s="170"/>
      <c r="F17" s="170"/>
      <c r="G17" s="170"/>
      <c r="H17" s="170"/>
      <c r="I17" s="170"/>
      <c r="J17" s="170"/>
      <c r="K17" s="170"/>
      <c r="L17" s="170"/>
      <c r="M17" s="169"/>
      <c r="N17" s="208">
        <v>8</v>
      </c>
      <c r="O17" s="216"/>
      <c r="P17" s="216"/>
      <c r="Q17" s="209"/>
      <c r="R17" s="208">
        <v>0</v>
      </c>
      <c r="S17" s="209"/>
      <c r="T17" s="208">
        <v>0</v>
      </c>
      <c r="U17" s="209"/>
      <c r="V17" s="219">
        <v>60.5</v>
      </c>
      <c r="W17" s="220"/>
      <c r="X17" s="220"/>
      <c r="Y17" s="221"/>
      <c r="Z17" s="213">
        <v>60.5</v>
      </c>
      <c r="AA17" s="214"/>
      <c r="AB17" s="214"/>
      <c r="AC17" s="214"/>
      <c r="AD17" s="214"/>
      <c r="AE17" s="214"/>
      <c r="AF17" s="215"/>
      <c r="AJ17" s="204">
        <f t="shared" si="2"/>
        <v>484</v>
      </c>
      <c r="AK17" s="202">
        <f>V17/25</f>
        <v>2.42</v>
      </c>
      <c r="AL17" s="202">
        <f>N17*AK17</f>
        <v>19.36</v>
      </c>
    </row>
    <row r="18" spans="1:38" ht="45" customHeight="1" x14ac:dyDescent="0.2">
      <c r="A18" s="168"/>
      <c r="B18" s="169"/>
      <c r="C18" s="168" t="s">
        <v>100</v>
      </c>
      <c r="D18" s="170"/>
      <c r="E18" s="170"/>
      <c r="F18" s="170"/>
      <c r="G18" s="170"/>
      <c r="H18" s="170"/>
      <c r="I18" s="170"/>
      <c r="J18" s="170"/>
      <c r="K18" s="170"/>
      <c r="L18" s="170"/>
      <c r="M18" s="169"/>
      <c r="N18" s="208">
        <v>112</v>
      </c>
      <c r="O18" s="216"/>
      <c r="P18" s="216"/>
      <c r="Q18" s="209"/>
      <c r="R18" s="208">
        <v>0</v>
      </c>
      <c r="S18" s="209"/>
      <c r="T18" s="208">
        <v>0</v>
      </c>
      <c r="U18" s="209"/>
      <c r="V18" s="219">
        <v>19</v>
      </c>
      <c r="W18" s="220"/>
      <c r="X18" s="220"/>
      <c r="Y18" s="221"/>
      <c r="Z18" s="213">
        <v>38</v>
      </c>
      <c r="AA18" s="214"/>
      <c r="AB18" s="214"/>
      <c r="AC18" s="214"/>
      <c r="AD18" s="214"/>
      <c r="AE18" s="214"/>
      <c r="AF18" s="215"/>
      <c r="AJ18" s="204">
        <f t="shared" si="2"/>
        <v>2128</v>
      </c>
      <c r="AK18" s="202">
        <f>V18/100</f>
        <v>0.19</v>
      </c>
      <c r="AL18" s="202">
        <f>N18*AK18</f>
        <v>21.28</v>
      </c>
    </row>
    <row r="19" spans="1:38" ht="45.95" customHeight="1" x14ac:dyDescent="0.2">
      <c r="A19" s="168"/>
      <c r="B19" s="169"/>
      <c r="C19" s="168" t="s">
        <v>101</v>
      </c>
      <c r="D19" s="170"/>
      <c r="E19" s="170"/>
      <c r="F19" s="170"/>
      <c r="G19" s="170"/>
      <c r="H19" s="170"/>
      <c r="I19" s="170"/>
      <c r="J19" s="170"/>
      <c r="K19" s="170"/>
      <c r="L19" s="170"/>
      <c r="M19" s="169"/>
      <c r="N19" s="208">
        <v>1</v>
      </c>
      <c r="O19" s="216"/>
      <c r="P19" s="216"/>
      <c r="Q19" s="209"/>
      <c r="R19" s="217">
        <v>146.89599999999999</v>
      </c>
      <c r="S19" s="218"/>
      <c r="T19" s="208">
        <v>0</v>
      </c>
      <c r="U19" s="209"/>
      <c r="V19" s="219">
        <v>132</v>
      </c>
      <c r="W19" s="220"/>
      <c r="X19" s="220"/>
      <c r="Y19" s="221"/>
      <c r="Z19" s="213">
        <v>132</v>
      </c>
      <c r="AA19" s="214"/>
      <c r="AB19" s="214"/>
      <c r="AC19" s="214"/>
      <c r="AD19" s="214"/>
      <c r="AE19" s="214"/>
      <c r="AF19" s="215"/>
      <c r="AJ19" s="204">
        <f t="shared" si="2"/>
        <v>132</v>
      </c>
      <c r="AK19" s="202">
        <f>V19/300</f>
        <v>0.44</v>
      </c>
      <c r="AL19" s="202">
        <f t="shared" si="3"/>
        <v>64.634239999999991</v>
      </c>
    </row>
    <row r="20" spans="1:38" ht="45" customHeight="1" x14ac:dyDescent="0.2">
      <c r="A20" s="168"/>
      <c r="B20" s="169"/>
      <c r="C20" s="147" t="s">
        <v>102</v>
      </c>
      <c r="D20" s="148"/>
      <c r="E20" s="148"/>
      <c r="F20" s="148"/>
      <c r="G20" s="148"/>
      <c r="H20" s="148"/>
      <c r="I20" s="148"/>
      <c r="J20" s="148"/>
      <c r="K20" s="148"/>
      <c r="L20" s="148"/>
      <c r="M20" s="149"/>
      <c r="N20" s="205">
        <v>5</v>
      </c>
      <c r="O20" s="206"/>
      <c r="P20" s="206"/>
      <c r="Q20" s="207"/>
      <c r="R20" s="208">
        <v>0</v>
      </c>
      <c r="S20" s="209"/>
      <c r="T20" s="208">
        <v>0</v>
      </c>
      <c r="U20" s="209"/>
      <c r="V20" s="210">
        <v>7.63</v>
      </c>
      <c r="W20" s="211"/>
      <c r="X20" s="211"/>
      <c r="Y20" s="212"/>
      <c r="Z20" s="213">
        <v>38.15</v>
      </c>
      <c r="AA20" s="214"/>
      <c r="AB20" s="214"/>
      <c r="AC20" s="214"/>
      <c r="AD20" s="214"/>
      <c r="AE20" s="214"/>
      <c r="AF20" s="215"/>
      <c r="AJ20" s="202">
        <f t="shared" si="2"/>
        <v>38.15</v>
      </c>
      <c r="AK20" s="202"/>
      <c r="AL20" s="202">
        <f t="shared" si="0"/>
        <v>38.15</v>
      </c>
    </row>
    <row r="21" spans="1:38" ht="45.95" customHeight="1" x14ac:dyDescent="0.2">
      <c r="A21" s="168"/>
      <c r="B21" s="169"/>
      <c r="C21" s="147" t="s">
        <v>103</v>
      </c>
      <c r="D21" s="148"/>
      <c r="E21" s="148"/>
      <c r="F21" s="148"/>
      <c r="G21" s="148"/>
      <c r="H21" s="148"/>
      <c r="I21" s="148"/>
      <c r="J21" s="148"/>
      <c r="K21" s="148"/>
      <c r="L21" s="148"/>
      <c r="M21" s="149"/>
      <c r="N21" s="205">
        <v>8</v>
      </c>
      <c r="O21" s="206"/>
      <c r="P21" s="206"/>
      <c r="Q21" s="207"/>
      <c r="R21" s="208">
        <v>0</v>
      </c>
      <c r="S21" s="209"/>
      <c r="T21" s="208">
        <v>0</v>
      </c>
      <c r="U21" s="209"/>
      <c r="V21" s="210">
        <v>1.24</v>
      </c>
      <c r="W21" s="211"/>
      <c r="X21" s="211"/>
      <c r="Y21" s="212"/>
      <c r="Z21" s="213">
        <v>9.92</v>
      </c>
      <c r="AA21" s="214"/>
      <c r="AB21" s="214"/>
      <c r="AC21" s="214"/>
      <c r="AD21" s="214"/>
      <c r="AE21" s="214"/>
      <c r="AF21" s="215"/>
      <c r="AJ21" s="202">
        <f t="shared" si="2"/>
        <v>9.92</v>
      </c>
      <c r="AK21" s="202"/>
      <c r="AL21" s="202">
        <f t="shared" si="0"/>
        <v>9.92</v>
      </c>
    </row>
    <row r="22" spans="1:38" ht="45" customHeight="1" x14ac:dyDescent="0.2">
      <c r="A22" s="168"/>
      <c r="B22" s="169"/>
      <c r="C22" s="147" t="s">
        <v>104</v>
      </c>
      <c r="D22" s="148"/>
      <c r="E22" s="148"/>
      <c r="F22" s="148"/>
      <c r="G22" s="148"/>
      <c r="H22" s="148"/>
      <c r="I22" s="148"/>
      <c r="J22" s="148"/>
      <c r="K22" s="148"/>
      <c r="L22" s="148"/>
      <c r="M22" s="149"/>
      <c r="N22" s="205">
        <v>18</v>
      </c>
      <c r="O22" s="206"/>
      <c r="P22" s="206"/>
      <c r="Q22" s="207"/>
      <c r="R22" s="208">
        <v>0</v>
      </c>
      <c r="S22" s="209"/>
      <c r="T22" s="208">
        <v>0</v>
      </c>
      <c r="U22" s="209"/>
      <c r="V22" s="210">
        <v>11.31</v>
      </c>
      <c r="W22" s="211"/>
      <c r="X22" s="211"/>
      <c r="Y22" s="212"/>
      <c r="Z22" s="213">
        <v>203.58</v>
      </c>
      <c r="AA22" s="214"/>
      <c r="AB22" s="214"/>
      <c r="AC22" s="214"/>
      <c r="AD22" s="214"/>
      <c r="AE22" s="214"/>
      <c r="AF22" s="215"/>
      <c r="AJ22" s="202">
        <f t="shared" si="2"/>
        <v>203.58</v>
      </c>
      <c r="AK22" s="202"/>
      <c r="AL22" s="202">
        <f t="shared" si="0"/>
        <v>203.58</v>
      </c>
    </row>
    <row r="23" spans="1:38" ht="45" customHeight="1" x14ac:dyDescent="0.2">
      <c r="A23" s="168"/>
      <c r="B23" s="169"/>
      <c r="C23" s="147" t="s">
        <v>105</v>
      </c>
      <c r="D23" s="148"/>
      <c r="E23" s="148"/>
      <c r="F23" s="148"/>
      <c r="G23" s="148"/>
      <c r="H23" s="148"/>
      <c r="I23" s="148"/>
      <c r="J23" s="148"/>
      <c r="K23" s="148"/>
      <c r="L23" s="148"/>
      <c r="M23" s="149"/>
      <c r="N23" s="205">
        <v>10</v>
      </c>
      <c r="O23" s="206"/>
      <c r="P23" s="206"/>
      <c r="Q23" s="207"/>
      <c r="R23" s="208">
        <v>0</v>
      </c>
      <c r="S23" s="209"/>
      <c r="T23" s="208">
        <v>0</v>
      </c>
      <c r="U23" s="209"/>
      <c r="V23" s="210">
        <v>11.95</v>
      </c>
      <c r="W23" s="211"/>
      <c r="X23" s="211"/>
      <c r="Y23" s="212"/>
      <c r="Z23" s="213">
        <v>119.5</v>
      </c>
      <c r="AA23" s="214"/>
      <c r="AB23" s="214"/>
      <c r="AC23" s="214"/>
      <c r="AD23" s="214"/>
      <c r="AE23" s="214"/>
      <c r="AF23" s="215"/>
      <c r="AJ23" s="202">
        <f t="shared" si="2"/>
        <v>119.5</v>
      </c>
      <c r="AK23" s="202"/>
      <c r="AL23" s="202">
        <f t="shared" si="0"/>
        <v>119.5</v>
      </c>
    </row>
    <row r="24" spans="1:38" ht="45.6" customHeight="1" x14ac:dyDescent="0.2">
      <c r="A24" s="168"/>
      <c r="B24" s="169"/>
      <c r="C24" s="147" t="s">
        <v>106</v>
      </c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205">
        <v>8</v>
      </c>
      <c r="O24" s="206"/>
      <c r="P24" s="206"/>
      <c r="Q24" s="207"/>
      <c r="R24" s="208">
        <v>0</v>
      </c>
      <c r="S24" s="209"/>
      <c r="T24" s="208">
        <v>0</v>
      </c>
      <c r="U24" s="209"/>
      <c r="V24" s="210">
        <v>11.22</v>
      </c>
      <c r="W24" s="211"/>
      <c r="X24" s="211"/>
      <c r="Y24" s="212"/>
      <c r="Z24" s="213">
        <v>89.76</v>
      </c>
      <c r="AA24" s="214"/>
      <c r="AB24" s="214"/>
      <c r="AC24" s="214"/>
      <c r="AD24" s="214"/>
      <c r="AE24" s="214"/>
      <c r="AF24" s="215"/>
      <c r="AJ24" s="202">
        <f t="shared" si="2"/>
        <v>89.76</v>
      </c>
      <c r="AK24" s="202"/>
      <c r="AL24" s="202">
        <f t="shared" si="0"/>
        <v>89.76</v>
      </c>
    </row>
    <row r="25" spans="1:38" ht="44.45" customHeight="1" x14ac:dyDescent="0.2">
      <c r="A25" s="168"/>
      <c r="B25" s="169"/>
      <c r="C25" s="168" t="s">
        <v>107</v>
      </c>
      <c r="D25" s="170"/>
      <c r="E25" s="170"/>
      <c r="F25" s="170"/>
      <c r="G25" s="170"/>
      <c r="H25" s="170"/>
      <c r="I25" s="170"/>
      <c r="J25" s="170"/>
      <c r="K25" s="170"/>
      <c r="L25" s="170"/>
      <c r="M25" s="169"/>
      <c r="N25" s="208">
        <v>72</v>
      </c>
      <c r="O25" s="216"/>
      <c r="P25" s="216"/>
      <c r="Q25" s="209"/>
      <c r="R25" s="208">
        <v>0</v>
      </c>
      <c r="S25" s="209"/>
      <c r="T25" s="208">
        <v>0</v>
      </c>
      <c r="U25" s="209"/>
      <c r="V25" s="219">
        <v>57.5</v>
      </c>
      <c r="W25" s="220"/>
      <c r="X25" s="220"/>
      <c r="Y25" s="221"/>
      <c r="Z25" s="213">
        <v>57.5</v>
      </c>
      <c r="AA25" s="214"/>
      <c r="AB25" s="214"/>
      <c r="AC25" s="214"/>
      <c r="AD25" s="214"/>
      <c r="AE25" s="214"/>
      <c r="AF25" s="215"/>
      <c r="AG25" s="171"/>
      <c r="AH25" s="171"/>
      <c r="AJ25" s="204">
        <f t="shared" si="2"/>
        <v>4140</v>
      </c>
      <c r="AK25" s="202">
        <f>V25/250</f>
        <v>0.23</v>
      </c>
      <c r="AL25" s="202">
        <f>N25*AK25</f>
        <v>16.560000000000002</v>
      </c>
    </row>
    <row r="26" spans="1:38" ht="45" customHeight="1" x14ac:dyDescent="0.2">
      <c r="A26" s="168"/>
      <c r="B26" s="169"/>
      <c r="C26" s="147" t="s">
        <v>108</v>
      </c>
      <c r="D26" s="148"/>
      <c r="E26" s="148"/>
      <c r="F26" s="148"/>
      <c r="G26" s="148"/>
      <c r="H26" s="148"/>
      <c r="I26" s="148"/>
      <c r="J26" s="148"/>
      <c r="K26" s="148"/>
      <c r="L26" s="148"/>
      <c r="M26" s="149"/>
      <c r="N26" s="205">
        <v>8</v>
      </c>
      <c r="O26" s="206"/>
      <c r="P26" s="206"/>
      <c r="Q26" s="207"/>
      <c r="R26" s="208">
        <v>0</v>
      </c>
      <c r="S26" s="209"/>
      <c r="T26" s="208">
        <v>0</v>
      </c>
      <c r="U26" s="209"/>
      <c r="V26" s="210">
        <v>3.36</v>
      </c>
      <c r="W26" s="211"/>
      <c r="X26" s="211"/>
      <c r="Y26" s="212"/>
      <c r="Z26" s="213">
        <v>26.88</v>
      </c>
      <c r="AA26" s="214"/>
      <c r="AB26" s="214"/>
      <c r="AC26" s="214"/>
      <c r="AD26" s="214"/>
      <c r="AE26" s="214"/>
      <c r="AF26" s="215"/>
      <c r="AG26" s="171"/>
      <c r="AH26" s="171"/>
      <c r="AJ26" s="202">
        <f t="shared" si="2"/>
        <v>26.88</v>
      </c>
      <c r="AK26" s="202"/>
      <c r="AL26" s="202">
        <f t="shared" si="0"/>
        <v>26.88</v>
      </c>
    </row>
    <row r="27" spans="1:38" ht="45.95" customHeight="1" x14ac:dyDescent="0.2">
      <c r="A27" s="168"/>
      <c r="B27" s="169"/>
      <c r="C27" s="147" t="s">
        <v>109</v>
      </c>
      <c r="D27" s="148"/>
      <c r="E27" s="148"/>
      <c r="F27" s="148"/>
      <c r="G27" s="148"/>
      <c r="H27" s="148"/>
      <c r="I27" s="148"/>
      <c r="J27" s="148"/>
      <c r="K27" s="148"/>
      <c r="L27" s="148"/>
      <c r="M27" s="149"/>
      <c r="N27" s="205">
        <v>12</v>
      </c>
      <c r="O27" s="206"/>
      <c r="P27" s="206"/>
      <c r="Q27" s="207"/>
      <c r="R27" s="208">
        <v>0</v>
      </c>
      <c r="S27" s="209"/>
      <c r="T27" s="208">
        <v>0</v>
      </c>
      <c r="U27" s="209"/>
      <c r="V27" s="210">
        <v>20.67</v>
      </c>
      <c r="W27" s="211"/>
      <c r="X27" s="211"/>
      <c r="Y27" s="212"/>
      <c r="Z27" s="213">
        <v>248.04</v>
      </c>
      <c r="AA27" s="214"/>
      <c r="AB27" s="214"/>
      <c r="AC27" s="214"/>
      <c r="AD27" s="214"/>
      <c r="AE27" s="214"/>
      <c r="AF27" s="215"/>
      <c r="AG27" s="171"/>
      <c r="AH27" s="171"/>
      <c r="AJ27" s="202">
        <f t="shared" si="2"/>
        <v>248.04000000000002</v>
      </c>
      <c r="AK27" s="202"/>
      <c r="AL27" s="202">
        <f t="shared" si="0"/>
        <v>248.04000000000002</v>
      </c>
    </row>
    <row r="28" spans="1:38" ht="45" customHeight="1" x14ac:dyDescent="0.2">
      <c r="A28" s="168"/>
      <c r="B28" s="169"/>
      <c r="C28" s="147" t="s">
        <v>110</v>
      </c>
      <c r="D28" s="148"/>
      <c r="E28" s="148"/>
      <c r="F28" s="148"/>
      <c r="G28" s="148"/>
      <c r="H28" s="148"/>
      <c r="I28" s="148"/>
      <c r="J28" s="148"/>
      <c r="K28" s="148"/>
      <c r="L28" s="148"/>
      <c r="M28" s="149"/>
      <c r="N28" s="205">
        <v>12</v>
      </c>
      <c r="O28" s="206"/>
      <c r="P28" s="206"/>
      <c r="Q28" s="207"/>
      <c r="R28" s="208">
        <v>0</v>
      </c>
      <c r="S28" s="209"/>
      <c r="T28" s="208">
        <v>0</v>
      </c>
      <c r="U28" s="209"/>
      <c r="V28" s="210">
        <v>9.84</v>
      </c>
      <c r="W28" s="211"/>
      <c r="X28" s="211"/>
      <c r="Y28" s="212"/>
      <c r="Z28" s="213">
        <v>118.08</v>
      </c>
      <c r="AA28" s="214"/>
      <c r="AB28" s="214"/>
      <c r="AC28" s="214"/>
      <c r="AD28" s="214"/>
      <c r="AE28" s="214"/>
      <c r="AF28" s="215"/>
      <c r="AG28" s="171"/>
      <c r="AH28" s="171"/>
      <c r="AJ28" s="202">
        <f t="shared" si="2"/>
        <v>118.08</v>
      </c>
      <c r="AK28" s="202"/>
      <c r="AL28" s="202">
        <f t="shared" si="0"/>
        <v>118.08</v>
      </c>
    </row>
    <row r="29" spans="1:38" ht="45.95" customHeight="1" x14ac:dyDescent="0.2">
      <c r="A29" s="168"/>
      <c r="B29" s="169"/>
      <c r="C29" s="147" t="s">
        <v>111</v>
      </c>
      <c r="D29" s="148"/>
      <c r="E29" s="148"/>
      <c r="F29" s="148"/>
      <c r="G29" s="148"/>
      <c r="H29" s="148"/>
      <c r="I29" s="148"/>
      <c r="J29" s="148"/>
      <c r="K29" s="148"/>
      <c r="L29" s="148"/>
      <c r="M29" s="149"/>
      <c r="N29" s="205">
        <v>40</v>
      </c>
      <c r="O29" s="206"/>
      <c r="P29" s="206"/>
      <c r="Q29" s="207"/>
      <c r="R29" s="208">
        <v>0</v>
      </c>
      <c r="S29" s="209"/>
      <c r="T29" s="208">
        <v>0</v>
      </c>
      <c r="U29" s="209"/>
      <c r="V29" s="210">
        <v>1.58</v>
      </c>
      <c r="W29" s="211"/>
      <c r="X29" s="211"/>
      <c r="Y29" s="212"/>
      <c r="Z29" s="213">
        <v>63.2</v>
      </c>
      <c r="AA29" s="214"/>
      <c r="AB29" s="214"/>
      <c r="AC29" s="214"/>
      <c r="AD29" s="214"/>
      <c r="AE29" s="214"/>
      <c r="AF29" s="215"/>
      <c r="AG29" s="171"/>
      <c r="AH29" s="171"/>
      <c r="AJ29" s="202">
        <f t="shared" si="2"/>
        <v>63.2</v>
      </c>
      <c r="AK29" s="202"/>
      <c r="AL29" s="202">
        <f t="shared" si="0"/>
        <v>63.2</v>
      </c>
    </row>
    <row r="30" spans="1:38" ht="45" customHeight="1" x14ac:dyDescent="0.2">
      <c r="A30" s="168"/>
      <c r="B30" s="169"/>
      <c r="C30" s="147" t="s">
        <v>112</v>
      </c>
      <c r="D30" s="148"/>
      <c r="E30" s="148"/>
      <c r="F30" s="148"/>
      <c r="G30" s="148"/>
      <c r="H30" s="148"/>
      <c r="I30" s="148"/>
      <c r="J30" s="148"/>
      <c r="K30" s="148"/>
      <c r="L30" s="148"/>
      <c r="M30" s="149"/>
      <c r="N30" s="205">
        <v>10</v>
      </c>
      <c r="O30" s="206"/>
      <c r="P30" s="206"/>
      <c r="Q30" s="207"/>
      <c r="R30" s="208">
        <v>0</v>
      </c>
      <c r="S30" s="209"/>
      <c r="T30" s="208">
        <v>0</v>
      </c>
      <c r="U30" s="209"/>
      <c r="V30" s="210">
        <v>10.09</v>
      </c>
      <c r="W30" s="211"/>
      <c r="X30" s="211"/>
      <c r="Y30" s="212"/>
      <c r="Z30" s="213">
        <v>100.9</v>
      </c>
      <c r="AA30" s="214"/>
      <c r="AB30" s="214"/>
      <c r="AC30" s="214"/>
      <c r="AD30" s="214"/>
      <c r="AE30" s="214"/>
      <c r="AF30" s="215"/>
      <c r="AG30" s="171"/>
      <c r="AH30" s="171"/>
      <c r="AJ30" s="202">
        <f t="shared" si="2"/>
        <v>100.9</v>
      </c>
      <c r="AK30" s="202"/>
      <c r="AL30" s="202">
        <f t="shared" si="0"/>
        <v>100.9</v>
      </c>
    </row>
    <row r="31" spans="1:38" ht="45.6" customHeight="1" x14ac:dyDescent="0.2">
      <c r="A31" s="168"/>
      <c r="B31" s="169"/>
      <c r="C31" s="168" t="s">
        <v>113</v>
      </c>
      <c r="D31" s="170"/>
      <c r="E31" s="170"/>
      <c r="F31" s="170"/>
      <c r="G31" s="170"/>
      <c r="H31" s="170"/>
      <c r="I31" s="170"/>
      <c r="J31" s="170"/>
      <c r="K31" s="170"/>
      <c r="L31" s="170"/>
      <c r="M31" s="169"/>
      <c r="N31" s="208">
        <v>112</v>
      </c>
      <c r="O31" s="216"/>
      <c r="P31" s="216"/>
      <c r="Q31" s="209"/>
      <c r="R31" s="208">
        <v>0</v>
      </c>
      <c r="S31" s="209"/>
      <c r="T31" s="208">
        <v>0</v>
      </c>
      <c r="U31" s="209"/>
      <c r="V31" s="219">
        <v>230</v>
      </c>
      <c r="W31" s="220"/>
      <c r="X31" s="220"/>
      <c r="Y31" s="221"/>
      <c r="Z31" s="213">
        <v>230</v>
      </c>
      <c r="AA31" s="214"/>
      <c r="AB31" s="214"/>
      <c r="AC31" s="214"/>
      <c r="AD31" s="214"/>
      <c r="AE31" s="214"/>
      <c r="AF31" s="215"/>
      <c r="AG31" s="171"/>
      <c r="AH31" s="171"/>
      <c r="AJ31" s="204">
        <f>N31*V31</f>
        <v>25760</v>
      </c>
      <c r="AK31" s="202">
        <f>V31/250</f>
        <v>0.92</v>
      </c>
      <c r="AL31" s="202">
        <f>N31*AK31</f>
        <v>103.04</v>
      </c>
    </row>
    <row r="32" spans="1:38" ht="20.100000000000001" customHeight="1" x14ac:dyDescent="0.2">
      <c r="A32" s="172" t="s">
        <v>121</v>
      </c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J32" s="203">
        <f>SUM(AJ10:AJ31)</f>
        <v>34185.64</v>
      </c>
      <c r="AL32" s="203">
        <f>SUM(AL10:AL31)</f>
        <v>1505.432352</v>
      </c>
    </row>
    <row r="33" spans="1:33" ht="2.1" customHeight="1" x14ac:dyDescent="0.2"/>
    <row r="34" spans="1:33" ht="33" customHeight="1" x14ac:dyDescent="0.2">
      <c r="A34" s="173" t="s">
        <v>84</v>
      </c>
      <c r="B34" s="173"/>
      <c r="C34" s="173"/>
      <c r="D34" s="155"/>
      <c r="E34" s="155"/>
      <c r="F34" s="155"/>
      <c r="G34" s="155"/>
      <c r="H34" s="154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</row>
    <row r="35" spans="1:33" ht="25.5" customHeight="1" x14ac:dyDescent="0.2">
      <c r="A35" s="173"/>
      <c r="B35" s="173"/>
      <c r="C35" s="173"/>
      <c r="D35" s="155"/>
      <c r="E35" s="155"/>
      <c r="F35" s="155"/>
      <c r="G35" s="155"/>
      <c r="H35" s="154"/>
      <c r="I35" s="174" t="s">
        <v>122</v>
      </c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55"/>
      <c r="AE35" s="155"/>
      <c r="AF35" s="155"/>
      <c r="AG35" s="155"/>
    </row>
    <row r="36" spans="1:33" ht="15" customHeight="1" x14ac:dyDescent="0.2">
      <c r="A36" s="173"/>
      <c r="B36" s="173"/>
      <c r="C36" s="173"/>
      <c r="D36" s="151"/>
      <c r="E36" s="151"/>
      <c r="F36" s="151"/>
      <c r="G36" s="151"/>
      <c r="H36" s="150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</row>
    <row r="37" spans="1:33" ht="30.6" customHeight="1" x14ac:dyDescent="0.2">
      <c r="A37" s="155"/>
      <c r="B37" s="155"/>
      <c r="C37" s="155"/>
      <c r="D37" s="155"/>
      <c r="E37" s="155"/>
      <c r="F37" s="155"/>
      <c r="G37" s="155"/>
      <c r="H37" s="154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75" t="s">
        <v>123</v>
      </c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</row>
    <row r="38" spans="1:33" ht="57" customHeight="1" x14ac:dyDescent="0.2">
      <c r="A38" s="173" t="s">
        <v>114</v>
      </c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  <c r="AG38" s="173"/>
    </row>
    <row r="39" spans="1:33" ht="14.25" customHeight="1" x14ac:dyDescent="0.2">
      <c r="A39" s="151"/>
      <c r="B39" s="151"/>
      <c r="C39" s="151"/>
      <c r="D39" s="151"/>
      <c r="E39" s="151"/>
      <c r="F39" s="176" t="s">
        <v>115</v>
      </c>
      <c r="G39" s="177"/>
      <c r="H39" s="178" t="s">
        <v>116</v>
      </c>
      <c r="I39" s="179"/>
      <c r="J39" s="179"/>
      <c r="K39" s="180"/>
      <c r="L39" s="181" t="s">
        <v>117</v>
      </c>
      <c r="M39" s="182"/>
      <c r="N39" s="182"/>
      <c r="O39" s="183"/>
      <c r="P39" s="178" t="s">
        <v>118</v>
      </c>
      <c r="Q39" s="179"/>
      <c r="R39" s="179"/>
      <c r="S39" s="179"/>
      <c r="T39" s="180"/>
      <c r="U39" s="178" t="s">
        <v>119</v>
      </c>
      <c r="V39" s="180"/>
      <c r="W39" s="178" t="s">
        <v>120</v>
      </c>
      <c r="X39" s="179"/>
      <c r="Y39" s="179"/>
      <c r="Z39" s="179"/>
      <c r="AA39" s="179"/>
      <c r="AB39" s="179"/>
      <c r="AC39" s="180"/>
      <c r="AD39" s="151"/>
      <c r="AE39" s="151"/>
      <c r="AF39" s="151"/>
      <c r="AG39" s="151"/>
    </row>
    <row r="40" spans="1:33" ht="17.25" customHeight="1" x14ac:dyDescent="0.2">
      <c r="A40" s="151"/>
      <c r="B40" s="151"/>
      <c r="C40" s="151"/>
      <c r="D40" s="151"/>
      <c r="E40" s="151"/>
      <c r="F40" s="184">
        <v>2315.34</v>
      </c>
      <c r="G40" s="185"/>
      <c r="H40" s="186">
        <v>1505.43</v>
      </c>
      <c r="I40" s="187"/>
      <c r="J40" s="187"/>
      <c r="K40" s="188"/>
      <c r="L40" s="189">
        <v>0</v>
      </c>
      <c r="M40" s="190"/>
      <c r="N40" s="190"/>
      <c r="O40" s="191"/>
      <c r="P40" s="189">
        <v>0</v>
      </c>
      <c r="Q40" s="190"/>
      <c r="R40" s="190"/>
      <c r="S40" s="190"/>
      <c r="T40" s="191"/>
      <c r="U40" s="189">
        <v>0</v>
      </c>
      <c r="V40" s="191"/>
      <c r="W40" s="192">
        <v>3820.77</v>
      </c>
      <c r="X40" s="193"/>
      <c r="Y40" s="193"/>
      <c r="Z40" s="193"/>
      <c r="AA40" s="193"/>
      <c r="AB40" s="193"/>
      <c r="AC40" s="194"/>
      <c r="AD40" s="151"/>
      <c r="AE40" s="151"/>
      <c r="AF40" s="151"/>
      <c r="AG40" s="151"/>
    </row>
    <row r="41" spans="1:33" ht="2.1" customHeight="1" x14ac:dyDescent="0.2"/>
  </sheetData>
  <mergeCells count="259">
    <mergeCell ref="U40:V40"/>
    <mergeCell ref="W40:AC40"/>
    <mergeCell ref="AD40:AG40"/>
    <mergeCell ref="A40:C40"/>
    <mergeCell ref="D40:E40"/>
    <mergeCell ref="F40:G40"/>
    <mergeCell ref="H40:K40"/>
    <mergeCell ref="L40:O40"/>
    <mergeCell ref="P40:T40"/>
    <mergeCell ref="A38:AG38"/>
    <mergeCell ref="A39:C39"/>
    <mergeCell ref="D39:E39"/>
    <mergeCell ref="F39:G39"/>
    <mergeCell ref="H39:K39"/>
    <mergeCell ref="L39:O39"/>
    <mergeCell ref="P39:T39"/>
    <mergeCell ref="U39:V39"/>
    <mergeCell ref="W39:AC39"/>
    <mergeCell ref="AD39:AG39"/>
    <mergeCell ref="U36:V36"/>
    <mergeCell ref="W36:AC36"/>
    <mergeCell ref="AD36:AG36"/>
    <mergeCell ref="A37:C37"/>
    <mergeCell ref="D37:E37"/>
    <mergeCell ref="F37:G37"/>
    <mergeCell ref="I37:K37"/>
    <mergeCell ref="L37:O37"/>
    <mergeCell ref="P37:R37"/>
    <mergeCell ref="S37:AG37"/>
    <mergeCell ref="D36:E36"/>
    <mergeCell ref="F36:G36"/>
    <mergeCell ref="I36:K36"/>
    <mergeCell ref="L36:O36"/>
    <mergeCell ref="P36:R36"/>
    <mergeCell ref="S36:T36"/>
    <mergeCell ref="U34:V34"/>
    <mergeCell ref="W34:AC34"/>
    <mergeCell ref="AD34:AG34"/>
    <mergeCell ref="D35:E35"/>
    <mergeCell ref="F35:G35"/>
    <mergeCell ref="I35:AC35"/>
    <mergeCell ref="AD35:AG35"/>
    <mergeCell ref="Z31:AF31"/>
    <mergeCell ref="AG31:AH31"/>
    <mergeCell ref="A32:AH32"/>
    <mergeCell ref="A34:C36"/>
    <mergeCell ref="D34:E34"/>
    <mergeCell ref="F34:G34"/>
    <mergeCell ref="I34:K34"/>
    <mergeCell ref="L34:O34"/>
    <mergeCell ref="P34:R34"/>
    <mergeCell ref="S34:T34"/>
    <mergeCell ref="A31:B31"/>
    <mergeCell ref="C31:M31"/>
    <mergeCell ref="N31:Q31"/>
    <mergeCell ref="R31:S31"/>
    <mergeCell ref="T31:U31"/>
    <mergeCell ref="V31:Y31"/>
    <mergeCell ref="Z29:AF29"/>
    <mergeCell ref="AG29:AH29"/>
    <mergeCell ref="A30:B30"/>
    <mergeCell ref="C30:M30"/>
    <mergeCell ref="N30:Q30"/>
    <mergeCell ref="R30:S30"/>
    <mergeCell ref="T30:U30"/>
    <mergeCell ref="V30:Y30"/>
    <mergeCell ref="Z30:AF30"/>
    <mergeCell ref="AG30:AH30"/>
    <mergeCell ref="A29:B29"/>
    <mergeCell ref="C29:M29"/>
    <mergeCell ref="N29:Q29"/>
    <mergeCell ref="R29:S29"/>
    <mergeCell ref="T29:U29"/>
    <mergeCell ref="V29:Y29"/>
    <mergeCell ref="Z27:AF27"/>
    <mergeCell ref="AG27:AH27"/>
    <mergeCell ref="A28:B28"/>
    <mergeCell ref="C28:M28"/>
    <mergeCell ref="N28:Q28"/>
    <mergeCell ref="R28:S28"/>
    <mergeCell ref="T28:U28"/>
    <mergeCell ref="V28:Y28"/>
    <mergeCell ref="Z28:AF28"/>
    <mergeCell ref="AG28:AH28"/>
    <mergeCell ref="A27:B27"/>
    <mergeCell ref="C27:M27"/>
    <mergeCell ref="N27:Q27"/>
    <mergeCell ref="R27:S27"/>
    <mergeCell ref="T27:U27"/>
    <mergeCell ref="V27:Y27"/>
    <mergeCell ref="AG25:AH25"/>
    <mergeCell ref="A26:B26"/>
    <mergeCell ref="C26:M26"/>
    <mergeCell ref="N26:Q26"/>
    <mergeCell ref="R26:S26"/>
    <mergeCell ref="T26:U26"/>
    <mergeCell ref="V26:Y26"/>
    <mergeCell ref="Z26:AF26"/>
    <mergeCell ref="AG26:AH26"/>
    <mergeCell ref="Z24:AF24"/>
    <mergeCell ref="A25:B25"/>
    <mergeCell ref="C25:M25"/>
    <mergeCell ref="N25:Q25"/>
    <mergeCell ref="R25:S25"/>
    <mergeCell ref="T25:U25"/>
    <mergeCell ref="V25:Y25"/>
    <mergeCell ref="Z25:AF25"/>
    <mergeCell ref="A24:B24"/>
    <mergeCell ref="C24:M24"/>
    <mergeCell ref="N24:Q24"/>
    <mergeCell ref="R24:S24"/>
    <mergeCell ref="T24:U24"/>
    <mergeCell ref="V24:Y24"/>
    <mergeCell ref="Z22:AF22"/>
    <mergeCell ref="A23:B23"/>
    <mergeCell ref="C23:M23"/>
    <mergeCell ref="N23:Q23"/>
    <mergeCell ref="R23:S23"/>
    <mergeCell ref="T23:U23"/>
    <mergeCell ref="V23:Y23"/>
    <mergeCell ref="Z23:AF23"/>
    <mergeCell ref="A22:B22"/>
    <mergeCell ref="C22:M22"/>
    <mergeCell ref="N22:Q22"/>
    <mergeCell ref="R22:S22"/>
    <mergeCell ref="T22:U22"/>
    <mergeCell ref="V22:Y22"/>
    <mergeCell ref="Z20:AF20"/>
    <mergeCell ref="A21:B21"/>
    <mergeCell ref="C21:M21"/>
    <mergeCell ref="N21:Q21"/>
    <mergeCell ref="R21:S21"/>
    <mergeCell ref="T21:U21"/>
    <mergeCell ref="V21:Y21"/>
    <mergeCell ref="Z21:AF21"/>
    <mergeCell ref="A20:B20"/>
    <mergeCell ref="C20:M20"/>
    <mergeCell ref="N20:Q20"/>
    <mergeCell ref="R20:S20"/>
    <mergeCell ref="T20:U20"/>
    <mergeCell ref="V20:Y20"/>
    <mergeCell ref="Z18:AF18"/>
    <mergeCell ref="A19:B19"/>
    <mergeCell ref="C19:M19"/>
    <mergeCell ref="N19:Q19"/>
    <mergeCell ref="R19:S19"/>
    <mergeCell ref="T19:U19"/>
    <mergeCell ref="V19:Y19"/>
    <mergeCell ref="Z19:AF19"/>
    <mergeCell ref="A18:B18"/>
    <mergeCell ref="C18:M18"/>
    <mergeCell ref="N18:Q18"/>
    <mergeCell ref="R18:S18"/>
    <mergeCell ref="T18:U18"/>
    <mergeCell ref="V18:Y18"/>
    <mergeCell ref="Z16:AF16"/>
    <mergeCell ref="A17:B17"/>
    <mergeCell ref="C17:M17"/>
    <mergeCell ref="N17:Q17"/>
    <mergeCell ref="R17:S17"/>
    <mergeCell ref="T17:U17"/>
    <mergeCell ref="V17:Y17"/>
    <mergeCell ref="Z17:AF17"/>
    <mergeCell ref="A16:B16"/>
    <mergeCell ref="C16:M16"/>
    <mergeCell ref="N16:Q16"/>
    <mergeCell ref="R16:S16"/>
    <mergeCell ref="T16:U16"/>
    <mergeCell ref="V16:Y16"/>
    <mergeCell ref="Z14:AF14"/>
    <mergeCell ref="A15:B15"/>
    <mergeCell ref="C15:M15"/>
    <mergeCell ref="N15:Q15"/>
    <mergeCell ref="R15:S15"/>
    <mergeCell ref="T15:U15"/>
    <mergeCell ref="V15:Y15"/>
    <mergeCell ref="Z15:AF15"/>
    <mergeCell ref="A14:B14"/>
    <mergeCell ref="C14:M14"/>
    <mergeCell ref="N14:Q14"/>
    <mergeCell ref="R14:S14"/>
    <mergeCell ref="T14:U14"/>
    <mergeCell ref="V14:Y14"/>
    <mergeCell ref="Z12:AF12"/>
    <mergeCell ref="A13:B13"/>
    <mergeCell ref="C13:M13"/>
    <mergeCell ref="N13:Q13"/>
    <mergeCell ref="R13:S13"/>
    <mergeCell ref="T13:U13"/>
    <mergeCell ref="V13:Y13"/>
    <mergeCell ref="Z13:AF13"/>
    <mergeCell ref="A12:B12"/>
    <mergeCell ref="C12:M12"/>
    <mergeCell ref="N12:Q12"/>
    <mergeCell ref="R12:S12"/>
    <mergeCell ref="T12:U12"/>
    <mergeCell ref="V12:Y12"/>
    <mergeCell ref="Z10:AF10"/>
    <mergeCell ref="A11:B11"/>
    <mergeCell ref="C11:M11"/>
    <mergeCell ref="N11:Q11"/>
    <mergeCell ref="R11:S11"/>
    <mergeCell ref="T11:U11"/>
    <mergeCell ref="V11:Y11"/>
    <mergeCell ref="Z11:AF11"/>
    <mergeCell ref="A10:B10"/>
    <mergeCell ref="C10:M10"/>
    <mergeCell ref="N10:Q10"/>
    <mergeCell ref="R10:S10"/>
    <mergeCell ref="T10:U10"/>
    <mergeCell ref="V10:Y10"/>
    <mergeCell ref="Z8:AD8"/>
    <mergeCell ref="AE8:AF8"/>
    <mergeCell ref="A9:M9"/>
    <mergeCell ref="N9:Q9"/>
    <mergeCell ref="R9:S9"/>
    <mergeCell ref="T9:U9"/>
    <mergeCell ref="V9:Y9"/>
    <mergeCell ref="Z9:AF9"/>
    <mergeCell ref="D8:I8"/>
    <mergeCell ref="J8:M8"/>
    <mergeCell ref="N8:Q8"/>
    <mergeCell ref="R8:S8"/>
    <mergeCell ref="T8:U8"/>
    <mergeCell ref="V8:Y8"/>
    <mergeCell ref="D7:I7"/>
    <mergeCell ref="J7:AD7"/>
    <mergeCell ref="AE7:AF7"/>
    <mergeCell ref="O5:P5"/>
    <mergeCell ref="Q5:S5"/>
    <mergeCell ref="T5:U5"/>
    <mergeCell ref="V5:W5"/>
    <mergeCell ref="X5:AH5"/>
    <mergeCell ref="Q4:S4"/>
    <mergeCell ref="T4:U4"/>
    <mergeCell ref="V4:W4"/>
    <mergeCell ref="AC4:AD4"/>
    <mergeCell ref="AF4:AH4"/>
    <mergeCell ref="A5:D5"/>
    <mergeCell ref="E5:F5"/>
    <mergeCell ref="G5:H5"/>
    <mergeCell ref="K5:L5"/>
    <mergeCell ref="M5:N5"/>
    <mergeCell ref="V1:W1"/>
    <mergeCell ref="AC1:AD1"/>
    <mergeCell ref="AF1:AH1"/>
    <mergeCell ref="J2:AD3"/>
    <mergeCell ref="AF2:AH2"/>
    <mergeCell ref="B3:H4"/>
    <mergeCell ref="AF3:AH3"/>
    <mergeCell ref="K4:L4"/>
    <mergeCell ref="M4:N4"/>
    <mergeCell ref="O4:P4"/>
    <mergeCell ref="B1:H2"/>
    <mergeCell ref="K1:L1"/>
    <mergeCell ref="M1:N1"/>
    <mergeCell ref="O1:P1"/>
    <mergeCell ref="Q1:S1"/>
    <mergeCell ref="T1:U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Perfiles</vt:lpstr>
      <vt:lpstr>Accesorios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FastReport PDF export</dc:subject>
  <dc:creator>FastReport</dc:creator>
  <cp:lastModifiedBy>Jose Manuel Gomez Ribas</cp:lastModifiedBy>
  <dcterms:created xsi:type="dcterms:W3CDTF">2025-02-06T16:13:46Z</dcterms:created>
  <dcterms:modified xsi:type="dcterms:W3CDTF">2025-02-06T16:29:06Z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2025-02-06T00:00:00Z</vt:filetime>
  </property>
  <property fmtid="{D5CDD505-2E9C-101B-9397-08002B2CF9AE}" pid="3" name="Creator">
    <vt:lpwstr>FastReport</vt:lpwstr>
  </property>
  <property fmtid="{D5CDD505-2E9C-101B-9397-08002B2CF9AE}" pid="4" name="LastSaved">
    <vt:filetime>2025-02-06T00:00:00Z</vt:filetime>
  </property>
</Properties>
</file>