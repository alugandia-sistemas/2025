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10\calculos\1\"/>
    </mc:Choice>
  </mc:AlternateContent>
  <xr:revisionPtr revIDLastSave="0" documentId="13_ncr:1_{1AB62BD4-F93A-43BB-8B13-88DD8FFD9D05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0" l="1"/>
  <c r="H21" i="10"/>
  <c r="I22" i="10"/>
  <c r="I23" i="10"/>
  <c r="I24" i="10"/>
  <c r="H22" i="10"/>
  <c r="H23" i="10"/>
  <c r="H24" i="10"/>
  <c r="I25" i="10"/>
  <c r="I26" i="10"/>
  <c r="I27" i="10"/>
  <c r="I28" i="10"/>
  <c r="I29" i="10"/>
  <c r="I30" i="10"/>
  <c r="I14" i="10"/>
  <c r="I13" i="10"/>
  <c r="H25" i="10"/>
  <c r="H26" i="10"/>
  <c r="H27" i="10"/>
  <c r="H28" i="10"/>
  <c r="H29" i="10"/>
  <c r="H30" i="10"/>
  <c r="H14" i="10"/>
  <c r="H13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I15" i="10" l="1"/>
  <c r="H15" i="10"/>
  <c r="H20" i="10"/>
  <c r="H31" i="10" s="1"/>
  <c r="I20" i="10"/>
  <c r="I31" i="10" s="1"/>
  <c r="G31" i="10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<sst xmlns="http://schemas.openxmlformats.org/spreadsheetml/2006/main" count="5409" uniqueCount="1460">
  <si>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</si>
  <si>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</si>
  <si>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</si>
  <si>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</si>
  <si>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</si>
  <si>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</si>
  <si>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</si>
  <si>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</si>
  <si>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</si>
  <si>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</si>
  <si>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</si>
  <si>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</si>
  <si>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</si>
  <si>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</si>
  <si>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</si>
  <si>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</si>
  <si>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</si>
  <si>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</si>
  <si>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</si>
  <si>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</si>
  <si>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</si>
  <si>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</si>
  <si>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</si>
  <si>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</si>
  <si>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</si>
  <si>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</si>
  <si>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</si>
  <si>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</si>
  <si>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</si>
  <si>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</si>
  <si>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</si>
  <si>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</si>
  <si>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</si>
  <si>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</si>
  <si>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</si>
  <si>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</si>
  <si>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</si>
  <si>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</si>
  <si>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</si>
  <si>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</si>
  <si>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</si>
  <si>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</si>
  <si>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</si>
  <si>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</si>
  <si>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</si>
  <si>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</si>
  <si>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</si>
  <si>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</si>
  <si>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</si>
  <si>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</si>
  <si>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</si>
  <si>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</si>
  <si>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</si>
  <si>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</si>
  <si>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</si>
  <si>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</si>
  <si>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</si>
  <si>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</si>
  <si>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</si>
  <si>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</si>
  <si>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</si>
  <si>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</si>
  <si>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</si>
  <si>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</si>
  <si>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</si>
  <si>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</si>
  <si>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</si>
  <si>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</si>
  <si>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</si>
  <si>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</si>
  <si>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</si>
  <si>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</si>
  <si>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</si>
  <si>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</si>
  <si>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</si>
  <si>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</si>
  <si>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</si>
  <si>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</si>
  <si>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</si>
  <si>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</si>
  <si>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</si>
  <si>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</si>
  <si>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</si>
  <si>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</si>
  <si>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</si>
  <si>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</si>
  <si>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</si>
  <si>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</si>
  <si>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</si>
  <si>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</si>
  <si>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</si>
  <si>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</si>
  <si>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</si>
  <si>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</si>
  <si>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</si>
  <si>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</si>
  <si>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</si>
  <si>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</si>
  <si>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</si>
  <si>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</si>
  <si>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</si>
  <si>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</si>
  <si>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</si>
  <si>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</si>
  <si>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</si>
  <si>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</si>
  <si>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</si>
  <si>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</si>
  <si>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</si>
  <si>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</si>
  <si>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</si>
  <si>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</si>
  <si>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</si>
  <si>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</si>
  <si>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</si>
  <si>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</si>
  <si>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</si>
  <si>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</si>
  <si>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</si>
  <si>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</si>
  <si>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</si>
  <si>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</si>
  <si>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</si>
  <si>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</si>
  <si>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</si>
  <si>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</si>
  <si>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</si>
  <si>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</si>
  <si>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</si>
  <si>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</si>
  <si>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</si>
  <si>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</si>
  <si>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</si>
  <si>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</si>
  <si>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</si>
  <si>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</si>
  <si>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</si>
  <si>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</si>
  <si>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</si>
  <si>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</si>
  <si>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</si>
  <si>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</si>
  <si>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</si>
  <si>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</si>
  <si>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</si>
  <si>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</si>
  <si>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</si>
  <si>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</si>
  <si>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</si>
  <si>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</si>
  <si>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</si>
  <si>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</si>
  <si>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</si>
  <si>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</si>
  <si>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</si>
  <si>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</si>
  <si>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</si>
  <si>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</si>
  <si>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</si>
  <si>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</si>
  <si>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</si>
  <si>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</si>
  <si>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</si>
  <si>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</si>
  <si>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</si>
  <si>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</si>
  <si>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</si>
  <si>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</si>
  <si>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</si>
  <si>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</si>
  <si>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</si>
  <si>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</si>
  <si>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</si>
  <si>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</si>
  <si>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</si>
  <si>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</si>
  <si>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</si>
  <si>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</si>
  <si>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</si>
  <si>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</si>
  <si>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</si>
  <si>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</si>
  <si>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</si>
  <si>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</si>
  <si>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</si>
  <si>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</si>
  <si>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</si>
  <si>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</si>
  <si>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</si>
  <si>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</si>
  <si>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</si>
  <si>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</si>
  <si>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</si>
  <si>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</si>
  <si>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</si>
  <si>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</si>
  <si>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</si>
  <si>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</si>
  <si>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</si>
  <si>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</si>
  <si>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</si>
  <si>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</si>
  <si>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</si>
  <si>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</si>
  <si>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</si>
  <si>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</si>
  <si>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</si>
  <si>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</si>
  <si>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</si>
  <si>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</si>
  <si>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</si>
  <si>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</si>
  <si>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</si>
  <si>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</si>
  <si>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</si>
  <si>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</si>
  <si>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</si>
  <si>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</si>
  <si>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</si>
  <si>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</si>
  <si>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</si>
  <si>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</si>
  <si>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</si>
  <si>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</si>
  <si>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</si>
  <si>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</si>
  <si>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</si>
  <si>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</si>
  <si>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</si>
  <si>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</si>
  <si>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</si>
  <si>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</si>
  <si>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</si>
  <si>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</si>
  <si>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</si>
  <si>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</si>
  <si>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</si>
  <si>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</si>
  <si>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</si>
  <si>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</si>
  <si>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</si>
  <si>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</si>
  <si>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</si>
  <si>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</si>
  <si>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</si>
  <si>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</si>
  <si>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</si>
  <si>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</si>
  <si>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</si>
  <si>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</si>
  <si>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</si>
  <si>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</si>
  <si>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</si>
  <si>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</si>
  <si>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</si>
  <si>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</si>
  <si>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</si>
  <si>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</si>
  <si>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</si>
  <si>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</si>
  <si>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</si>
  <si>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</si>
  <si>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</si>
  <si>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</si>
  <si>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</si>
  <si>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</si>
  <si>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</si>
  <si>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</si>
  <si>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</si>
  <si>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</si>
  <si>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</si>
  <si>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</si>
  <si>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</si>
  <si>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</si>
  <si>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</si>
  <si>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</si>
  <si>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</si>
  <si>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</si>
  <si>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</si>
  <si>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</si>
  <si>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</si>
  <si>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</si>
  <si>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</si>
  <si>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</si>
  <si>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</si>
  <si>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</si>
  <si>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</si>
  <si>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</si>
  <si>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</si>
  <si>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</si>
  <si>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</si>
  <si>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</si>
  <si>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</si>
  <si>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</si>
  <si>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</si>
  <si>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</si>
  <si>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</si>
  <si>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</si>
  <si>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</si>
  <si>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</si>
  <si>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</si>
  <si>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</si>
  <si>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</si>
  <si>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</si>
  <si>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</si>
  <si>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</si>
  <si>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</si>
  <si>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</si>
  <si>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</si>
  <si>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</si>
  <si>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</si>
  <si>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</si>
  <si>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</si>
  <si>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</si>
  <si>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</si>
  <si>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</si>
  <si>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</si>
  <si>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</si>
  <si>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</si>
  <si>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</si>
  <si>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</si>
  <si>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</si>
  <si>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</si>
  <si>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</si>
  <si>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</si>
  <si>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</si>
  <si>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</si>
  <si>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</si>
  <si>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</si>
  <si>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</si>
  <si>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</si>
  <si>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</si>
  <si>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</si>
  <si>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</si>
  <si>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</si>
  <si>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</si>
  <si>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</si>
  <si>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</si>
  <si>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</si>
  <si>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</si>
  <si>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</si>
  <si>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</si>
  <si>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</si>
  <si>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</si>
  <si>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</si>
  <si>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</si>
  <si>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</si>
  <si>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</si>
  <si>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</si>
  <si>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</si>
  <si>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</si>
  <si>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</si>
  <si>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</si>
  <si>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</si>
  <si>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</si>
  <si>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</si>
  <si>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</si>
  <si>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</si>
  <si>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</si>
  <si>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</si>
  <si>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</si>
  <si>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</si>
  <si>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</si>
  <si>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</si>
  <si>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</si>
  <si>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</si>
  <si>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</si>
  <si>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</si>
  <si>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</si>
  <si>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</si>
  <si>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</si>
  <si>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</si>
  <si>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</si>
  <si>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</si>
  <si>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</si>
  <si>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</si>
  <si>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</si>
  <si>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</si>
  <si>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</si>
  <si>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</si>
  <si>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</si>
  <si>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</si>
  <si>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</si>
  <si>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</si>
  <si>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</si>
  <si>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</si>
  <si>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</si>
  <si>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</si>
  <si>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</si>
  <si>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</si>
  <si>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</si>
  <si>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</si>
  <si>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</si>
  <si>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</si>
  <si>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</si>
  <si>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</si>
  <si>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</si>
  <si>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</si>
  <si>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</si>
  <si>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</si>
  <si>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</si>
  <si>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</si>
  <si>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</si>
  <si>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</si>
  <si>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</si>
  <si>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</si>
  <si>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</si>
  <si>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</si>
  <si>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</si>
  <si>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</si>
  <si>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</si>
  <si>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</si>
  <si>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</si>
  <si>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</si>
  <si>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</si>
  <si>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</si>
  <si>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</si>
  <si>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</si>
  <si>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</si>
  <si>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</si>
  <si>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</si>
  <si>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</si>
  <si>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</si>
  <si>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</si>
  <si>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</si>
  <si>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</si>
  <si>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</si>
  <si>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</si>
  <si>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</si>
  <si>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</si>
  <si>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</si>
  <si>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</si>
  <si>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</si>
  <si>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</si>
  <si>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</si>
  <si>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</si>
  <si>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</si>
  <si>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</si>
  <si>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</si>
  <si>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</si>
  <si>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</si>
  <si>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</si>
  <si>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</si>
  <si>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</si>
  <si>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</si>
  <si>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</si>
  <si>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</si>
  <si>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</si>
  <si>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</si>
  <si>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</si>
  <si>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</si>
  <si>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</si>
  <si>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</si>
  <si>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</si>
  <si>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</si>
  <si>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</si>
  <si>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</si>
  <si>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</si>
  <si>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</si>
  <si>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</si>
  <si>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</si>
  <si>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</si>
  <si>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</si>
  <si>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</si>
  <si>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</si>
  <si>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</si>
  <si>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</si>
  <si>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</si>
  <si>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</si>
  <si>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</si>
  <si>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</si>
  <si>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</si>
  <si>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</si>
  <si>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</si>
  <si>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</si>
  <si>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</si>
  <si>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</si>
  <si>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</si>
  <si>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</si>
  <si>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</si>
  <si>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</si>
  <si>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</si>
  <si>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</si>
  <si>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</si>
  <si>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</si>
  <si>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</si>
  <si>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</si>
  <si>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</si>
  <si>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</si>
  <si>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</si>
  <si>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</si>
  <si>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</si>
  <si>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</si>
  <si>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</si>
  <si>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</si>
  <si>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</si>
  <si>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</si>
  <si>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</si>
  <si>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</si>
  <si>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</si>
  <si>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</si>
  <si>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</si>
  <si>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</si>
  <si>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</si>
  <si>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</si>
  <si>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</si>
  <si>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</si>
  <si>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</si>
  <si>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</si>
  <si>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</si>
  <si>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</si>
  <si>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</si>
  <si>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</si>
  <si>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</si>
  <si>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</si>
  <si>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</si>
  <si>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</si>
  <si>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</si>
  <si>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</si>
  <si>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</si>
  <si>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</si>
  <si>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</si>
  <si>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</si>
  <si>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</si>
  <si>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</si>
  <si>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</si>
  <si>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</si>
  <si>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</si>
  <si>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</si>
  <si>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</si>
  <si>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</si>
  <si>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</si>
  <si>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</si>
  <si>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</si>
  <si>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</si>
  <si>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</si>
  <si>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</si>
  <si>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</si>
  <si>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</si>
  <si>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</si>
  <si>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</si>
  <si>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</si>
  <si>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</si>
  <si>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</si>
  <si>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</si>
  <si>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</si>
  <si>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</si>
  <si>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</si>
  <si>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</si>
  <si>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</si>
  <si>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</si>
  <si>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</si>
  <si>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</si>
  <si>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</si>
  <si>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</si>
  <si>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</si>
  <si>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</si>
  <si>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</si>
  <si>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</si>
  <si>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</si>
  <si>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</si>
  <si>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</si>
  <si>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</si>
  <si>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</si>
  <si>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</si>
  <si>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</si>
  <si>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</si>
  <si>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</si>
  <si>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</si>
  <si>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</si>
  <si>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</si>
  <si>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</si>
  <si>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</si>
  <si>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</si>
  <si>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</si>
  <si>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</si>
  <si>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</si>
  <si>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</si>
  <si>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</si>
  <si>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</si>
  <si>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</si>
  <si>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</si>
  <si>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</si>
  <si>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</si>
  <si>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</si>
  <si>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</si>
  <si>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</si>
  <si>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</si>
  <si>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</si>
  <si>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</si>
  <si>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</si>
  <si>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</si>
  <si>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</si>
  <si>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</si>
  <si>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</si>
  <si>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</si>
  <si>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</si>
  <si>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</si>
  <si>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</si>
  <si>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</si>
  <si>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</si>
  <si>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</si>
  <si>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</si>
  <si>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</si>
  <si>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</si>
  <si>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</si>
  <si>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</si>
  <si>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</si>
  <si>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</si>
  <si>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</si>
  <si>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</si>
  <si>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</si>
  <si>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</si>
  <si>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</si>
  <si>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</si>
  <si>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</si>
  <si>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</si>
  <si>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</si>
  <si>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</si>
  <si>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</si>
  <si>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</si>
  <si>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</si>
  <si>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</si>
  <si>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</si>
  <si>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</si>
  <si>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</si>
  <si>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</si>
  <si>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</si>
  <si>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</si>
  <si>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</si>
  <si>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</si>
  <si>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</si>
  <si>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</si>
  <si>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</si>
  <si>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</si>
  <si>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</si>
  <si>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</si>
  <si>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</si>
  <si>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</si>
  <si>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</si>
  <si>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</si>
  <si>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</si>
  <si>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</si>
  <si>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</si>
  <si>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</si>
  <si>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</si>
  <si>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</si>
  <si>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</si>
  <si>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</si>
  <si>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</si>
  <si>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</si>
  <si>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</si>
  <si>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</si>
  <si>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</si>
  <si>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</si>
  <si>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</si>
  <si>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</si>
  <si>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</si>
  <si>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</si>
  <si>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</si>
  <si>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</si>
  <si>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</si>
  <si>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</si>
  <si>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</si>
  <si>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</si>
  <si>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</si>
  <si>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</si>
  <si>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</si>
  <si>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</si>
  <si>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</si>
  <si>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</si>
  <si>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</si>
  <si>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</si>
  <si>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</si>
  <si>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</si>
  <si>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</si>
  <si>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</si>
  <si>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</si>
  <si>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</si>
  <si>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</si>
  <si>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</si>
  <si>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</si>
  <si>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</si>
  <si>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</si>
  <si>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</si>
  <si>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</si>
  <si>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</si>
  <si>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</si>
  <si>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</si>
  <si>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</si>
  <si>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</si>
  <si>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</si>
  <si>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</si>
  <si>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</si>
  <si>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</si>
  <si>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</si>
  <si>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</si>
  <si>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</si>
  <si>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</si>
  <si>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</si>
  <si>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</si>
  <si>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</si>
  <si>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</si>
  <si>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</si>
  <si>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</si>
  <si>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</si>
  <si>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</si>
  <si>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</si>
  <si>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</si>
  <si>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</si>
  <si>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</si>
  <si>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</si>
  <si>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</si>
  <si>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</si>
  <si>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</si>
  <si>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</si>
  <si>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</si>
  <si>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</si>
  <si>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</si>
  <si>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</si>
  <si>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</si>
  <si>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</si>
  <si>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</si>
  <si>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</si>
  <si>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</si>
  <si>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</si>
  <si>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</si>
  <si>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</si>
  <si>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</si>
  <si>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</si>
  <si>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</si>
  <si>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</si>
  <si>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</si>
  <si>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</si>
  <si>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</si>
  <si>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</si>
  <si>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</si>
  <si>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</si>
  <si>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</si>
  <si>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</si>
  <si>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</si>
  <si>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</si>
  <si>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</si>
  <si>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</si>
  <si>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</si>
  <si>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</si>
  <si>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</si>
  <si>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</si>
  <si>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</si>
  <si>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</si>
  <si>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</si>
  <si>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</si>
  <si>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</si>
  <si>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</si>
  <si>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</si>
  <si>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</si>
  <si>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</si>
  <si>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</si>
  <si>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</si>
  <si>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</si>
  <si>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</si>
  <si>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</si>
  <si>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</si>
  <si>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</si>
  <si>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</si>
  <si>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</si>
  <si>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</si>
  <si>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</si>
  <si>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</si>
  <si>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</si>
  <si>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</si>
  <si>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</si>
  <si>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</si>
  <si>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</si>
  <si>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</si>
  <si>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</si>
  <si>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</si>
  <si>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</si>
  <si>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</si>
  <si>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</si>
  <si>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</si>
  <si>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</si>
  <si>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</si>
  <si>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</si>
  <si>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</si>
  <si>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</si>
  <si>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</si>
  <si>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</si>
  <si>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</si>
  <si>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</si>
  <si>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</si>
  <si>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</si>
  <si>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</si>
  <si>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</si>
  <si>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</si>
  <si>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</si>
  <si>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</si>
  <si>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</si>
  <si>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</si>
  <si>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</si>
  <si>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</si>
  <si>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</si>
  <si>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</si>
  <si>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</si>
  <si>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</si>
  <si>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</si>
  <si>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</si>
  <si>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</si>
  <si>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</si>
  <si>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</si>
  <si>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</si>
  <si>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</si>
  <si>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</si>
  <si>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</si>
  <si>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</si>
  <si>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</si>
  <si>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</si>
  <si>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</si>
  <si>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</si>
  <si>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</si>
  <si>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</si>
  <si>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</si>
  <si>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</si>
  <si>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</si>
  <si>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</si>
  <si>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</si>
  <si>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</si>
  <si>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</si>
  <si>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</si>
  <si>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</si>
  <si>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</si>
  <si>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</si>
  <si>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</si>
  <si>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</si>
  <si>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</si>
  <si>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</si>
  <si>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</si>
  <si>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</si>
  <si>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</si>
  <si>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</si>
  <si>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</si>
  <si>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</si>
  <si>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</si>
  <si>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</si>
  <si>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</si>
  <si>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</si>
  <si>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</si>
  <si>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</si>
  <si>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</si>
  <si>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</si>
  <si>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</si>
  <si>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</si>
  <si>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</si>
  <si>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</si>
  <si>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</si>
  <si>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</si>
  <si>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</si>
  <si>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</si>
  <si>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</si>
  <si>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</si>
  <si>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</si>
  <si>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</si>
  <si>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</si>
  <si>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</si>
  <si>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</si>
  <si>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</si>
  <si>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</si>
  <si>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</si>
  <si>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</si>
  <si>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</si>
  <si>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</si>
  <si>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</si>
  <si>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</si>
  <si>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</si>
  <si>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</si>
  <si>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</si>
  <si>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</si>
  <si>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</si>
  <si>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</si>
  <si>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</si>
  <si>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</si>
  <si>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</si>
  <si>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</si>
  <si>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</si>
  <si>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</si>
  <si>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</si>
  <si>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</si>
  <si>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</si>
  <si>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</si>
  <si>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</si>
  <si>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</si>
  <si>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</si>
  <si>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</si>
  <si>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</si>
  <si>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</si>
  <si>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</si>
  <si>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</si>
  <si>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</si>
  <si>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</si>
  <si>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</si>
  <si>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</si>
  <si>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</si>
  <si>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</si>
  <si>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</si>
  <si>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</si>
  <si>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</si>
  <si>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</si>
  <si>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</si>
  <si>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</si>
  <si>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</si>
  <si>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</si>
  <si>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</si>
  <si>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</si>
  <si>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</si>
  <si>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</si>
  <si>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</si>
  <si>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</si>
  <si>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</si>
  <si>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</si>
  <si>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</si>
  <si>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</si>
  <si>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</si>
  <si>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</si>
  <si>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</si>
  <si>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</si>
  <si>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</si>
  <si>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</si>
  <si>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</si>
  <si>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</si>
  <si>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</si>
  <si>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</si>
  <si>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</si>
  <si>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</si>
  <si>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</si>
  <si>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</si>
  <si>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</si>
  <si>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</si>
  <si>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</si>
  <si>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</si>
  <si>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</si>
  <si>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</si>
  <si>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</si>
  <si>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</si>
  <si>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</si>
  <si>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</si>
  <si>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</si>
  <si>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</si>
  <si>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</si>
  <si>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</si>
  <si>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</si>
  <si>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</si>
  <si>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</si>
  <si>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</si>
  <si>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</si>
  <si>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</si>
  <si>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</si>
  <si>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</si>
  <si>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</si>
  <si>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</si>
  <si>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</si>
  <si>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</si>
  <si>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</si>
  <si>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</si>
  <si>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</si>
  <si>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</si>
  <si>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</si>
  <si>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</si>
  <si>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</si>
  <si>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</si>
  <si>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</si>
  <si>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</si>
  <si>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</si>
  <si>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</si>
  <si>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</si>
  <si>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</si>
  <si>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</si>
  <si>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</si>
  <si>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</si>
  <si>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</si>
  <si>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</si>
  <si>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</si>
  <si>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</si>
  <si>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</si>
  <si>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</si>
  <si>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</si>
  <si>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</si>
  <si>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</si>
  <si>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</si>
  <si>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</si>
  <si>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</si>
  <si>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</si>
  <si>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</si>
  <si>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</si>
  <si>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</si>
  <si>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</si>
  <si>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</si>
  <si>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</si>
  <si>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</si>
  <si>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</si>
  <si>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</si>
  <si>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</si>
  <si>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</si>
  <si>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</si>
  <si>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</si>
  <si>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</si>
  <si>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</si>
  <si>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</si>
  <si>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</si>
  <si>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</si>
  <si>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</si>
  <si>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</si>
  <si>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</si>
  <si>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</si>
  <si>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</si>
  <si>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</si>
  <si>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</si>
  <si>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</si>
  <si>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</si>
  <si>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</si>
  <si>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</si>
  <si>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</si>
  <si>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</si>
  <si>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</si>
  <si>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</si>
  <si>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</si>
  <si>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</si>
  <si>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</si>
  <si>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</si>
  <si>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</si>
  <si>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</si>
  <si>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</si>
  <si>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</si>
  <si>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</si>
  <si>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</si>
  <si>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</si>
  <si>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</si>
  <si>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</si>
  <si>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</si>
  <si>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</si>
  <si>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</si>
  <si>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</si>
  <si>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</si>
  <si>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</si>
  <si>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</si>
  <si>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</si>
  <si>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</si>
  <si>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</si>
  <si>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</si>
  <si>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</si>
  <si>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</si>
  <si>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</si>
  <si>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</si>
  <si>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</si>
  <si>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</si>
  <si>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</si>
  <si>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</si>
  <si>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</si>
  <si>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</si>
  <si>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</si>
  <si>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</si>
  <si>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</si>
  <si>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</si>
  <si>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</si>
  <si>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</si>
  <si>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</si>
  <si>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</si>
  <si>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</si>
  <si>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</si>
  <si>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</si>
  <si>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</si>
  <si>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</si>
  <si>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</si>
  <si>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</si>
  <si>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</si>
  <si>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</si>
  <si>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</si>
  <si>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</si>
  <si>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</si>
  <si>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</si>
  <si>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</si>
  <si>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</si>
  <si>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</si>
  <si>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</si>
  <si>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</si>
  <si>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</si>
  <si>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</si>
  <si>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</si>
  <si>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</si>
  <si>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</si>
  <si>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</si>
  <si>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</si>
  <si>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</si>
  <si>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</si>
  <si>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</si>
  <si>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</si>
  <si>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</si>
  <si>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</si>
  <si>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</si>
  <si>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</si>
  <si>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</si>
  <si>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</si>
  <si>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</si>
  <si>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</si>
  <si>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</si>
  <si>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</si>
  <si>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</si>
  <si>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</si>
  <si>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</si>
  <si>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</si>
  <si>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</si>
  <si>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</si>
  <si>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</si>
  <si>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</si>
  <si>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</si>
  <si>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</si>
  <si>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</si>
  <si>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</si>
  <si>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</si>
  <si>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</si>
  <si>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</si>
  <si>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</si>
  <si>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</si>
  <si>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</si>
  <si>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</si>
  <si>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</si>
  <si>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</si>
  <si>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</si>
  <si>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</si>
  <si>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</si>
  <si>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</si>
  <si>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</si>
  <si>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</si>
  <si>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</si>
  <si>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</si>
  <si>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</si>
  <si>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</si>
  <si>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</si>
  <si>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</si>
  <si>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</si>
  <si>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</si>
  <si>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</si>
  <si>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</si>
  <si>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</si>
  <si>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</si>
  <si>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</si>
  <si>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</si>
  <si>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</si>
  <si>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</si>
  <si>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</si>
  <si>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</si>
  <si>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</si>
  <si>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</si>
  <si>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</si>
  <si>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</si>
  <si>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</si>
  <si>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</si>
  <si>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</si>
  <si>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</si>
  <si>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</si>
  <si>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</si>
  <si>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</si>
  <si>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</si>
  <si>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</si>
  <si>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</si>
  <si>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</si>
  <si>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</si>
  <si>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</si>
  <si>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</si>
  <si>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</si>
  <si>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</si>
  <si>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</si>
  <si>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</si>
  <si>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</si>
  <si>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</si>
  <si>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</si>
  <si>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</si>
  <si>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</si>
  <si>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</si>
  <si>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</si>
  <si>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</si>
  <si>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</si>
  <si>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</si>
  <si>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</si>
  <si>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</si>
  <si>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</si>
  <si>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</si>
  <si>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</si>
  <si>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</si>
  <si>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</si>
  <si>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</si>
  <si>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</si>
  <si>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</si>
  <si>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</si>
  <si>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</si>
  <si>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</si>
  <si>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</si>
  <si>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</si>
  <si>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</si>
  <si>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</si>
  <si>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</si>
  <si>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</si>
  <si>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</si>
  <si>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</si>
  <si>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</si>
  <si>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</si>
  <si>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</si>
  <si>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</si>
  <si>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</si>
  <si>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</si>
  <si>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</si>
  <si>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</si>
  <si>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</si>
  <si>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</si>
  <si>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</si>
  <si>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</si>
  <si>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</si>
  <si>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</si>
  <si>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</si>
  <si>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</si>
  <si>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</si>
  <si>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</si>
  <si>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</si>
  <si>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</si>
  <si>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</si>
  <si>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</si>
  <si>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</si>
  <si>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</si>
  <si>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</si>
  <si>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</si>
  <si>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</si>
  <si>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</si>
  <si>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</si>
  <si>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</si>
  <si>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</si>
  <si>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</si>
  <si>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</si>
  <si>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</si>
  <si>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</si>
  <si>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</si>
  <si>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</si>
  <si>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</si>
  <si>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</si>
  <si>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</si>
  <si>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</si>
  <si>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</si>
  <si>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</si>
  <si>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</si>
  <si>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</si>
  <si>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</si>
  <si>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</si>
  <si>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</si>
  <si>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</si>
  <si>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</si>
  <si>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</si>
  <si>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</si>
  <si>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</si>
  <si>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</si>
  <si>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</si>
  <si>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</si>
  <si>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</si>
  <si>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</si>
  <si>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</si>
  <si>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</si>
  <si>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</si>
  <si>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</si>
  <si>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</si>
  <si>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</si>
  <si>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</si>
  <si>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</si>
  <si>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</si>
  <si>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</si>
  <si>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</si>
  <si>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</si>
  <si>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</si>
  <si>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</si>
  <si>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</si>
  <si>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</si>
  <si>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</si>
  <si>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</si>
  <si>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</si>
  <si>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</si>
  <si>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</si>
  <si>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</si>
  <si>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</si>
  <si>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</si>
  <si>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</si>
  <si>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</si>
  <si>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</si>
  <si>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</si>
  <si>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</si>
  <si>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</si>
  <si>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</si>
  <si>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</si>
  <si>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</si>
  <si>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</si>
  <si>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</si>
  <si>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</si>
  <si>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</si>
  <si>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</si>
  <si>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</si>
  <si>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</si>
  <si>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</si>
  <si>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</si>
  <si>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</si>
  <si>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</si>
  <si>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</si>
  <si>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</si>
  <si>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</si>
  <si>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</si>
  <si>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</si>
  <si>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</si>
  <si>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</si>
  <si>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</si>
  <si>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</si>
  <si>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</si>
  <si>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</si>
  <si>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</si>
  <si>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</si>
  <si>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</si>
  <si>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</si>
  <si>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</si>
  <si>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</si>
  <si>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</si>
  <si>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</si>
  <si>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</si>
  <si>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</si>
  <si>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</si>
  <si>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</si>
  <si>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</si>
  <si>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</si>
  <si>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</si>
  <si>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</si>
  <si>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</si>
  <si>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</si>
  <si>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</si>
  <si>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</si>
  <si>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</si>
  <si>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</si>
  <si>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</si>
  <si>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</si>
  <si>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</si>
  <si>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</si>
  <si>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</si>
  <si>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</si>
  <si>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</si>
  <si>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</si>
  <si>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</si>
  <si>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</si>
  <si>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</si>
  <si>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</si>
  <si>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</si>
  <si>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</si>
  <si>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</si>
  <si>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</si>
  <si>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</si>
  <si>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</si>
  <si>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</si>
  <si>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</si>
  <si>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</si>
  <si>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</si>
  <si>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</si>
  <si>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</si>
  <si>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</si>
  <si>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</si>
  <si>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</si>
  <si>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</si>
  <si>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</si>
  <si>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</si>
  <si>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</si>
  <si>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</si>
  <si>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</si>
  <si>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</si>
  <si>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</si>
  <si>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</si>
  <si>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</si>
  <si>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</si>
  <si>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</si>
  <si>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</si>
  <si>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</si>
  <si>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</si>
  <si>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</si>
  <si>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</si>
  <si>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</si>
  <si>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</si>
  <si>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</si>
  <si>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</si>
  <si>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</si>
  <si>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</si>
  <si>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</si>
  <si>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</si>
  <si>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</si>
  <si>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</si>
  <si>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</si>
  <si>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</si>
  <si>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</si>
  <si>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</si>
  <si>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</si>
  <si>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</si>
  <si>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</si>
  <si>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</si>
  <si>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</si>
  <si>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</si>
  <si>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</si>
  <si>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</si>
  <si>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</si>
  <si>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</si>
  <si>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</si>
  <si>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</si>
  <si>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</si>
  <si>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</si>
  <si>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</si>
  <si>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</si>
  <si>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</si>
  <si>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</si>
  <si>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</si>
  <si>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</si>
  <si>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</si>
  <si>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</si>
  <si>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</si>
  <si>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</si>
  <si>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</si>
  <si>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</si>
  <si>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</si>
  <si>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</si>
  <si>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</si>
  <si>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</si>
  <si>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</si>
  <si>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</si>
  <si>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</si>
  <si>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</si>
  <si>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</si>
  <si>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</si>
  <si>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</si>
  <si>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</si>
  <si>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</si>
  <si>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</si>
  <si>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</si>
  <si>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</si>
  <si>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</si>
  <si>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</si>
  <si>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</si>
  <si>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</si>
  <si>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</si>
  <si>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</si>
  <si>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</si>
  <si>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</si>
  <si>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</si>
  <si>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</si>
  <si>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</si>
  <si>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</si>
  <si>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</si>
  <si>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</si>
  <si>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Decor imitacion madera 90arquitectes</t>
  </si>
  <si>
    <t>Adinor Nogal</t>
  </si>
  <si>
    <t>Adinor Roble</t>
  </si>
  <si>
    <t>SKGD.AMORT.120</t>
  </si>
  <si>
    <t>PAEVH.C.RB o PAEVH.C.NG</t>
  </si>
  <si>
    <t>PA.TCA.RB o PA.TCA.NG</t>
  </si>
  <si>
    <t>SK.CR.120</t>
  </si>
  <si>
    <t>PA.C.RB o PAC.C.NG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</si>
</sst>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theme="5"/>
      <name val="Calibri"/>
      <family val="2"/>
    </font>
    <font>
      <b/>
      <sz val="11"/>
      <color theme="5"/>
      <name val="Calibri"/>
      <family val="2"/>
    </font>
    <font>
      <b/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/>
    </xf>
    <xf numFmtId="0" fontId="0" fillId="14" borderId="0" xfId="0" applyFill="1" applyAlignment="1">
      <alignment horizontal="right" vertical="center"/>
    </xf>
    <xf numFmtId="0" fontId="0" fillId="14" borderId="0" xfId="0" applyFill="1" applyAlignment="1">
      <alignment horizontal="right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right" vertical="center" wrapText="1"/>
    </xf>
    <xf numFmtId="165" fontId="0" fillId="0" borderId="0" xfId="0" applyNumberFormat="1" applyAlignment="1">
      <alignment horizontal="right" vertical="top"/>
    </xf>
    <xf numFmtId="165" fontId="15" fillId="0" borderId="0" xfId="0" applyNumberFormat="1" applyFont="1" applyAlignment="1">
      <alignment horizontal="right" vertical="top"/>
    </xf>
    <xf numFmtId="44" fontId="15" fillId="0" borderId="0" xfId="1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2" borderId="0" xfId="0" applyFont="1" applyFill="1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view="pageBreakPreview" topLeftCell="A6" zoomScale="85" zoomScaleNormal="95" zoomScaleSheetLayoutView="85" workbookViewId="0">
      <selection activeCell="B16" sqref="B16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8" max="9" width="18.7109375" bestFit="1" customWidth="1"/>
    <col min="10" max="10" width="19.710937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6" t="s">
        <v>1</v>
      </c>
      <c r="F3" s="86"/>
      <c r="G3" s="86"/>
      <c r="H3" s="87"/>
      <c r="I3" s="87"/>
      <c r="J3" s="87"/>
      <c r="K3" s="87"/>
      <c r="L3" s="87"/>
    </row>
    <row r="5" spans="1:12" ht="18.75" x14ac:dyDescent="0.25">
      <c r="B5" s="88" t="s">
        <v>2</v>
      </c>
      <c r="C5" s="8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20250210</v>
      </c>
      <c r="G7" s="8">
        <f ca="1">TODAY()</f>
        <v>45958</v>
      </c>
    </row>
    <row r="8" spans="1:12" x14ac:dyDescent="0.25">
      <c r="B8" s="9" t="s">
        <v>6</v>
      </c>
      <c r="C8" s="10" t="s">
        <v>1451</v>
      </c>
    </row>
    <row r="9" spans="1:12" ht="30" x14ac:dyDescent="0.25">
      <c r="B9" s="3" t="s">
        <v>7</v>
      </c>
      <c r="C9" s="81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78" t="s">
        <v>1453</v>
      </c>
      <c r="I12" s="79" t="s">
        <v>1454</v>
      </c>
      <c r="J12" s="7"/>
    </row>
    <row r="13" spans="1:12" x14ac:dyDescent="0.25">
      <c r="A13" t="s">
        <v>14</v>
      </c>
      <c r="B13" s="16" t="s">
        <v>283</v>
      </c>
      <c r="C13" s="89" t="str">
        <f>IFERROR(VLOOKUP($B13,Tarifa_all_20240711!$A$2:$G$660,2,FALSE()),"-")</f>
        <v>CARC.SIMPLE GUIA DESM.LAC.BLANCO MATE 9003-3 MTS</v>
      </c>
      <c r="D13" s="89"/>
      <c r="E13" s="17">
        <v>1</v>
      </c>
      <c r="F13" s="18">
        <f>IFERROR(VLOOKUP($B13,Tarifa_all_20240711!$A$2:$G$660,5,FALSE()),"-")</f>
        <v>87.314999999999998</v>
      </c>
      <c r="G13" s="18">
        <f t="shared" ref="G13:G30" si="0">IFERROR(E13*F13,"-")</f>
        <v>87.314999999999998</v>
      </c>
      <c r="H13" s="82">
        <f>G13</f>
        <v>87.314999999999998</v>
      </c>
      <c r="I13" s="82">
        <f>G13</f>
        <v>87.314999999999998</v>
      </c>
      <c r="J13" s="85"/>
    </row>
    <row r="14" spans="1:12" x14ac:dyDescent="0.25">
      <c r="A14" t="s">
        <v>15</v>
      </c>
      <c r="B14" s="16" t="s">
        <v>970</v>
      </c>
      <c r="C14" s="89" t="str">
        <f>IFERROR(VLOOKUP($B14,Tarifa_all_20240711!$A$2:$G$660,2,FALSE()),"-")</f>
        <v>GUIA SKY PLUS DESMONT.LAC.5 MADERA-3 MTS</v>
      </c>
      <c r="D14" s="89"/>
      <c r="E14" s="17">
        <v>1</v>
      </c>
      <c r="F14" s="18">
        <f>IFERROR(VLOOKUP($B14,Tarifa_all_20240711!$A$2:$G$660,5,FALSE()),"-")</f>
        <v>78.39</v>
      </c>
      <c r="G14" s="18">
        <f t="shared" si="0"/>
        <v>78.39</v>
      </c>
      <c r="H14" s="82">
        <f t="shared" ref="H14:H30" si="1">G14</f>
        <v>78.39</v>
      </c>
      <c r="I14" s="82">
        <f t="shared" ref="I14:I18" si="2">G14</f>
        <v>78.39</v>
      </c>
      <c r="J14" s="85"/>
    </row>
    <row r="15" spans="1:12" x14ac:dyDescent="0.25">
      <c r="A15" t="s">
        <v>16</v>
      </c>
      <c r="B15" s="16" t="s">
        <v>297</v>
      </c>
      <c r="C15" s="89" t="str">
        <f>IFERROR(VLOOKUP($B15,Tarifa_all_20240711!$A$2:$G$660,2,FALSE()),"-")</f>
        <v>KIT ANCLAJE TECHO PARA GUIA PLADUR PLUS DEMONTABLE</v>
      </c>
      <c r="D15" s="89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82">
        <f t="shared" si="1"/>
        <v>105.6375</v>
      </c>
      <c r="I15" s="82">
        <f t="shared" si="2"/>
        <v>105.6375</v>
      </c>
      <c r="J15" s="85"/>
    </row>
    <row r="16" spans="1:12" x14ac:dyDescent="0.25">
      <c r="A16" t="s">
        <v>17</v>
      </c>
      <c r="B16" s="97" t="s">
        <v>568</v>
      </c>
      <c r="C16" s="89" t="str">
        <f>IFERROR(VLOOKUP($B16,Tarifa_all_20240711!$A$2:$G$660,2,FALSE()),"-")</f>
        <v>KIT AMORTIGUADOR SKY GUIA DESMONT. BIDIRECCIONAL 80KG</v>
      </c>
      <c r="D16" s="89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83">
        <v>45</v>
      </c>
      <c r="I16" s="83">
        <v>45</v>
      </c>
      <c r="J16" s="85" t="s">
        <v>1455</v>
      </c>
    </row>
    <row r="17" spans="1:10" x14ac:dyDescent="0.25">
      <c r="A17" t="s">
        <v>18</v>
      </c>
      <c r="B17" s="80" t="s">
        <v>129</v>
      </c>
      <c r="C17" s="89" t="str">
        <f>IFERROR(VLOOKUP($B17,Tarifa_all_20240711!$A$2:$G$660,2,FALSE()),"-")</f>
        <v>KIT PUERTA PA CORREDERA LAC.BLANCO MATE 9003</v>
      </c>
      <c r="D17" s="8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83">
        <v>297.12</v>
      </c>
      <c r="I17" s="83">
        <v>270.11</v>
      </c>
      <c r="J17" s="85" t="s">
        <v>1459</v>
      </c>
    </row>
    <row r="18" spans="1:10" x14ac:dyDescent="0.25">
      <c r="A18" t="s">
        <v>19</v>
      </c>
      <c r="B18" s="97" t="s">
        <v>337</v>
      </c>
      <c r="C18" s="89" t="str">
        <f>IFERROR(VLOOKUP($B18,Tarifa_all_20240711!$A$2:$G$660,2,FALSE()),"-")</f>
        <v>CARRO SKY MADERA 120KG</v>
      </c>
      <c r="D18" s="8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83">
        <v>63.74</v>
      </c>
      <c r="I18" s="83">
        <v>63.74</v>
      </c>
      <c r="J18" s="85" t="s">
        <v>1458</v>
      </c>
    </row>
    <row r="19" spans="1:10" ht="30" x14ac:dyDescent="0.25">
      <c r="A19" t="s">
        <v>20</v>
      </c>
      <c r="B19" s="80" t="s">
        <v>375</v>
      </c>
      <c r="C19" s="89" t="str">
        <f>IFERROR(VLOOKUP($B19,Tarifa_all_20240711!$A$2:$G$660,2,FALSE()),"-")</f>
        <v>TIRADOR RECT.ADH CAVE LAC.BLANCO MATE 9003: 2 UDS</v>
      </c>
      <c r="D19" s="8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84">
        <v>68.03</v>
      </c>
      <c r="I19" s="84">
        <v>61.84</v>
      </c>
      <c r="J19" s="85" t="s">
        <v>1457</v>
      </c>
    </row>
    <row r="20" spans="1:10" x14ac:dyDescent="0.25">
      <c r="A20" t="s">
        <v>21</v>
      </c>
      <c r="B20" s="16" t="s">
        <v>322</v>
      </c>
      <c r="C20" s="89" t="str">
        <f>IFERROR(VLOOKUP($B20,Tarifa_all_20240711!$A$2:$G$660,2,FALSE()),"-")</f>
        <v>GUIADOR FIJO PA LAC.BLANCO MATE 9003</v>
      </c>
      <c r="D20" s="8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82">
        <f t="shared" si="1"/>
        <v>8.61</v>
      </c>
      <c r="I20" s="82">
        <f>G20</f>
        <v>8.61</v>
      </c>
      <c r="J20" s="85"/>
    </row>
    <row r="21" spans="1:10" ht="30" x14ac:dyDescent="0.25">
      <c r="A21" t="s">
        <v>22</v>
      </c>
      <c r="B21" s="80" t="s">
        <v>140</v>
      </c>
      <c r="C21" s="89" t="str">
        <f>IFERROR(VLOOKUP($B21,Tarifa_all_20240711!$A$2:$G$660,2,FALSE()),"-")</f>
        <v>PERFIL EMBELL.HORIZ. ADH LAC.BLANCO MATE 9003</v>
      </c>
      <c r="D21" s="89"/>
      <c r="E21" s="17">
        <v>4</v>
      </c>
      <c r="F21" s="18">
        <f>IFERROR(VLOOKUP($B21,Tarifa_all_20240711!$A$2:$G$660,5,FALSE()),"-")</f>
        <v>21.794999999999998</v>
      </c>
      <c r="G21" s="18">
        <f t="shared" si="0"/>
        <v>87.179999999999993</v>
      </c>
      <c r="H21" s="83">
        <f>E21*30.03</f>
        <v>120.12</v>
      </c>
      <c r="I21" s="83">
        <f>E21*27.3</f>
        <v>109.2</v>
      </c>
      <c r="J21" s="85" t="s">
        <v>1456</v>
      </c>
    </row>
    <row r="22" spans="1:10" x14ac:dyDescent="0.25">
      <c r="B22" s="16"/>
      <c r="C22" s="89" t="str">
        <f>IFERROR(VLOOKUP($B22,Tarifa_all_20240711!$A$2:$G$660,2,FALSE()),"-")</f>
        <v>-</v>
      </c>
      <c r="D22" s="8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76" t="str">
        <f t="shared" si="1"/>
        <v>-</v>
      </c>
      <c r="I22" s="77" t="str">
        <f t="shared" ref="I22:I24" si="3">G22</f>
        <v>-</v>
      </c>
      <c r="J22" s="7"/>
    </row>
    <row r="23" spans="1:10" x14ac:dyDescent="0.25">
      <c r="B23" s="16"/>
      <c r="C23" s="89" t="str">
        <f>IFERROR(VLOOKUP($B23,Tarifa_all_20240711!$A$2:$G$660,2,FALSE()),"-")</f>
        <v>-</v>
      </c>
      <c r="D23" s="8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76" t="str">
        <f t="shared" si="1"/>
        <v>-</v>
      </c>
      <c r="I23" s="77" t="str">
        <f t="shared" si="3"/>
        <v>-</v>
      </c>
      <c r="J23" s="7"/>
    </row>
    <row r="24" spans="1:10" x14ac:dyDescent="0.25">
      <c r="B24" s="16"/>
      <c r="C24" s="89" t="str">
        <f>IFERROR(VLOOKUP($B24,Tarifa_all_20240711!$A$2:$G$660,2,FALSE()),"-")</f>
        <v>-</v>
      </c>
      <c r="D24" s="8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76" t="str">
        <f t="shared" si="1"/>
        <v>-</v>
      </c>
      <c r="I24" s="77" t="str">
        <f t="shared" si="3"/>
        <v>-</v>
      </c>
      <c r="J24" s="7"/>
    </row>
    <row r="25" spans="1:10" x14ac:dyDescent="0.25">
      <c r="B25" s="16"/>
      <c r="C25" s="89" t="str">
        <f>IFERROR(VLOOKUP($B25,Tarifa_all_20240711!$A$2:$G$660,2,FALSE()),"-")</f>
        <v>-</v>
      </c>
      <c r="D25" s="8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76" t="str">
        <f t="shared" si="1"/>
        <v>-</v>
      </c>
      <c r="I25" s="77" t="str">
        <f t="shared" ref="I25:I30" si="4">G25</f>
        <v>-</v>
      </c>
      <c r="J25" s="7"/>
    </row>
    <row r="26" spans="1:10" x14ac:dyDescent="0.25">
      <c r="B26" s="16"/>
      <c r="C26" s="89" t="str">
        <f>IFERROR(VLOOKUP($B26,Tarifa_all_20240711!$A$2:$G$660,2,FALSE()),"-")</f>
        <v>-</v>
      </c>
      <c r="D26" s="8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76" t="str">
        <f t="shared" si="1"/>
        <v>-</v>
      </c>
      <c r="I26" s="77" t="str">
        <f t="shared" si="4"/>
        <v>-</v>
      </c>
      <c r="J26" s="7"/>
    </row>
    <row r="27" spans="1:10" x14ac:dyDescent="0.25">
      <c r="B27" s="16"/>
      <c r="C27" s="89" t="str">
        <f>IFERROR(VLOOKUP($B27,Tarifa_all_20240711!$A$2:$G$660,2,FALSE()),"-")</f>
        <v>-</v>
      </c>
      <c r="D27" s="8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76" t="str">
        <f t="shared" si="1"/>
        <v>-</v>
      </c>
      <c r="I27" s="77" t="str">
        <f t="shared" si="4"/>
        <v>-</v>
      </c>
      <c r="J27" s="7"/>
    </row>
    <row r="28" spans="1:10" x14ac:dyDescent="0.25">
      <c r="B28" s="16"/>
      <c r="C28" s="89" t="str">
        <f>IFERROR(VLOOKUP($B28,Tarifa_all_20240711!$A$2:$G$660,2,FALSE()),"-")</f>
        <v>-</v>
      </c>
      <c r="D28" s="8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76" t="str">
        <f t="shared" si="1"/>
        <v>-</v>
      </c>
      <c r="I28" s="77" t="str">
        <f t="shared" si="4"/>
        <v>-</v>
      </c>
      <c r="J28" s="7"/>
    </row>
    <row r="29" spans="1:10" x14ac:dyDescent="0.25">
      <c r="B29" s="16"/>
      <c r="C29" s="89" t="str">
        <f>IFERROR(VLOOKUP($B29,Tarifa_all_20240711!$A$2:$G$660,2,FALSE()),"-")</f>
        <v>-</v>
      </c>
      <c r="D29" s="8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76" t="str">
        <f t="shared" si="1"/>
        <v>-</v>
      </c>
      <c r="I29" s="77" t="str">
        <f t="shared" si="4"/>
        <v>-</v>
      </c>
      <c r="J29" s="7"/>
    </row>
    <row r="30" spans="1:10" x14ac:dyDescent="0.25">
      <c r="B30" s="16"/>
      <c r="C30" s="89" t="str">
        <f>IFERROR(VLOOKUP($B30,Tarifa_all_20240711!$A$2:$G$660,2,FALSE()),"-")</f>
        <v>-</v>
      </c>
      <c r="D30" s="8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76" t="str">
        <f t="shared" si="1"/>
        <v>-</v>
      </c>
      <c r="I30" s="77" t="str">
        <f t="shared" si="4"/>
        <v>-</v>
      </c>
      <c r="J30" s="7"/>
    </row>
    <row r="31" spans="1:10" x14ac:dyDescent="0.25">
      <c r="B31" s="19"/>
      <c r="C31" s="19"/>
      <c r="D31" s="19"/>
      <c r="E31" s="19"/>
      <c r="F31" s="20"/>
      <c r="G31" s="21">
        <f>SUM(G13:G30)</f>
        <v>703.73250000000007</v>
      </c>
      <c r="H31" s="21">
        <f>SUM(H13:H30)</f>
        <v>873.96249999999998</v>
      </c>
      <c r="I31" s="21">
        <f>SUM(I13:I30)</f>
        <v>829.84250000000009</v>
      </c>
    </row>
    <row r="32" spans="1:10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90"/>
      <c r="E52" s="90"/>
      <c r="F52" s="9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8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6" t="s">
        <v>78</v>
      </c>
      <c r="F2" s="86"/>
      <c r="G2" s="86"/>
    </row>
    <row r="3" spans="1:7" ht="18" customHeight="1" x14ac:dyDescent="0.35">
      <c r="E3" s="86" t="s">
        <v>1</v>
      </c>
      <c r="F3" s="86"/>
      <c r="G3" s="8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5" t="s">
        <v>79</v>
      </c>
      <c r="B6" s="95"/>
      <c r="C6" s="9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6" t="str">
        <f>'DESPIECE (MATANALYSIS)'!C8</f>
        <v>Cristalum Gandia</v>
      </c>
      <c r="C9" s="96"/>
      <c r="D9" s="96"/>
      <c r="F9" s="3" t="s">
        <v>81</v>
      </c>
      <c r="G9" s="44">
        <f ca="1">TODAY()</f>
        <v>45958</v>
      </c>
    </row>
    <row r="10" spans="1:7" x14ac:dyDescent="0.25">
      <c r="A10" s="3" t="s">
        <v>82</v>
      </c>
      <c r="B10" s="11" t="str">
        <f>'DESPIECE (MATANALYSIS)'!C9</f>
        <v>Decor imitacion madera 90arquitectes</v>
      </c>
      <c r="C10" s="45"/>
      <c r="D10" s="45"/>
      <c r="E10" s="46"/>
      <c r="F10" s="47" t="s">
        <v>83</v>
      </c>
      <c r="G10" s="7">
        <f>'DESPIECE (MATANALYSIS)'!C7</f>
        <v>20250210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91"/>
      <c r="B46" s="91"/>
      <c r="C46" s="71"/>
      <c r="D46" s="71"/>
      <c r="E46" s="71"/>
      <c r="F46" s="72"/>
      <c r="G46" s="73"/>
    </row>
    <row r="47" spans="1:7" ht="22.7" customHeight="1" x14ac:dyDescent="0.25">
      <c r="A47" s="92" t="s">
        <v>99</v>
      </c>
      <c r="B47" s="92"/>
      <c r="C47" s="59"/>
      <c r="D47" s="59"/>
      <c r="E47" s="59"/>
      <c r="F47" s="93">
        <f>'DESPIECE (MATANALYSIS)'!G31</f>
        <v>703.73250000000007</v>
      </c>
      <c r="G47" s="93"/>
    </row>
    <row r="48" spans="1:7" s="1" customFormat="1" ht="22.7" customHeight="1" x14ac:dyDescent="0.25">
      <c r="A48" s="94" t="s">
        <v>100</v>
      </c>
      <c r="B48" s="94"/>
      <c r="C48" s="94"/>
      <c r="D48" s="94"/>
      <c r="E48" s="94"/>
      <c r="F48" s="94"/>
      <c r="G48" s="9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2025-10-28T07:55:06Z</cp:lastPrinted>
  <dcterms:created xsi:type="dcterms:W3CDTF">2024-04-15T12:43:19Z</dcterms:created>
  <dcterms:modified xsi:type="dcterms:W3CDTF">2025-10-28T08:11:26Z</dcterms:modified>
  <dc:language>es-ES</dc:language>
</cp:coreProperties>
</file>