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47\calculos\1\"/>
    </mc:Choice>
  </mc:AlternateContent>
  <xr:revisionPtr revIDLastSave="0" documentId="13_ncr:1_{6544898E-A1A2-4204-9C8B-19565D7407AC}" xr6:coauthVersionLast="47" xr6:coauthVersionMax="47" xr10:uidLastSave="{00000000-0000-0000-0000-000000000000}"/>
  <bookViews>
    <workbookView xWindow="1335" yWindow="34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<sst xmlns="http://schemas.openxmlformats.org/spreadsheetml/2006/main" count="5405" uniqueCount="1455">
  <si>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</si>
  <si>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</si>
  <si>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</si>
  <si>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</si>
  <si>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</si>
  <si>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</si>
  <si>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</si>
  <si>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</si>
  <si>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</si>
  <si>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</si>
  <si>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</si>
  <si>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</si>
  <si>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</si>
  <si>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</si>
  <si>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</si>
  <si>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</si>
  <si>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</si>
  <si>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</si>
  <si>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</si>
  <si>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</si>
  <si>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</si>
  <si>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</si>
  <si>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</si>
  <si>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</si>
  <si>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</si>
  <si>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</si>
  <si>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</si>
  <si>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</si>
  <si>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</si>
  <si>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</si>
  <si>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</si>
  <si>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</si>
  <si>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</si>
  <si>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</si>
  <si>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</si>
  <si>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</si>
  <si>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</si>
  <si>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</si>
  <si>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</si>
  <si>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</si>
  <si>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</si>
  <si>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</si>
  <si>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</si>
  <si>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</si>
  <si>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</si>
  <si>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</si>
  <si>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</si>
  <si>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</si>
  <si>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</si>
  <si>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</si>
  <si>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</si>
  <si>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</si>
  <si>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</si>
  <si>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</si>
  <si>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</si>
  <si>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</si>
  <si>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</si>
  <si>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</si>
  <si>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</si>
  <si>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</si>
  <si>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</si>
  <si>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</si>
  <si>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</si>
  <si>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</si>
  <si>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</si>
  <si>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</si>
  <si>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</si>
  <si>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</si>
  <si>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</si>
  <si>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</si>
  <si>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</si>
  <si>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</si>
  <si>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</si>
  <si>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</si>
  <si>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</si>
  <si>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</si>
  <si>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</si>
  <si>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</si>
  <si>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</si>
  <si>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</si>
  <si>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</si>
  <si>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</si>
  <si>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</si>
  <si>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</si>
  <si>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</si>
  <si>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</si>
  <si>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</si>
  <si>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</si>
  <si>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</si>
  <si>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</si>
  <si>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</si>
  <si>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</si>
  <si>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</si>
  <si>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</si>
  <si>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</si>
  <si>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</si>
  <si>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</si>
  <si>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</si>
  <si>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</si>
  <si>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</si>
  <si>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</si>
  <si>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</si>
  <si>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</si>
  <si>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</si>
  <si>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</si>
  <si>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</si>
  <si>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</si>
  <si>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</si>
  <si>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</si>
  <si>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</si>
  <si>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</si>
  <si>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</si>
  <si>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</si>
  <si>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</si>
  <si>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</si>
  <si>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</si>
  <si>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</si>
  <si>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</si>
  <si>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</si>
  <si>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</si>
  <si>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</si>
  <si>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</si>
  <si>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</si>
  <si>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</si>
  <si>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</si>
  <si>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</si>
  <si>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</si>
  <si>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</si>
  <si>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</si>
  <si>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</si>
  <si>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</si>
  <si>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</si>
  <si>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</si>
  <si>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</si>
  <si>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</si>
  <si>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</si>
  <si>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</si>
  <si>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</si>
  <si>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</si>
  <si>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</si>
  <si>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</si>
  <si>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</si>
  <si>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</si>
  <si>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</si>
  <si>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</si>
  <si>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</si>
  <si>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</si>
  <si>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</si>
  <si>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</si>
  <si>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</si>
  <si>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</si>
  <si>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</si>
  <si>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</si>
  <si>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</si>
  <si>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</si>
  <si>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</si>
  <si>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</si>
  <si>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</si>
  <si>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</si>
  <si>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</si>
  <si>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</si>
  <si>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</si>
  <si>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</si>
  <si>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</si>
  <si>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</si>
  <si>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</si>
  <si>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</si>
  <si>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</si>
  <si>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</si>
  <si>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</si>
  <si>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</si>
  <si>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</si>
  <si>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</si>
  <si>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</si>
  <si>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</si>
  <si>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</si>
  <si>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</si>
  <si>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</si>
  <si>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</si>
  <si>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</si>
  <si>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</si>
  <si>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</si>
  <si>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</si>
  <si>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</si>
  <si>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</si>
  <si>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</si>
  <si>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</si>
  <si>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</si>
  <si>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</si>
  <si>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</si>
  <si>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</si>
  <si>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</si>
  <si>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</si>
  <si>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</si>
  <si>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</si>
  <si>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</si>
  <si>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</si>
  <si>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</si>
  <si>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</si>
  <si>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</si>
  <si>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</si>
  <si>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</si>
  <si>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</si>
  <si>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</si>
  <si>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</si>
  <si>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</si>
  <si>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</si>
  <si>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</si>
  <si>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</si>
  <si>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</si>
  <si>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</si>
  <si>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</si>
  <si>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</si>
  <si>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</si>
  <si>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</si>
  <si>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</si>
  <si>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</si>
  <si>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</si>
  <si>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</si>
  <si>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</si>
  <si>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</si>
  <si>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</si>
  <si>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</si>
  <si>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</si>
  <si>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</si>
  <si>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</si>
  <si>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</si>
  <si>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</si>
  <si>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</si>
  <si>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</si>
  <si>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</si>
  <si>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</si>
  <si>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</si>
  <si>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</si>
  <si>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</si>
  <si>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</si>
  <si>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</si>
  <si>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</si>
  <si>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</si>
  <si>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</si>
  <si>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</si>
  <si>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</si>
  <si>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</si>
  <si>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</si>
  <si>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</si>
  <si>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</si>
  <si>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</si>
  <si>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</si>
  <si>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</si>
  <si>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</si>
  <si>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</si>
  <si>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</si>
  <si>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</si>
  <si>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</si>
  <si>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</si>
  <si>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</si>
  <si>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</si>
  <si>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</si>
  <si>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</si>
  <si>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</si>
  <si>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</si>
  <si>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</si>
  <si>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</si>
  <si>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</si>
  <si>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</si>
  <si>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</si>
  <si>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</si>
  <si>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</si>
  <si>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</si>
  <si>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</si>
  <si>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</si>
  <si>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</si>
  <si>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</si>
  <si>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</si>
  <si>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</si>
  <si>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</si>
  <si>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</si>
  <si>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</si>
  <si>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</si>
  <si>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</si>
  <si>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</si>
  <si>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</si>
  <si>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</si>
  <si>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</si>
  <si>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</si>
  <si>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</si>
  <si>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</si>
  <si>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</si>
  <si>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</si>
  <si>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</si>
  <si>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</si>
  <si>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</si>
  <si>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</si>
  <si>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</si>
  <si>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</si>
  <si>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</si>
  <si>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</si>
  <si>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</si>
  <si>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</si>
  <si>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</si>
  <si>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</si>
  <si>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</si>
  <si>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</si>
  <si>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</si>
  <si>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</si>
  <si>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</si>
  <si>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</si>
  <si>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</si>
  <si>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</si>
  <si>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</si>
  <si>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</si>
  <si>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</si>
  <si>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</si>
  <si>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</si>
  <si>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</si>
  <si>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</si>
  <si>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</si>
  <si>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</si>
  <si>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</si>
  <si>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</si>
  <si>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</si>
  <si>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</si>
  <si>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</si>
  <si>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</si>
  <si>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</si>
  <si>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</si>
  <si>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</si>
  <si>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</si>
  <si>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</si>
  <si>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</si>
  <si>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</si>
  <si>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</si>
  <si>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</si>
  <si>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</si>
  <si>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</si>
  <si>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</si>
  <si>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</si>
  <si>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</si>
  <si>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</si>
  <si>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</si>
  <si>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</si>
  <si>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</si>
  <si>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</si>
  <si>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</si>
  <si>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</si>
  <si>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</si>
  <si>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</si>
  <si>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</si>
  <si>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</si>
  <si>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</si>
  <si>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</si>
  <si>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</si>
  <si>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</si>
  <si>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</si>
  <si>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</si>
  <si>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</si>
  <si>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</si>
  <si>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</si>
  <si>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</si>
  <si>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</si>
  <si>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</si>
  <si>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</si>
  <si>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</si>
  <si>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</si>
  <si>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</si>
  <si>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</si>
  <si>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</si>
  <si>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</si>
  <si>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</si>
  <si>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</si>
  <si>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</si>
  <si>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</si>
  <si>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</si>
  <si>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</si>
  <si>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</si>
  <si>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</si>
  <si>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</si>
  <si>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</si>
  <si>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</si>
  <si>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</si>
  <si>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</si>
  <si>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</si>
  <si>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</si>
  <si>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</si>
  <si>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</si>
  <si>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</si>
  <si>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</si>
  <si>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</si>
  <si>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</si>
  <si>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</si>
  <si>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</si>
  <si>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</si>
  <si>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</si>
  <si>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</si>
  <si>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</si>
  <si>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</si>
  <si>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</si>
  <si>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</si>
  <si>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</si>
  <si>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</si>
  <si>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</si>
  <si>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</si>
  <si>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</si>
  <si>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</si>
  <si>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</si>
  <si>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</si>
  <si>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</si>
  <si>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</si>
  <si>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</si>
  <si>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</si>
  <si>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</si>
  <si>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</si>
  <si>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</si>
  <si>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</si>
  <si>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</si>
  <si>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</si>
  <si>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</si>
  <si>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</si>
  <si>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</si>
  <si>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</si>
  <si>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</si>
  <si>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</si>
  <si>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</si>
  <si>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</si>
  <si>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</si>
  <si>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</si>
  <si>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</si>
  <si>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</si>
  <si>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</si>
  <si>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</si>
  <si>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</si>
  <si>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</si>
  <si>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</si>
  <si>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</si>
  <si>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</si>
  <si>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</si>
  <si>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</si>
  <si>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</si>
  <si>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</si>
  <si>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</si>
  <si>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</si>
  <si>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</si>
  <si>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</si>
  <si>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</si>
  <si>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</si>
  <si>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</si>
  <si>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</si>
  <si>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</si>
  <si>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</si>
  <si>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</si>
  <si>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</si>
  <si>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</si>
  <si>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</si>
  <si>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</si>
  <si>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</si>
  <si>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</si>
  <si>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</si>
  <si>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</si>
  <si>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</si>
  <si>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</si>
  <si>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</si>
  <si>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</si>
  <si>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</si>
  <si>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</si>
  <si>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</si>
  <si>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</si>
  <si>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</si>
  <si>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</si>
  <si>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</si>
  <si>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</si>
  <si>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</si>
  <si>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</si>
  <si>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</si>
  <si>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</si>
  <si>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</si>
  <si>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</si>
  <si>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</si>
  <si>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</si>
  <si>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</si>
  <si>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</si>
  <si>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</si>
  <si>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</si>
  <si>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</si>
  <si>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</si>
  <si>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</si>
  <si>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</si>
  <si>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</si>
  <si>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</si>
  <si>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</si>
  <si>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</si>
  <si>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</si>
  <si>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</si>
  <si>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</si>
  <si>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</si>
  <si>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</si>
  <si>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</si>
  <si>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</si>
  <si>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</si>
  <si>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</si>
  <si>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</si>
  <si>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</si>
  <si>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</si>
  <si>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</si>
  <si>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</si>
  <si>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</si>
  <si>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</si>
  <si>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</si>
  <si>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</si>
  <si>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</si>
  <si>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</si>
  <si>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</si>
  <si>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</si>
  <si>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</si>
  <si>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</si>
  <si>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</si>
  <si>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</si>
  <si>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</si>
  <si>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</si>
  <si>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</si>
  <si>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</si>
  <si>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</si>
  <si>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</si>
  <si>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</si>
  <si>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</si>
  <si>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</si>
  <si>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</si>
  <si>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</si>
  <si>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</si>
  <si>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</si>
  <si>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</si>
  <si>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</si>
  <si>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</si>
  <si>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</si>
  <si>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</si>
  <si>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</si>
  <si>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</si>
  <si>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</si>
  <si>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</si>
  <si>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</si>
  <si>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</si>
  <si>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</si>
  <si>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</si>
  <si>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</si>
  <si>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</si>
  <si>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</si>
  <si>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</si>
  <si>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</si>
  <si>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</si>
  <si>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</si>
  <si>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</si>
  <si>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</si>
  <si>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</si>
  <si>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</si>
  <si>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</si>
  <si>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</si>
  <si>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</si>
  <si>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</si>
  <si>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</si>
  <si>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</si>
  <si>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</si>
  <si>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</si>
  <si>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</si>
  <si>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</si>
  <si>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</si>
  <si>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</si>
  <si>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</si>
  <si>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</si>
  <si>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</si>
  <si>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</si>
  <si>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</si>
  <si>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</si>
  <si>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</si>
  <si>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</si>
  <si>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</si>
  <si>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</si>
  <si>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</si>
  <si>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</si>
  <si>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</si>
  <si>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</si>
  <si>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</si>
  <si>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</si>
  <si>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</si>
  <si>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</si>
  <si>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</si>
  <si>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</si>
  <si>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</si>
  <si>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</si>
  <si>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</si>
  <si>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</si>
  <si>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</si>
  <si>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</si>
  <si>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</si>
  <si>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</si>
  <si>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</si>
  <si>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</si>
  <si>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</si>
  <si>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</si>
  <si>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</si>
  <si>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</si>
  <si>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</si>
  <si>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</si>
  <si>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</si>
  <si>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</si>
  <si>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</si>
  <si>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</si>
  <si>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</si>
  <si>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</si>
  <si>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</si>
  <si>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</si>
  <si>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</si>
  <si>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</si>
  <si>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</si>
  <si>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</si>
  <si>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</si>
  <si>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</si>
  <si>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</si>
  <si>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</si>
  <si>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</si>
  <si>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</si>
  <si>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</si>
  <si>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</si>
  <si>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</si>
  <si>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</si>
  <si>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</si>
  <si>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</si>
  <si>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</si>
  <si>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</si>
  <si>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</si>
  <si>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</si>
  <si>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</si>
  <si>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</si>
  <si>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</si>
  <si>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</si>
  <si>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</si>
  <si>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</si>
  <si>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</si>
  <si>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</si>
  <si>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</si>
  <si>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</si>
  <si>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</si>
  <si>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</si>
  <si>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</si>
  <si>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</si>
  <si>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</si>
  <si>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</si>
  <si>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</si>
  <si>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</si>
  <si>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</si>
  <si>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</si>
  <si>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</si>
  <si>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</si>
  <si>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</si>
  <si>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</si>
  <si>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</si>
  <si>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</si>
  <si>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</si>
  <si>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</si>
  <si>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</si>
  <si>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</si>
  <si>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</si>
  <si>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</si>
  <si>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</si>
  <si>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</si>
  <si>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</si>
  <si>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</si>
  <si>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</si>
  <si>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</si>
  <si>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</si>
  <si>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</si>
  <si>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</si>
  <si>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</si>
  <si>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</si>
  <si>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</si>
  <si>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</si>
  <si>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</si>
  <si>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</si>
  <si>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</si>
  <si>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</si>
  <si>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</si>
  <si>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</si>
  <si>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</si>
  <si>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</si>
  <si>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</si>
  <si>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</si>
  <si>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</si>
  <si>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</si>
  <si>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</si>
  <si>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</si>
  <si>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</si>
  <si>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</si>
  <si>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</si>
  <si>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</si>
  <si>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</si>
  <si>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</si>
  <si>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</si>
  <si>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</si>
  <si>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</si>
  <si>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</si>
  <si>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</si>
  <si>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</si>
  <si>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</si>
  <si>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</si>
  <si>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</si>
  <si>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</si>
  <si>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</si>
  <si>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</si>
  <si>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</si>
  <si>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</si>
  <si>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</si>
  <si>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</si>
  <si>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</si>
  <si>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</si>
  <si>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</si>
  <si>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</si>
  <si>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</si>
  <si>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</si>
  <si>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</si>
  <si>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</si>
  <si>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</si>
  <si>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</si>
  <si>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</si>
  <si>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</si>
  <si>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</si>
  <si>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</si>
  <si>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</si>
  <si>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</si>
  <si>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</si>
  <si>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</si>
  <si>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</si>
  <si>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</si>
  <si>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</si>
  <si>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</si>
  <si>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</si>
  <si>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</si>
  <si>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</si>
  <si>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</si>
  <si>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</si>
  <si>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</si>
  <si>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</si>
  <si>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</si>
  <si>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</si>
  <si>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</si>
  <si>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</si>
  <si>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</si>
  <si>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</si>
  <si>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</si>
  <si>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</si>
  <si>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</si>
  <si>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</si>
  <si>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</si>
  <si>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</si>
  <si>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</si>
  <si>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</si>
  <si>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</si>
  <si>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</si>
  <si>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</si>
  <si>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</si>
  <si>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</si>
  <si>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</si>
  <si>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</si>
  <si>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</si>
  <si>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</si>
  <si>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</si>
  <si>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</si>
  <si>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</si>
  <si>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</si>
  <si>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</si>
  <si>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</si>
  <si>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</si>
  <si>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</si>
  <si>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</si>
  <si>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</si>
  <si>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</si>
  <si>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</si>
  <si>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</si>
  <si>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</si>
  <si>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</si>
  <si>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</si>
  <si>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</si>
  <si>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</si>
  <si>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</si>
  <si>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</si>
  <si>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</si>
  <si>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</si>
  <si>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</si>
  <si>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</si>
  <si>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</si>
  <si>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</si>
  <si>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</si>
  <si>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</si>
  <si>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</si>
  <si>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</si>
  <si>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</si>
  <si>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</si>
  <si>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</si>
  <si>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</si>
  <si>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</si>
  <si>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</si>
  <si>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</si>
  <si>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</si>
  <si>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</si>
  <si>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</si>
  <si>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</si>
  <si>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</si>
  <si>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</si>
  <si>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</si>
  <si>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</si>
  <si>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</si>
  <si>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</si>
  <si>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</si>
  <si>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</si>
  <si>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</si>
  <si>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</si>
  <si>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</si>
  <si>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</si>
  <si>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</si>
  <si>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</si>
  <si>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</si>
  <si>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</si>
  <si>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</si>
  <si>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</si>
  <si>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</si>
  <si>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</si>
  <si>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</si>
  <si>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</si>
  <si>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</si>
  <si>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</si>
  <si>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</si>
  <si>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</si>
  <si>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</si>
  <si>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</si>
  <si>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</si>
  <si>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</si>
  <si>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</si>
  <si>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</si>
  <si>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</si>
  <si>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</si>
  <si>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</si>
  <si>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</si>
  <si>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</si>
  <si>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</si>
  <si>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</si>
  <si>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</si>
  <si>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</si>
  <si>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</si>
  <si>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</si>
  <si>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</si>
  <si>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</si>
  <si>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</si>
  <si>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</si>
  <si>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</si>
  <si>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</si>
  <si>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</si>
  <si>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</si>
  <si>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</si>
  <si>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</si>
  <si>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</si>
  <si>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</si>
  <si>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</si>
  <si>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</si>
  <si>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</si>
  <si>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</si>
  <si>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</si>
  <si>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</si>
  <si>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</si>
  <si>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</si>
  <si>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</si>
  <si>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</si>
  <si>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</si>
  <si>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</si>
  <si>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</si>
  <si>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</si>
  <si>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</si>
  <si>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</si>
  <si>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</si>
  <si>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</si>
  <si>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</si>
  <si>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</si>
  <si>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</si>
  <si>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</si>
  <si>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</si>
  <si>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</si>
  <si>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</si>
  <si>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</si>
  <si>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</si>
  <si>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</si>
  <si>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</si>
  <si>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</si>
  <si>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</si>
  <si>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</si>
  <si>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</si>
  <si>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</si>
  <si>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</si>
  <si>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</si>
  <si>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</si>
  <si>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</si>
  <si>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</si>
  <si>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</si>
  <si>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</si>
  <si>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</si>
  <si>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</si>
  <si>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</si>
  <si>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</si>
  <si>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</si>
  <si>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</si>
  <si>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</si>
  <si>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</si>
  <si>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</si>
  <si>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</si>
  <si>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</si>
  <si>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</si>
  <si>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</si>
  <si>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</si>
  <si>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</si>
  <si>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</si>
  <si>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</si>
  <si>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</si>
  <si>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</si>
  <si>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</si>
  <si>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</si>
  <si>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</si>
  <si>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</si>
  <si>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</si>
  <si>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</si>
  <si>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</si>
  <si>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</si>
  <si>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</si>
  <si>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</si>
  <si>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</si>
  <si>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</si>
  <si>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</si>
  <si>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</si>
  <si>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</si>
  <si>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</si>
  <si>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</si>
  <si>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</si>
  <si>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</si>
  <si>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</si>
  <si>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</si>
  <si>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</si>
  <si>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</si>
  <si>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</si>
  <si>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</si>
  <si>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</si>
  <si>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</si>
  <si>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</si>
  <si>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</si>
  <si>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</si>
  <si>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</si>
  <si>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</si>
  <si>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</si>
  <si>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</si>
  <si>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</si>
  <si>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</si>
  <si>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</si>
  <si>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</si>
  <si>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</si>
  <si>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</si>
  <si>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</si>
  <si>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</si>
  <si>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</si>
  <si>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</si>
  <si>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</si>
  <si>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</si>
  <si>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</si>
  <si>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</si>
  <si>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</si>
  <si>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</si>
  <si>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</si>
  <si>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</si>
  <si>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</si>
  <si>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</si>
  <si>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</si>
  <si>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</si>
  <si>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</si>
  <si>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</si>
  <si>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</si>
  <si>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</si>
  <si>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</si>
  <si>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</si>
  <si>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</si>
  <si>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</si>
  <si>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</si>
  <si>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</si>
  <si>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</si>
  <si>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</si>
  <si>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</si>
  <si>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</si>
  <si>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</si>
  <si>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</si>
  <si>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</si>
  <si>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</si>
  <si>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</si>
  <si>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</si>
  <si>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</si>
  <si>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</si>
  <si>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</si>
  <si>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</si>
  <si>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</si>
  <si>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</si>
  <si>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</si>
  <si>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</si>
  <si>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</si>
  <si>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</si>
  <si>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</si>
  <si>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</si>
  <si>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</si>
  <si>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</si>
  <si>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</si>
  <si>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</si>
  <si>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</si>
  <si>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</si>
  <si>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</si>
  <si>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</si>
  <si>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</si>
  <si>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</si>
  <si>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</si>
  <si>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</si>
  <si>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</si>
  <si>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</si>
  <si>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</si>
  <si>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</si>
  <si>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</si>
  <si>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</si>
  <si>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</si>
  <si>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</si>
  <si>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</si>
  <si>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</si>
  <si>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</si>
  <si>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</si>
  <si>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</si>
  <si>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</si>
  <si>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</si>
  <si>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</si>
  <si>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</si>
  <si>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</si>
  <si>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</si>
  <si>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</si>
  <si>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</si>
  <si>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</si>
  <si>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</si>
  <si>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</si>
  <si>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</si>
  <si>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</si>
  <si>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</si>
  <si>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</si>
  <si>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</si>
  <si>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</si>
  <si>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</si>
  <si>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</si>
  <si>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</si>
  <si>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</si>
  <si>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</si>
  <si>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</si>
  <si>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</si>
  <si>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</si>
  <si>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</si>
  <si>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</si>
  <si>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</si>
  <si>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</si>
  <si>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</si>
  <si>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</si>
  <si>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</si>
  <si>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</si>
  <si>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</si>
  <si>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</si>
  <si>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</si>
  <si>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</si>
  <si>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</si>
  <si>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</si>
  <si>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</si>
  <si>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</si>
  <si>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</si>
  <si>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</si>
  <si>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</si>
  <si>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</si>
  <si>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</si>
  <si>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</si>
  <si>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</si>
  <si>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</si>
  <si>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</si>
  <si>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</si>
  <si>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</si>
  <si>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</si>
  <si>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</si>
  <si>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</si>
  <si>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</si>
  <si>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</si>
  <si>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</si>
  <si>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</si>
  <si>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</si>
  <si>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</si>
  <si>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</si>
  <si>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</si>
  <si>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</si>
  <si>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</si>
  <si>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</si>
  <si>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</si>
  <si>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</si>
  <si>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</si>
  <si>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</si>
  <si>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</si>
  <si>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</si>
  <si>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</si>
  <si>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</si>
  <si>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</si>
  <si>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</si>
  <si>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</si>
  <si>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</si>
  <si>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</si>
  <si>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</si>
  <si>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</si>
  <si>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</si>
  <si>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</si>
  <si>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</si>
  <si>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</si>
  <si>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</si>
  <si>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</si>
  <si>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</si>
  <si>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</si>
  <si>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</si>
  <si>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</si>
  <si>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</si>
  <si>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</si>
  <si>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</si>
  <si>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</si>
  <si>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</si>
  <si>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</si>
  <si>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</si>
  <si>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</si>
  <si>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</si>
  <si>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</si>
  <si>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</si>
  <si>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</si>
  <si>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</si>
  <si>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</si>
  <si>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</si>
  <si>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</si>
  <si>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</si>
  <si>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</si>
  <si>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</si>
  <si>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</si>
  <si>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</si>
  <si>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</si>
  <si>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</si>
  <si>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</si>
  <si>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</si>
  <si>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</si>
  <si>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</si>
  <si>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</si>
  <si>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</si>
  <si>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</si>
  <si>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</si>
  <si>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</si>
  <si>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</si>
  <si>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</si>
  <si>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</si>
  <si>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</si>
  <si>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</si>
  <si>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</si>
  <si>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</si>
  <si>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</si>
  <si>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</si>
  <si>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</si>
  <si>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</si>
  <si>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</si>
  <si>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</si>
  <si>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</si>
  <si>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</si>
  <si>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</si>
  <si>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</si>
  <si>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</si>
  <si>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</si>
  <si>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</si>
  <si>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</si>
  <si>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</si>
  <si>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</si>
  <si>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</si>
  <si>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</si>
  <si>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</si>
  <si>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</si>
  <si>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</si>
  <si>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</si>
  <si>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</si>
  <si>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</si>
  <si>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</si>
  <si>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</si>
  <si>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</si>
  <si>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</si>
  <si>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</si>
  <si>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</si>
  <si>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</si>
  <si>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</si>
  <si>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</si>
  <si>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</si>
  <si>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</si>
  <si>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</si>
  <si>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</si>
  <si>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</si>
  <si>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</si>
  <si>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</si>
  <si>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</si>
  <si>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</si>
  <si>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</si>
  <si>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</si>
  <si>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</si>
  <si>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</si>
  <si>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</si>
  <si>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</si>
  <si>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</si>
  <si>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</si>
  <si>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</si>
  <si>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</si>
  <si>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</si>
  <si>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</si>
  <si>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</si>
  <si>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</si>
  <si>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</si>
  <si>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</si>
  <si>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</si>
  <si>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</si>
  <si>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</si>
  <si>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</si>
  <si>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</si>
  <si>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</si>
  <si>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</si>
  <si>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</si>
  <si>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</si>
  <si>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</si>
  <si>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</si>
  <si>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</si>
  <si>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</si>
  <si>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</si>
  <si>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</si>
  <si>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</si>
  <si>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</si>
  <si>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</si>
  <si>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</si>
  <si>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</si>
  <si>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</si>
  <si>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</si>
  <si>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</si>
  <si>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</si>
  <si>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</si>
  <si>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</si>
  <si>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</si>
  <si>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</si>
  <si>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</si>
  <si>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</si>
  <si>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</si>
  <si>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</si>
  <si>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</si>
  <si>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</si>
  <si>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</si>
  <si>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</si>
  <si>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</si>
  <si>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</si>
  <si>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</si>
  <si>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</si>
  <si>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</si>
  <si>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</si>
  <si>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</si>
  <si>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</si>
  <si>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</si>
  <si>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</si>
  <si>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</si>
  <si>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</si>
  <si>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</si>
  <si>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</si>
  <si>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</si>
  <si>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</si>
  <si>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</si>
  <si>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</si>
  <si>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</si>
  <si>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</si>
  <si>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</si>
  <si>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</si>
  <si>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</si>
  <si>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</si>
  <si>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</si>
  <si>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</si>
  <si>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</si>
  <si>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</si>
  <si>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</si>
  <si>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</si>
  <si>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</si>
  <si>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</si>
  <si>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</si>
  <si>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</si>
  <si>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</si>
  <si>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</si>
  <si>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</si>
  <si>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</si>
  <si>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</si>
  <si>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</si>
  <si>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</si>
  <si>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</si>
  <si>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</si>
  <si>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</si>
  <si>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</si>
  <si>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</si>
  <si>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</si>
  <si>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</si>
  <si>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</si>
  <si>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</si>
  <si>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</si>
  <si>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</si>
  <si>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</si>
  <si>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</si>
  <si>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</si>
  <si>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</si>
  <si>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</si>
  <si>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</si>
  <si>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</si>
  <si>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</si>
  <si>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</si>
  <si>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</si>
  <si>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</si>
  <si>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</si>
  <si>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</si>
  <si>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</si>
  <si>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</si>
  <si>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</si>
  <si>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</si>
  <si>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</si>
  <si>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</si>
  <si>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</si>
  <si>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</si>
  <si>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</si>
  <si>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</si>
  <si>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</si>
  <si>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</si>
  <si>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</si>
  <si>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</si>
  <si>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</si>
  <si>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</si>
  <si>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</si>
  <si>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</si>
  <si>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</si>
  <si>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</si>
  <si>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</si>
  <si>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</si>
  <si>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</si>
  <si>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</si>
  <si>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</si>
  <si>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</si>
  <si>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</si>
  <si>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</si>
  <si>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</si>
  <si>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</si>
  <si>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</si>
  <si>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</si>
  <si>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</si>
  <si>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</si>
  <si>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</si>
  <si>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</si>
  <si>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</si>
  <si>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</si>
  <si>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</si>
  <si>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</si>
  <si>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</si>
  <si>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</si>
  <si>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</si>
  <si>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</si>
  <si>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</si>
  <si>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</si>
  <si>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</si>
  <si>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</si>
  <si>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</si>
  <si>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</si>
  <si>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</si>
  <si>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</si>
  <si>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</si>
  <si>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</si>
  <si>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</si>
  <si>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</si>
  <si>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</si>
  <si>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</si>
  <si>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</si>
  <si>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</si>
  <si>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</si>
  <si>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</si>
  <si>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</si>
  <si>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</si>
  <si>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</si>
  <si>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</si>
  <si>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</si>
  <si>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</si>
  <si>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</si>
  <si>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</si>
  <si>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</si>
  <si>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</si>
  <si>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</si>
  <si>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</si>
  <si>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</si>
  <si>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</si>
  <si>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</si>
  <si>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</si>
  <si>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</si>
  <si>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</si>
  <si>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</si>
  <si>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</si>
  <si>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</si>
  <si>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</si>
  <si>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</si>
  <si>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</si>
  <si>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</si>
  <si>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</si>
  <si>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</si>
  <si>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</si>
  <si>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</si>
  <si>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</si>
  <si>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</si>
  <si>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</si>
  <si>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</si>
  <si>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</si>
  <si>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</si>
  <si>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</si>
  <si>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</si>
  <si>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</si>
  <si>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</si>
  <si>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</si>
  <si>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</si>
  <si>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</si>
  <si>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</si>
  <si>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</si>
  <si>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</si>
  <si>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</si>
  <si>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</si>
  <si>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</si>
  <si>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</si>
  <si>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</si>
  <si>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</si>
  <si>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</si>
  <si>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</si>
  <si>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</si>
  <si>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</si>
  <si>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</si>
  <si>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</si>
  <si>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</si>
  <si>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</si>
  <si>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</si>
  <si>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</si>
  <si>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</si>
  <si>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</si>
  <si>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</si>
  <si>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</si>
  <si>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Joan López Frasquet</t>
  </si>
  <si>
    <t>1900x2300 mm</t>
  </si>
  <si>
    <t>35007 - Techo vista, 3 m, 2 uds.</t>
  </si>
  <si>
    <t>35040 - 60 Kgrs</t>
  </si>
  <si>
    <t>35037 - 60 Kgrs</t>
  </si>
  <si>
    <t>35056 - L 30x180</t>
  </si>
  <si>
    <t>Inferior, Arrastre</t>
  </si>
  <si>
    <t>Decor corredera 2H2C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</si>
</sst>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22411</xdr:colOff>
      <xdr:row>14</xdr:row>
      <xdr:rowOff>11206</xdr:rowOff>
    </xdr:from>
    <xdr:to>
      <xdr:col>6</xdr:col>
      <xdr:colOff>63242</xdr:colOff>
      <xdr:row>25</xdr:row>
      <xdr:rowOff>75706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D77759-5B9F-0BB0-88B1-0664FC24B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470" y="2823882"/>
          <a:ext cx="3032801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topLeftCell="A4" zoomScale="60" zoomScaleNormal="95" workbookViewId="0">
      <selection activeCell="C9" sqref="C9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20250047</v>
      </c>
      <c r="G7" s="8">
        <f ca="1">TODAY()</f>
        <v>45715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1454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167</v>
      </c>
      <c r="C13" s="82" t="str">
        <f>IFERROR(VLOOKUP($B13,Tarifa_all_20240711!$A$2:$G$660,2,FALSE()),"-")</f>
        <v>GUIA SUP TECHO PLUS LAC.NEGRO MATE-3 MTS</v>
      </c>
      <c r="D13" s="82"/>
      <c r="E13" s="17">
        <v>2</v>
      </c>
      <c r="F13" s="18">
        <f>IFERROR(VLOOKUP($B13,Tarifa_all_20240711!$A$2:$G$660,5,FALSE()),"-")</f>
        <v>65.19</v>
      </c>
      <c r="G13" s="18">
        <f t="shared" ref="G13:G30" si="0">IFERROR(E13*F13,"-")</f>
        <v>130.38</v>
      </c>
      <c r="H13" s="1"/>
    </row>
    <row r="14" spans="1:12" x14ac:dyDescent="0.25">
      <c r="A14" t="s">
        <v>15</v>
      </c>
      <c r="B14" s="16" t="s">
        <v>1439</v>
      </c>
      <c r="C14" s="82" t="str">
        <f>IFERROR(VLOOKUP($B14,Tarifa_all_20240711!$A$2:$G$660,2,FALSE()),"-")</f>
        <v>TAPETA LAT. GUIA TECHO NEGRO</v>
      </c>
      <c r="D14" s="82"/>
      <c r="E14" s="17">
        <v>4</v>
      </c>
      <c r="F14" s="18">
        <f>IFERROR(VLOOKUP($B14,Tarifa_all_20240711!$A$2:$G$660,5,FALSE()),"-")</f>
        <v>10.484999999999999</v>
      </c>
      <c r="G14" s="18">
        <f t="shared" si="0"/>
        <v>41.94</v>
      </c>
      <c r="H14" s="1"/>
    </row>
    <row r="15" spans="1:12" x14ac:dyDescent="0.25">
      <c r="A15" t="s">
        <v>16</v>
      </c>
      <c r="B15" s="16"/>
      <c r="C15" s="82" t="str">
        <f>IFERROR(VLOOKUP($B15,Tarifa_all_20240711!$A$2:$G$660,2,FALSE()),"-")</f>
        <v>-</v>
      </c>
      <c r="D15" s="82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82" t="str">
        <f>IFERROR(VLOOKUP($B16,Tarifa_all_20240711!$A$2:$G$660,2,FALSE()),"-")</f>
        <v>KIT AMORTIGUADOR SKY BIDIRECCIONAL 60KG</v>
      </c>
      <c r="D16" s="82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130</v>
      </c>
      <c r="C17" s="82" t="str">
        <f>IFERROR(VLOOKUP($B17,Tarifa_all_20240711!$A$2:$G$660,2,FALSE()),"-")</f>
        <v>KIT PUERTA PA CORREDERA LAC.NEGRO TEXTURADO</v>
      </c>
      <c r="D17" s="82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331</v>
      </c>
      <c r="C18" s="82" t="str">
        <f>IFERROR(VLOOKUP($B18,Tarifa_all_20240711!$A$2:$G$660,2,FALSE()),"-")</f>
        <v>CARRO SKY MADERA 60KG</v>
      </c>
      <c r="D18" s="82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513</v>
      </c>
      <c r="C19" s="82" t="str">
        <f>IFERROR(VLOOKUP($B19,Tarifa_all_20240711!$A$2:$G$660,2,FALSE()),"-")</f>
        <v>TIRADOR L 30X180 LAC.NEGRO TEXTURADO: 2 UDS</v>
      </c>
      <c r="D19" s="82"/>
      <c r="E19" s="17">
        <v>2</v>
      </c>
      <c r="F19" s="18">
        <f>IFERROR(VLOOKUP($B19,Tarifa_all_20240711!$A$2:$G$660,5,FALSE()),"-")</f>
        <v>52.005000000000003</v>
      </c>
      <c r="G19" s="18">
        <f t="shared" si="0"/>
        <v>104.01</v>
      </c>
      <c r="H19" s="1"/>
    </row>
    <row r="20" spans="1:8" x14ac:dyDescent="0.25">
      <c r="A20" t="s">
        <v>21</v>
      </c>
      <c r="B20" s="16" t="s">
        <v>1132</v>
      </c>
      <c r="C20" s="82" t="str">
        <f>IFERROR(VLOOKUP($B20,Tarifa_all_20240711!$A$2:$G$660,2,FALSE()),"-")</f>
        <v>GUIADOR FIJO PA LAC.NEGRO TEXTURADO</v>
      </c>
      <c r="D20" s="82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76" t="s">
        <v>139</v>
      </c>
      <c r="C21" s="83" t="str">
        <f>IFERROR(VLOOKUP($B21,Tarifa_all_20240711!$A$2:$G$660,2,FALSE()),"-")</f>
        <v>PERFIL EMBELL.HORIZ. ADH LAC.NEGRO TEXTURADO</v>
      </c>
      <c r="D21" s="83"/>
      <c r="E21" s="77">
        <v>14</v>
      </c>
      <c r="F21" s="78">
        <f>IFERROR(VLOOKUP($B21,Tarifa_all_20240711!$A$2:$G$660,5,FALSE()),"-")</f>
        <v>21.794999999999998</v>
      </c>
      <c r="G21" s="78">
        <f t="shared" si="0"/>
        <v>305.13</v>
      </c>
      <c r="H21" s="1"/>
    </row>
    <row r="22" spans="1:8" x14ac:dyDescent="0.25">
      <c r="B22" s="16" t="s">
        <v>324</v>
      </c>
      <c r="C22" s="82" t="str">
        <f>IFERROR(VLOOKUP($B22,Tarifa_all_20240711!$A$2:$G$660,2,FALSE()),"-")</f>
        <v>ARRASTRE PUERTA PA DCHA LAC.NEGRO MATE</v>
      </c>
      <c r="D22" s="82"/>
      <c r="E22" s="17">
        <v>1</v>
      </c>
      <c r="F22" s="18">
        <f>IFERROR(VLOOKUP($B22,Tarifa_all_20240711!$A$2:$G$660,5,FALSE()),"-")</f>
        <v>13.86</v>
      </c>
      <c r="G22" s="18">
        <f t="shared" si="0"/>
        <v>13.86</v>
      </c>
      <c r="H22" s="1"/>
    </row>
    <row r="23" spans="1:8" x14ac:dyDescent="0.25">
      <c r="B23" s="16" t="s">
        <v>329</v>
      </c>
      <c r="C23" s="82" t="str">
        <f>IFERROR(VLOOKUP($B23,Tarifa_all_20240711!$A$2:$G$660,2,FALSE()),"-")</f>
        <v>ARRASTRE PUERTA PA IZQ LAC.NEGRO MATE</v>
      </c>
      <c r="D23" s="82"/>
      <c r="E23" s="17">
        <v>1</v>
      </c>
      <c r="F23" s="18">
        <f>IFERROR(VLOOKUP($B23,Tarifa_all_20240711!$A$2:$G$660,5,FALSE()),"-")</f>
        <v>13.86</v>
      </c>
      <c r="G23" s="18">
        <f t="shared" si="0"/>
        <v>13.86</v>
      </c>
      <c r="H23" s="1"/>
    </row>
    <row r="24" spans="1:8" x14ac:dyDescent="0.25">
      <c r="B24" s="16"/>
      <c r="C24" s="82" t="str">
        <f>IFERROR(VLOOKUP($B24,Tarifa_all_20240711!$A$2:$G$660,2,FALSE()),"-")</f>
        <v>-</v>
      </c>
      <c r="D24" s="82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2" t="str">
        <f>IFERROR(VLOOKUP($B25,Tarifa_all_20240711!$A$2:$G$660,2,FALSE()),"-")</f>
        <v>-</v>
      </c>
      <c r="D25" s="82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2" t="str">
        <f>IFERROR(VLOOKUP($B26,Tarifa_all_20240711!$A$2:$G$660,2,FALSE()),"-")</f>
        <v>-</v>
      </c>
      <c r="D26" s="82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2" t="str">
        <f>IFERROR(VLOOKUP($B27,Tarifa_all_20240711!$A$2:$G$660,2,FALSE()),"-")</f>
        <v>-</v>
      </c>
      <c r="D27" s="82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2" t="str">
        <f>IFERROR(VLOOKUP($B28,Tarifa_all_20240711!$A$2:$G$660,2,FALSE()),"-")</f>
        <v>-</v>
      </c>
      <c r="D28" s="82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1152.1799999999998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I59"/>
  <sheetViews>
    <sheetView tabSelected="1" view="pageBreakPreview" zoomScale="60" zoomScaleNormal="85" workbookViewId="0">
      <selection activeCell="I47" sqref="I4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Joan López Frasquet</v>
      </c>
      <c r="C9" s="90"/>
      <c r="D9" s="90"/>
      <c r="F9" s="3" t="s">
        <v>81</v>
      </c>
      <c r="G9" s="44">
        <f ca="1">TODAY()</f>
        <v>45715</v>
      </c>
    </row>
    <row r="10" spans="1:7" x14ac:dyDescent="0.25">
      <c r="A10" s="3" t="s">
        <v>82</v>
      </c>
      <c r="B10" s="11" t="str">
        <f>'DESPIECE (MATANALYSIS)'!C9</f>
        <v>Decor corredera 2H2C</v>
      </c>
      <c r="C10" s="45"/>
      <c r="D10" s="45"/>
      <c r="E10" s="46"/>
      <c r="F10" s="47" t="s">
        <v>83</v>
      </c>
      <c r="G10" s="7">
        <f>'DESPIECE (MATANALYSIS)'!C7</f>
        <v>20250047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9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9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9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9" x14ac:dyDescent="0.25">
      <c r="A36" s="56" t="s">
        <v>1413</v>
      </c>
      <c r="B36" s="55" t="s">
        <v>1450</v>
      </c>
      <c r="C36" s="55"/>
      <c r="D36" s="55"/>
      <c r="E36" s="55"/>
      <c r="F36" s="55"/>
      <c r="G36" s="55"/>
    </row>
    <row r="37" spans="1:9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9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9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9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9" x14ac:dyDescent="0.25">
      <c r="A41" s="56"/>
      <c r="B41" s="55"/>
      <c r="C41" s="55"/>
      <c r="D41" s="55"/>
      <c r="E41" s="55"/>
      <c r="F41" s="55"/>
      <c r="G41" s="55"/>
    </row>
    <row r="42" spans="1:9" x14ac:dyDescent="0.25">
      <c r="A42" s="52" t="s">
        <v>93</v>
      </c>
      <c r="B42" s="43"/>
      <c r="C42" s="55"/>
      <c r="D42" s="55"/>
      <c r="E42" s="55"/>
      <c r="F42" s="55"/>
      <c r="G42" s="55"/>
    </row>
    <row r="43" spans="1:9" x14ac:dyDescent="0.25">
      <c r="A43" s="57" t="s">
        <v>94</v>
      </c>
      <c r="B43" s="54"/>
      <c r="C43" s="54"/>
      <c r="D43" s="54"/>
      <c r="E43" s="54"/>
      <c r="F43" s="54"/>
      <c r="G43" s="54"/>
    </row>
    <row r="44" spans="1:9" x14ac:dyDescent="0.25">
      <c r="A44" s="57"/>
      <c r="B44" s="54"/>
      <c r="C44" s="54"/>
      <c r="D44" s="54"/>
      <c r="E44" s="54"/>
      <c r="F44" s="54"/>
      <c r="G44" s="54"/>
    </row>
    <row r="45" spans="1:9" x14ac:dyDescent="0.25">
      <c r="A45" s="58"/>
      <c r="B45" s="58"/>
      <c r="C45" s="58"/>
      <c r="D45" s="58"/>
      <c r="E45" s="58"/>
      <c r="F45" s="58"/>
      <c r="G45" s="58"/>
    </row>
    <row r="46" spans="1:9" ht="22.7" customHeight="1" x14ac:dyDescent="0.25">
      <c r="A46" s="85"/>
      <c r="B46" s="85"/>
      <c r="C46" s="71"/>
      <c r="D46" s="71"/>
      <c r="E46" s="71"/>
      <c r="F46" s="72"/>
      <c r="G46" s="73"/>
    </row>
    <row r="47" spans="1:9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(MATANALYSIS)'!G31*(1+I47)</f>
        <v>1267.3979999999999</v>
      </c>
      <c r="G47" s="87"/>
      <c r="I47" s="91">
        <v>0.1</v>
      </c>
    </row>
    <row r="48" spans="1:9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2025-02-27T09:12:26Z</dcterms:modified>
  <dc:language>es-ES</dc:language>
</cp:coreProperties>
</file>