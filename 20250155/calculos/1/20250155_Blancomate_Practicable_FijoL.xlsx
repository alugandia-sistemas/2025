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ownloads\"/>
    </mc:Choice>
  </mc:AlternateContent>
  <xr:revisionPtr revIDLastSave="0" documentId="13_ncr:11_{02FF1715-1E06-4D07-9D3C-16AA7E48DA1E}" xr6:coauthVersionLast="47" xr6:coauthVersionMax="47" xr10:uidLastSave="{00000000-0000-0000-0000-000000000000}"/>
  <bookViews>
    <workbookView xWindow="-14505" yWindow="0" windowWidth="14610" windowHeight="1558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0" l="1"/>
  <c r="H17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<sst xmlns="http://schemas.openxmlformats.org/spreadsheetml/2006/main" count="5403" uniqueCount="1449">
  <si>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</si>
  <si>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</si>
  <si>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</si>
  <si>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</si>
  <si>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</si>
  <si>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</si>
  <si>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</si>
  <si>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</si>
  <si>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</si>
  <si>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</si>
  <si>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</si>
  <si>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</si>
  <si>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</si>
  <si>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</si>
  <si>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</si>
  <si>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</si>
  <si>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</si>
  <si>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</si>
  <si>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</si>
  <si>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</si>
  <si>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</si>
  <si>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</si>
  <si>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</si>
  <si>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</si>
  <si>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</si>
  <si>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</si>
  <si>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</si>
  <si>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</si>
  <si>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</si>
  <si>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</si>
  <si>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</si>
  <si>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</si>
  <si>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</si>
  <si>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</si>
  <si>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</si>
  <si>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</si>
  <si>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</si>
  <si>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</si>
  <si>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</si>
  <si>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</si>
  <si>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</si>
  <si>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</si>
  <si>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</si>
  <si>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</si>
  <si>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</si>
  <si>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</si>
  <si>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</si>
  <si>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</si>
  <si>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</si>
  <si>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</si>
  <si>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</si>
  <si>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</si>
  <si>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</si>
  <si>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</si>
  <si>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</si>
  <si>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</si>
  <si>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</si>
  <si>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</si>
  <si>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</si>
  <si>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</si>
  <si>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</si>
  <si>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</si>
  <si>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</si>
  <si>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</si>
  <si>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</si>
  <si>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</si>
  <si>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</si>
  <si>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</si>
  <si>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</si>
  <si>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</si>
  <si>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</si>
  <si>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</si>
  <si>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</si>
  <si>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</si>
  <si>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</si>
  <si>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</si>
  <si>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</si>
  <si>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</si>
  <si>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</si>
  <si>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</si>
  <si>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</si>
  <si>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</si>
  <si>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</si>
  <si>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</si>
  <si>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</si>
  <si>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</si>
  <si>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</si>
  <si>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</si>
  <si>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</si>
  <si>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</si>
  <si>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</si>
  <si>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</si>
  <si>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</si>
  <si>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</si>
  <si>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</si>
  <si>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</si>
  <si>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</si>
  <si>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</si>
  <si>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</si>
  <si>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</si>
  <si>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</si>
  <si>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</si>
  <si>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</si>
  <si>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</si>
  <si>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</si>
  <si>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</si>
  <si>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</si>
  <si>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</si>
  <si>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</si>
  <si>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</si>
  <si>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</si>
  <si>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</si>
  <si>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</si>
  <si>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</si>
  <si>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</si>
  <si>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</si>
  <si>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</si>
  <si>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</si>
  <si>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</si>
  <si>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</si>
  <si>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</si>
  <si>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</si>
  <si>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</si>
  <si>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</si>
  <si>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</si>
  <si>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</si>
  <si>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</si>
  <si>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</si>
  <si>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</si>
  <si>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</si>
  <si>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</si>
  <si>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</si>
  <si>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</si>
  <si>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</si>
  <si>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</si>
  <si>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</si>
  <si>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</si>
  <si>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</si>
  <si>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</si>
  <si>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</si>
  <si>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</si>
  <si>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</si>
  <si>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</si>
  <si>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</si>
  <si>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</si>
  <si>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</si>
  <si>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</si>
  <si>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</si>
  <si>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</si>
  <si>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</si>
  <si>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</si>
  <si>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</si>
  <si>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</si>
  <si>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</si>
  <si>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</si>
  <si>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</si>
  <si>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</si>
  <si>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</si>
  <si>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</si>
  <si>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</si>
  <si>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</si>
  <si>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</si>
  <si>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</si>
  <si>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</si>
  <si>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</si>
  <si>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</si>
  <si>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</si>
  <si>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</si>
  <si>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</si>
  <si>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</si>
  <si>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</si>
  <si>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</si>
  <si>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</si>
  <si>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</si>
  <si>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</si>
  <si>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</si>
  <si>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</si>
  <si>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</si>
  <si>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</si>
  <si>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</si>
  <si>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</si>
  <si>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</si>
  <si>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</si>
  <si>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</si>
  <si>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</si>
  <si>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</si>
  <si>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</si>
  <si>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</si>
  <si>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</si>
  <si>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</si>
  <si>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</si>
  <si>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</si>
  <si>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</si>
  <si>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</si>
  <si>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</si>
  <si>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</si>
  <si>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</si>
  <si>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</si>
  <si>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</si>
  <si>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</si>
  <si>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</si>
  <si>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</si>
  <si>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</si>
  <si>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</si>
  <si>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</si>
  <si>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</si>
  <si>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</si>
  <si>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</si>
  <si>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</si>
  <si>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</si>
  <si>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</si>
  <si>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</si>
  <si>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</si>
  <si>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</si>
  <si>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</si>
  <si>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</si>
  <si>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</si>
  <si>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</si>
  <si>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</si>
  <si>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</si>
  <si>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</si>
  <si>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</si>
  <si>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</si>
  <si>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</si>
  <si>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</si>
  <si>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</si>
  <si>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</si>
  <si>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</si>
  <si>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</si>
  <si>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</si>
  <si>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</si>
  <si>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</si>
  <si>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</si>
  <si>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</si>
  <si>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</si>
  <si>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</si>
  <si>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</si>
  <si>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</si>
  <si>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</si>
  <si>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</si>
  <si>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</si>
  <si>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</si>
  <si>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</si>
  <si>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</si>
  <si>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</si>
  <si>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</si>
  <si>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</si>
  <si>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</si>
  <si>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</si>
  <si>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</si>
  <si>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</si>
  <si>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</si>
  <si>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</si>
  <si>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</si>
  <si>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</si>
  <si>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</si>
  <si>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</si>
  <si>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</si>
  <si>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</si>
  <si>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</si>
  <si>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</si>
  <si>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</si>
  <si>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</si>
  <si>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</si>
  <si>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</si>
  <si>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</si>
  <si>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</si>
  <si>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</si>
  <si>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</si>
  <si>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</si>
  <si>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</si>
  <si>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</si>
  <si>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</si>
  <si>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</si>
  <si>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</si>
  <si>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</si>
  <si>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</si>
  <si>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</si>
  <si>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</si>
  <si>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</si>
  <si>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</si>
  <si>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</si>
  <si>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</si>
  <si>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</si>
  <si>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</si>
  <si>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</si>
  <si>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</si>
  <si>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</si>
  <si>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</si>
  <si>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</si>
  <si>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</si>
  <si>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</si>
  <si>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</si>
  <si>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</si>
  <si>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</si>
  <si>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</si>
  <si>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</si>
  <si>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</si>
  <si>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</si>
  <si>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</si>
  <si>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</si>
  <si>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</si>
  <si>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</si>
  <si>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</si>
  <si>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</si>
  <si>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</si>
  <si>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</si>
  <si>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</si>
  <si>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</si>
  <si>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</si>
  <si>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</si>
  <si>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</si>
  <si>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</si>
  <si>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</si>
  <si>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</si>
  <si>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</si>
  <si>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</si>
  <si>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</si>
  <si>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</si>
  <si>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</si>
  <si>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</si>
  <si>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</si>
  <si>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</si>
  <si>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</si>
  <si>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</si>
  <si>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</si>
  <si>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</si>
  <si>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</si>
  <si>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</si>
  <si>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</si>
  <si>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</si>
  <si>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</si>
  <si>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</si>
  <si>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</si>
  <si>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</si>
  <si>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</si>
  <si>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</si>
  <si>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</si>
  <si>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</si>
  <si>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</si>
  <si>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</si>
  <si>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</si>
  <si>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</si>
  <si>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</si>
  <si>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</si>
  <si>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</si>
  <si>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</si>
  <si>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</si>
  <si>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</si>
  <si>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</si>
  <si>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</si>
  <si>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</si>
  <si>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</si>
  <si>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</si>
  <si>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</si>
  <si>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</si>
  <si>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</si>
  <si>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</si>
  <si>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</si>
  <si>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</si>
  <si>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</si>
  <si>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</si>
  <si>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</si>
  <si>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</si>
  <si>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</si>
  <si>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</si>
  <si>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</si>
  <si>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</si>
  <si>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</si>
  <si>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</si>
  <si>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</si>
  <si>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</si>
  <si>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</si>
  <si>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</si>
  <si>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</si>
  <si>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</si>
  <si>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</si>
  <si>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</si>
  <si>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</si>
  <si>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</si>
  <si>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</si>
  <si>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</si>
  <si>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</si>
  <si>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</si>
  <si>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</si>
  <si>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</si>
  <si>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</si>
  <si>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</si>
  <si>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</si>
  <si>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</si>
  <si>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</si>
  <si>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</si>
  <si>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</si>
  <si>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</si>
  <si>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</si>
  <si>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</si>
  <si>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</si>
  <si>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</si>
  <si>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</si>
  <si>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</si>
  <si>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</si>
  <si>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</si>
  <si>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</si>
  <si>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</si>
  <si>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</si>
  <si>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</si>
  <si>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</si>
  <si>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</si>
  <si>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</si>
  <si>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</si>
  <si>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</si>
  <si>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</si>
  <si>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</si>
  <si>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</si>
  <si>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</si>
  <si>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</si>
  <si>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</si>
  <si>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</si>
  <si>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</si>
  <si>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</si>
  <si>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</si>
  <si>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</si>
  <si>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</si>
  <si>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</si>
  <si>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</si>
  <si>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</si>
  <si>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</si>
  <si>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</si>
  <si>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</si>
  <si>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</si>
  <si>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</si>
  <si>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</si>
  <si>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</si>
  <si>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</si>
  <si>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</si>
  <si>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</si>
  <si>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</si>
  <si>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</si>
  <si>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</si>
  <si>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</si>
  <si>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</si>
  <si>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</si>
  <si>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</si>
  <si>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</si>
  <si>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</si>
  <si>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</si>
  <si>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</si>
  <si>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</si>
  <si>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</si>
  <si>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</si>
  <si>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</si>
  <si>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</si>
  <si>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</si>
  <si>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</si>
  <si>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</si>
  <si>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</si>
  <si>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</si>
  <si>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</si>
  <si>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</si>
  <si>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</si>
  <si>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</si>
  <si>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</si>
  <si>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</si>
  <si>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</si>
  <si>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</si>
  <si>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</si>
  <si>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</si>
  <si>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</si>
  <si>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</si>
  <si>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</si>
  <si>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</si>
  <si>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</si>
  <si>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</si>
  <si>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</si>
  <si>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</si>
  <si>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</si>
  <si>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</si>
  <si>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</si>
  <si>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</si>
  <si>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</si>
  <si>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</si>
  <si>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</si>
  <si>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</si>
  <si>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</si>
  <si>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</si>
  <si>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</si>
  <si>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</si>
  <si>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</si>
  <si>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</si>
  <si>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</si>
  <si>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</si>
  <si>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</si>
  <si>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</si>
  <si>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</si>
  <si>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</si>
  <si>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</si>
  <si>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</si>
  <si>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</si>
  <si>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</si>
  <si>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</si>
  <si>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</si>
  <si>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</si>
  <si>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</si>
  <si>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</si>
  <si>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</si>
  <si>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</si>
  <si>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</si>
  <si>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</si>
  <si>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</si>
  <si>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</si>
  <si>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</si>
  <si>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</si>
  <si>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</si>
  <si>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</si>
  <si>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</si>
  <si>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</si>
  <si>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</si>
  <si>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</si>
  <si>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</si>
  <si>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</si>
  <si>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</si>
  <si>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</si>
  <si>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</si>
  <si>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</si>
  <si>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</si>
  <si>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</si>
  <si>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</si>
  <si>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</si>
  <si>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</si>
  <si>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</si>
  <si>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</si>
  <si>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</si>
  <si>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</si>
  <si>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</si>
  <si>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</si>
  <si>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</si>
  <si>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</si>
  <si>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</si>
  <si>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</si>
  <si>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</si>
  <si>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</si>
  <si>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</si>
  <si>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</si>
  <si>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</si>
  <si>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</si>
  <si>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</si>
  <si>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</si>
  <si>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</si>
  <si>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</si>
  <si>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</si>
  <si>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</si>
  <si>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</si>
  <si>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</si>
  <si>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</si>
  <si>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</si>
  <si>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</si>
  <si>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</si>
  <si>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</si>
  <si>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</si>
  <si>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</si>
  <si>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</si>
  <si>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</si>
  <si>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</si>
  <si>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</si>
  <si>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</si>
  <si>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</si>
  <si>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</si>
  <si>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</si>
  <si>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</si>
  <si>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</si>
  <si>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</si>
  <si>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</si>
  <si>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</si>
  <si>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</si>
  <si>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</si>
  <si>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</si>
  <si>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</si>
  <si>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</si>
  <si>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</si>
  <si>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</si>
  <si>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</si>
  <si>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</si>
  <si>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</si>
  <si>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</si>
  <si>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</si>
  <si>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</si>
  <si>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</si>
  <si>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</si>
  <si>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</si>
  <si>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</si>
  <si>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</si>
  <si>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</si>
  <si>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</si>
  <si>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</si>
  <si>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</si>
  <si>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</si>
  <si>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</si>
  <si>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</si>
  <si>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</si>
  <si>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</si>
  <si>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</si>
  <si>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</si>
  <si>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</si>
  <si>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</si>
  <si>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</si>
  <si>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</si>
  <si>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</si>
  <si>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</si>
  <si>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</si>
  <si>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</si>
  <si>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</si>
  <si>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</si>
  <si>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</si>
  <si>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</si>
  <si>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</si>
  <si>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</si>
  <si>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</si>
  <si>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</si>
  <si>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</si>
  <si>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</si>
  <si>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</si>
  <si>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</si>
  <si>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</si>
  <si>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</si>
  <si>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</si>
  <si>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</si>
  <si>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</si>
  <si>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</si>
  <si>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</si>
  <si>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</si>
  <si>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</si>
  <si>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</si>
  <si>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</si>
  <si>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</si>
  <si>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</si>
  <si>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</si>
  <si>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</si>
  <si>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</si>
  <si>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</si>
  <si>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</si>
  <si>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</si>
  <si>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</si>
  <si>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</si>
  <si>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</si>
  <si>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</si>
  <si>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</si>
  <si>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</si>
  <si>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</si>
  <si>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</si>
  <si>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</si>
  <si>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</si>
  <si>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</si>
  <si>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</si>
  <si>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</si>
  <si>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</si>
  <si>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</si>
  <si>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</si>
  <si>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</si>
  <si>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</si>
  <si>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</si>
  <si>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</si>
  <si>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</si>
  <si>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</si>
  <si>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</si>
  <si>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</si>
  <si>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</si>
  <si>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</si>
  <si>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</si>
  <si>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</si>
  <si>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</si>
  <si>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</si>
  <si>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</si>
  <si>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</si>
  <si>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</si>
  <si>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</si>
  <si>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</si>
  <si>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</si>
  <si>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</si>
  <si>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</si>
  <si>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</si>
  <si>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</si>
  <si>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</si>
  <si>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</si>
  <si>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</si>
  <si>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</si>
  <si>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</si>
  <si>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</si>
  <si>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</si>
  <si>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</si>
  <si>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</si>
  <si>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</si>
  <si>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</si>
  <si>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</si>
  <si>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</si>
  <si>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</si>
  <si>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</si>
  <si>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</si>
  <si>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</si>
  <si>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</si>
  <si>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</si>
  <si>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</si>
  <si>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</si>
  <si>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</si>
  <si>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</si>
  <si>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</si>
  <si>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</si>
  <si>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</si>
  <si>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</si>
  <si>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</si>
  <si>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</si>
  <si>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</si>
  <si>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</si>
  <si>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</si>
  <si>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</si>
  <si>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</si>
  <si>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</si>
  <si>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</si>
  <si>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</si>
  <si>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</si>
  <si>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</si>
  <si>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</si>
  <si>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</si>
  <si>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</si>
  <si>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</si>
  <si>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</si>
  <si>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</si>
  <si>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</si>
  <si>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</si>
  <si>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</si>
  <si>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</si>
  <si>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</si>
  <si>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</si>
  <si>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</si>
  <si>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</si>
  <si>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</si>
  <si>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</si>
  <si>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</si>
  <si>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</si>
  <si>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</si>
  <si>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</si>
  <si>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</si>
  <si>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</si>
  <si>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</si>
  <si>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</si>
  <si>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</si>
  <si>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</si>
  <si>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</si>
  <si>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</si>
  <si>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</si>
  <si>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</si>
  <si>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</si>
  <si>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</si>
  <si>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</si>
  <si>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</si>
  <si>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</si>
  <si>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</si>
  <si>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</si>
  <si>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</si>
  <si>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</si>
  <si>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</si>
  <si>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</si>
  <si>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</si>
  <si>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</si>
  <si>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</si>
  <si>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</si>
  <si>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</si>
  <si>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</si>
  <si>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</si>
  <si>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</si>
  <si>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</si>
  <si>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</si>
  <si>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</si>
  <si>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</si>
  <si>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</si>
  <si>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</si>
  <si>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</si>
  <si>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</si>
  <si>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</si>
  <si>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</si>
  <si>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</si>
  <si>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</si>
  <si>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</si>
  <si>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</si>
  <si>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</si>
  <si>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</si>
  <si>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</si>
  <si>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</si>
  <si>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</si>
  <si>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</si>
  <si>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</si>
  <si>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</si>
  <si>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</si>
  <si>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</si>
  <si>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</si>
  <si>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</si>
  <si>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</si>
  <si>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</si>
  <si>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</si>
  <si>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</si>
  <si>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</si>
  <si>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</si>
  <si>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</si>
  <si>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</si>
  <si>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</si>
  <si>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</si>
  <si>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</si>
  <si>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</si>
  <si>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</si>
  <si>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</si>
  <si>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</si>
  <si>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</si>
  <si>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</si>
  <si>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</si>
  <si>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</si>
  <si>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</si>
  <si>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</si>
  <si>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</si>
  <si>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</si>
  <si>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</si>
  <si>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</si>
  <si>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</si>
  <si>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</si>
  <si>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</si>
  <si>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</si>
  <si>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</si>
  <si>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</si>
  <si>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</si>
  <si>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</si>
  <si>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</si>
  <si>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</si>
  <si>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</si>
  <si>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</si>
  <si>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</si>
  <si>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</si>
  <si>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</si>
  <si>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</si>
  <si>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</si>
  <si>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</si>
  <si>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</si>
  <si>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</si>
  <si>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</si>
  <si>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</si>
  <si>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</si>
  <si>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</si>
  <si>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</si>
  <si>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</si>
  <si>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</si>
  <si>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</si>
  <si>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</si>
  <si>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</si>
  <si>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</si>
  <si>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</si>
  <si>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</si>
  <si>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</si>
  <si>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</si>
  <si>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</si>
  <si>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</si>
  <si>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</si>
  <si>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</si>
  <si>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</si>
  <si>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</si>
  <si>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</si>
  <si>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</si>
  <si>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</si>
  <si>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</si>
  <si>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</si>
  <si>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</si>
  <si>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</si>
  <si>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</si>
  <si>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</si>
  <si>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</si>
  <si>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</si>
  <si>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</si>
  <si>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</si>
  <si>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</si>
  <si>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</si>
  <si>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</si>
  <si>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</si>
  <si>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</si>
  <si>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</si>
  <si>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</si>
  <si>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</si>
  <si>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</si>
  <si>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</si>
  <si>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</si>
  <si>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</si>
  <si>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</si>
  <si>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</si>
  <si>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</si>
  <si>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</si>
  <si>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</si>
  <si>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</si>
  <si>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</si>
  <si>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</si>
  <si>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</si>
  <si>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</si>
  <si>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</si>
  <si>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</si>
  <si>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</si>
  <si>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</si>
  <si>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</si>
  <si>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</si>
  <si>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</si>
  <si>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</si>
  <si>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</si>
  <si>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</si>
  <si>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</si>
  <si>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</si>
  <si>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</si>
  <si>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</si>
  <si>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</si>
  <si>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</si>
  <si>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</si>
  <si>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</si>
  <si>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</si>
  <si>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</si>
  <si>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</si>
  <si>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</si>
  <si>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</si>
  <si>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</si>
  <si>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</si>
  <si>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</si>
  <si>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</si>
  <si>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</si>
  <si>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</si>
  <si>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</si>
  <si>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</si>
  <si>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</si>
  <si>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</si>
  <si>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</si>
  <si>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</si>
  <si>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</si>
  <si>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</si>
  <si>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</si>
  <si>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</si>
  <si>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</si>
  <si>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</si>
  <si>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</si>
  <si>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</si>
  <si>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</si>
  <si>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</si>
  <si>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</si>
  <si>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</si>
  <si>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</si>
  <si>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</si>
  <si>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</si>
  <si>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</si>
  <si>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</si>
  <si>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</si>
  <si>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</si>
  <si>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</si>
  <si>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</si>
  <si>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</si>
  <si>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</si>
  <si>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</si>
  <si>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</si>
  <si>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</si>
  <si>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</si>
  <si>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</si>
  <si>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</si>
  <si>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</si>
  <si>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</si>
  <si>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</si>
  <si>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</si>
  <si>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</si>
  <si>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</si>
  <si>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</si>
  <si>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</si>
  <si>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</si>
  <si>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</si>
  <si>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</si>
  <si>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</si>
  <si>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</si>
  <si>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</si>
  <si>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</si>
  <si>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</si>
  <si>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</si>
  <si>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</si>
  <si>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</si>
  <si>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</si>
  <si>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</si>
  <si>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</si>
  <si>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</si>
  <si>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</si>
  <si>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</si>
  <si>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</si>
  <si>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</si>
  <si>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</si>
  <si>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</si>
  <si>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</si>
  <si>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</si>
  <si>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</si>
  <si>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</si>
  <si>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</si>
  <si>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</si>
  <si>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</si>
  <si>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</si>
  <si>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</si>
  <si>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</si>
  <si>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</si>
  <si>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</si>
  <si>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</si>
  <si>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</si>
  <si>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</si>
  <si>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</si>
  <si>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</si>
  <si>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</si>
  <si>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</si>
  <si>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</si>
  <si>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</si>
  <si>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</si>
  <si>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</si>
  <si>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</si>
  <si>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</si>
  <si>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</si>
  <si>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</si>
  <si>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</si>
  <si>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</si>
  <si>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</si>
  <si>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</si>
  <si>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</si>
  <si>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</si>
  <si>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</si>
  <si>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</si>
  <si>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</si>
  <si>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</si>
  <si>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</si>
  <si>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</si>
  <si>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</si>
  <si>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</si>
  <si>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</si>
  <si>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</si>
  <si>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</si>
  <si>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</si>
  <si>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</si>
  <si>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</si>
  <si>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</si>
  <si>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</si>
  <si>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</si>
  <si>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</si>
  <si>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</si>
  <si>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</si>
  <si>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</si>
  <si>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</si>
  <si>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</si>
  <si>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</si>
  <si>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</si>
  <si>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</si>
  <si>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</si>
  <si>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</si>
  <si>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</si>
  <si>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</si>
  <si>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</si>
  <si>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</si>
  <si>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</si>
  <si>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</si>
  <si>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</si>
  <si>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</si>
  <si>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</si>
  <si>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</si>
  <si>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</si>
  <si>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</si>
  <si>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</si>
  <si>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</si>
  <si>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</si>
  <si>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</si>
  <si>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</si>
  <si>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</si>
  <si>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</si>
  <si>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</si>
  <si>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</si>
  <si>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</si>
  <si>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</si>
  <si>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</si>
  <si>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</si>
  <si>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</si>
  <si>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</si>
  <si>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</si>
  <si>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</si>
  <si>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</si>
  <si>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</si>
  <si>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</si>
  <si>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</si>
  <si>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</si>
  <si>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</si>
  <si>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</si>
  <si>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</si>
  <si>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</si>
  <si>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</si>
  <si>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</si>
  <si>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</si>
  <si>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</si>
  <si>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</si>
  <si>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</si>
  <si>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</si>
  <si>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</si>
  <si>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</si>
  <si>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</si>
  <si>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</si>
  <si>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</si>
  <si>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</si>
  <si>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</si>
  <si>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</si>
  <si>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</si>
  <si>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</si>
  <si>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</si>
  <si>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</si>
  <si>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</si>
  <si>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</si>
  <si>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</si>
  <si>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</si>
  <si>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</si>
  <si>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</si>
  <si>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</si>
  <si>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</si>
  <si>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</si>
  <si>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</si>
  <si>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</si>
  <si>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</si>
  <si>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</si>
  <si>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</si>
  <si>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</si>
  <si>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</si>
  <si>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</si>
  <si>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</si>
  <si>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</si>
  <si>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</si>
  <si>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</si>
  <si>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</si>
  <si>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</si>
  <si>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</si>
  <si>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</si>
  <si>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</si>
  <si>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</si>
  <si>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</si>
  <si>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</si>
  <si>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</si>
  <si>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</si>
  <si>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</si>
  <si>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</si>
  <si>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</si>
  <si>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</si>
  <si>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</si>
  <si>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</si>
  <si>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</si>
  <si>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</si>
  <si>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</si>
  <si>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</si>
  <si>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</si>
  <si>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</si>
  <si>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</si>
  <si>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</si>
  <si>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</si>
  <si>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</si>
  <si>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</si>
  <si>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</si>
  <si>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</si>
  <si>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</si>
  <si>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</si>
  <si>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</si>
  <si>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</si>
  <si>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</si>
  <si>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</si>
  <si>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</si>
  <si>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</si>
  <si>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</si>
  <si>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</si>
  <si>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</si>
  <si>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</si>
  <si>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</si>
  <si>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</si>
  <si>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</si>
  <si>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</si>
  <si>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</si>
  <si>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</si>
  <si>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</si>
  <si>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</si>
  <si>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</si>
  <si>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</si>
  <si>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</si>
  <si>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</si>
  <si>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</si>
  <si>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</si>
  <si>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</si>
  <si>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</si>
  <si>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</si>
  <si>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</si>
  <si>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</si>
  <si>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</si>
  <si>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</si>
  <si>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</si>
  <si>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</si>
  <si>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</si>
  <si>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</si>
  <si>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</si>
  <si>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</si>
  <si>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</si>
  <si>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</si>
  <si>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</si>
  <si>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</si>
  <si>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</si>
  <si>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</si>
  <si>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</si>
  <si>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</si>
  <si>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</si>
  <si>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</si>
  <si>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</si>
  <si>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</si>
  <si>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</si>
  <si>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</si>
  <si>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</si>
  <si>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</si>
  <si>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</si>
  <si>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</si>
  <si>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</si>
  <si>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</si>
  <si>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</si>
  <si>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</si>
  <si>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</si>
  <si>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</si>
  <si>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</si>
  <si>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</si>
  <si>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</si>
  <si>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</si>
  <si>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</si>
  <si>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</si>
  <si>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</si>
  <si>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</si>
  <si>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</si>
  <si>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</si>
  <si>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</si>
  <si>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</si>
  <si>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</si>
  <si>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</si>
  <si>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</si>
  <si>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</si>
  <si>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</si>
  <si>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</si>
  <si>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</si>
  <si>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</si>
  <si>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</si>
  <si>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</si>
  <si>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</si>
  <si>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</si>
  <si>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</si>
  <si>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</si>
  <si>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</si>
  <si>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</si>
  <si>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</si>
  <si>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</si>
  <si>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</si>
  <si>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</si>
  <si>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</si>
  <si>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</si>
  <si>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</si>
  <si>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</si>
  <si>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</si>
  <si>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</si>
  <si>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</si>
  <si>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</si>
  <si>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</si>
  <si>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</si>
  <si>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</si>
  <si>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</si>
  <si>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</si>
  <si>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</si>
  <si>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</si>
  <si>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</si>
  <si>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</si>
  <si>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</si>
  <si>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</si>
  <si>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</si>
  <si>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</si>
  <si>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</si>
  <si>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</si>
  <si>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</si>
  <si>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</si>
  <si>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</si>
  <si>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</si>
  <si>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</si>
  <si>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</si>
  <si>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</si>
  <si>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</si>
  <si>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</si>
  <si>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</si>
  <si>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</si>
  <si>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</si>
  <si>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</si>
  <si>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</si>
  <si>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</si>
  <si>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</si>
  <si>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</si>
  <si>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</si>
  <si>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</si>
  <si>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</si>
  <si>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</si>
  <si>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</si>
  <si>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</si>
  <si>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</si>
  <si>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</si>
  <si>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</si>
  <si>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</si>
  <si>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</si>
  <si>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</si>
  <si>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</si>
  <si>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</si>
  <si>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</si>
  <si>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</si>
  <si>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</si>
  <si>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</si>
  <si>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</si>
  <si>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</si>
  <si>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</si>
  <si>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</si>
  <si>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</si>
  <si>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</si>
  <si>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</si>
  <si>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</si>
  <si>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</si>
  <si>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</si>
  <si>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</si>
  <si>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</si>
  <si>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</si>
  <si>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</si>
  <si>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</si>
  <si>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</si>
  <si>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</si>
  <si>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</si>
  <si>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</si>
  <si>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</si>
  <si>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</si>
  <si>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</si>
  <si>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</si>
  <si>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</si>
  <si>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</si>
  <si>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</si>
  <si>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</si>
  <si>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</si>
  <si>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</si>
  <si>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</si>
  <si>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</si>
  <si>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</si>
  <si>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</si>
  <si>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</si>
  <si>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</si>
  <si>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</si>
  <si>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</si>
  <si>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</si>
  <si>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</si>
  <si>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</si>
  <si>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</si>
  <si>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</si>
  <si>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</si>
  <si>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</si>
  <si>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</si>
  <si>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</si>
  <si>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</si>
  <si>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</si>
  <si>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</si>
  <si>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</si>
  <si>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</si>
  <si>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</si>
  <si>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</si>
  <si>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</si>
  <si>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</si>
  <si>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</si>
  <si>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</si>
  <si>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</si>
  <si>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</si>
  <si>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</si>
  <si>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</si>
  <si>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</si>
  <si>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</si>
  <si>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</si>
  <si>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</si>
  <si>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</si>
  <si>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</si>
  <si>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</si>
  <si>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</si>
  <si>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</si>
  <si>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</si>
  <si>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</si>
  <si>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</si>
  <si>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</si>
  <si>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</si>
  <si>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</si>
  <si>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</si>
  <si>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</si>
  <si>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</si>
  <si>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</si>
  <si>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</si>
  <si>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</si>
  <si>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</si>
  <si>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</si>
  <si>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</si>
  <si>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</si>
  <si>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</si>
  <si>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</si>
  <si>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</si>
  <si>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</si>
  <si>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</si>
  <si>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</si>
  <si>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</si>
  <si>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</si>
  <si>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</si>
  <si>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</si>
  <si>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</si>
  <si>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</si>
  <si>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</si>
  <si>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</si>
  <si>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</si>
  <si>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</si>
  <si>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</si>
  <si>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</si>
  <si>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</si>
  <si>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</si>
  <si>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</si>
  <si>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</si>
  <si>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</si>
  <si>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</si>
  <si>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</si>
  <si>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</si>
  <si>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</si>
  <si>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</si>
  <si>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</si>
  <si>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</si>
  <si>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</si>
  <si>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</si>
  <si>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</si>
  <si>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</si>
  <si>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</si>
  <si>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</si>
  <si>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</si>
  <si>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</si>
  <si>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</si>
  <si>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</si>
  <si>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</si>
  <si>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</si>
  <si>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</si>
  <si>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</si>
  <si>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</si>
  <si>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</si>
  <si>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</si>
  <si>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</si>
  <si>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</si>
  <si>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</si>
  <si>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</si>
  <si>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</si>
  <si>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UGT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</si>
</sst>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H27" sqref="H27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20250155</v>
      </c>
      <c r="G7" s="8">
        <f ca="1">TODAY()</f>
        <v>45866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86</v>
      </c>
      <c r="C13" s="78" t="str">
        <f>IFERROR(VLOOKUP($B13,Tarifa_all_20240711!$A$2:$G$660,2,FALSE()),"-")</f>
        <v>MARCO PA PICAP/COND LAC.BLANCO MATE 9003</v>
      </c>
      <c r="D13" s="78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1434</v>
      </c>
      <c r="B14" s="16" t="s">
        <v>100</v>
      </c>
      <c r="C14" s="78" t="str">
        <f>IFERROR(VLOOKUP($B14,Tarifa_all_20240711!$A$2:$G$660,2,FALSE()),"-")</f>
        <v>KIT PA PIVOTANTE PICAP/COND LAC.BLANCO MATE 9003</v>
      </c>
      <c r="D14" s="78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 t="s">
        <v>289</v>
      </c>
      <c r="C15" s="78" t="str">
        <f>IFERROR(VLOOKUP($B15,Tarifa_all_20240711!$A$2:$G$660,2,FALSE()),"-")</f>
        <v>PA CERRAD+EMB.C/CILINDRO LAC.BLANCO MATE 9003</v>
      </c>
      <c r="D15" s="78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1436</v>
      </c>
      <c r="B16" s="16"/>
      <c r="C16" s="78" t="str">
        <f>IFERROR(VLOOKUP($B16,Tarifa_all_20240711!$A$2:$G$660,2,FALSE()),"-")</f>
        <v>-</v>
      </c>
      <c r="D16" s="78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349</v>
      </c>
      <c r="C17" s="78" t="str">
        <f>IFERROR(VLOOKUP($B17,Tarifa_all_20240711!$A$2:$G$660,2,FALSE()),"-")</f>
        <v>MANETA TOULON LAC.BLANCO MATE 9003</v>
      </c>
      <c r="D17" s="78"/>
      <c r="E17" s="17">
        <v>1</v>
      </c>
      <c r="F17" s="18">
        <f>IFERROR(VLOOKUP($B17,Tarifa_all_20240711!$A$2:$G$660,5,FALSE()),"-")</f>
        <v>74.527500000000003</v>
      </c>
      <c r="G17" s="18">
        <f t="shared" si="0"/>
        <v>74.527500000000003</v>
      </c>
      <c r="H17" s="88">
        <f>SUM(G13:G17)</f>
        <v>751.71750000000009</v>
      </c>
    </row>
    <row r="18" spans="1:8" x14ac:dyDescent="0.25">
      <c r="A18" t="s">
        <v>14</v>
      </c>
      <c r="B18" s="16"/>
      <c r="C18" s="78" t="str">
        <f>IFERROR(VLOOKUP($B18,Tarifa_all_20240711!$A$2:$G$660,2,FALSE()),"-")</f>
        <v>-</v>
      </c>
      <c r="D18" s="78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 t="s">
        <v>449</v>
      </c>
      <c r="C19" s="78" t="str">
        <f>IFERROR(VLOOKUP($B19,Tarifa_all_20240711!$A$2:$G$660,2,FALSE()),"-")</f>
        <v>MARCO FIJOS 35MM D-DECOR FIJO BLANCO 9003 M 6,5 MT</v>
      </c>
      <c r="D19" s="78"/>
      <c r="E19" s="17">
        <v>1</v>
      </c>
      <c r="F19" s="18">
        <f>IFERROR(VLOOKUP($B19,Tarifa_all_20240711!$A$2:$G$660,5,FALSE()),"-")</f>
        <v>60.045000000000002</v>
      </c>
      <c r="G19" s="18">
        <f t="shared" si="0"/>
        <v>60.045000000000002</v>
      </c>
      <c r="H19" s="1"/>
    </row>
    <row r="20" spans="1:8" x14ac:dyDescent="0.25">
      <c r="B20" s="16" t="s">
        <v>429</v>
      </c>
      <c r="C20" s="78" t="str">
        <f>IFERROR(VLOOKUP($B20,Tarifa_all_20240711!$A$2:$G$660,2,FALSE()),"-")</f>
        <v>ANCLAJE TAPA 35MM D-DECOR FIJO BLAN 9003 M 6,5 MT</v>
      </c>
      <c r="D20" s="78"/>
      <c r="E20" s="17">
        <v>1</v>
      </c>
      <c r="F20" s="18">
        <f>IFERROR(VLOOKUP($B20,Tarifa_all_20240711!$A$2:$G$660,5,FALSE()),"-")</f>
        <v>29.0625</v>
      </c>
      <c r="G20" s="18">
        <f t="shared" si="0"/>
        <v>29.0625</v>
      </c>
      <c r="H20" s="1"/>
    </row>
    <row r="21" spans="1:8" x14ac:dyDescent="0.25">
      <c r="B21" s="16" t="s">
        <v>469</v>
      </c>
      <c r="C21" s="78" t="str">
        <f>IFERROR(VLOOKUP($B21,Tarifa_all_20240711!$A$2:$G$660,2,FALSE()),"-")</f>
        <v>TAPA MARCO 35MM D-DECOR FIJO BLANCO 9003 M. 6,5 MT</v>
      </c>
      <c r="D21" s="78"/>
      <c r="E21" s="17">
        <v>1</v>
      </c>
      <c r="F21" s="18">
        <f>IFERROR(VLOOKUP($B21,Tarifa_all_20240711!$A$2:$G$660,5,FALSE()),"-")</f>
        <v>24.487499999999997</v>
      </c>
      <c r="G21" s="18">
        <f t="shared" si="0"/>
        <v>24.487499999999997</v>
      </c>
      <c r="H21" s="1"/>
    </row>
    <row r="22" spans="1:8" x14ac:dyDescent="0.25">
      <c r="B22" s="16" t="s">
        <v>447</v>
      </c>
      <c r="C22" s="78" t="str">
        <f>IFERROR(VLOOKUP($B22,Tarifa_all_20240711!$A$2:$G$660,2,FALSE()),"-")</f>
        <v>MARCO FIJOS 35MM D-DECOR FIJO BLAN 9003 MATE 3 MT</v>
      </c>
      <c r="D22" s="78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427</v>
      </c>
      <c r="C23" s="78" t="str">
        <f>IFERROR(VLOOKUP($B23,Tarifa_all_20240711!$A$2:$G$660,2,FALSE()),"-")</f>
        <v>ANCLAJE TAPA 35MM D-DECOR FIJO BLANCO 9003 M 3 MT</v>
      </c>
      <c r="D23" s="78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467</v>
      </c>
      <c r="C24" s="78" t="str">
        <f>IFERROR(VLOOKUP($B24,Tarifa_all_20240711!$A$2:$G$660,2,FALSE()),"-")</f>
        <v>TAPA MARCO 35MM D-DECOR FIJO BLANCO 9003 MATE 3 MT</v>
      </c>
      <c r="D24" s="78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283</v>
      </c>
      <c r="C25" s="78" t="str">
        <f>IFERROR(VLOOKUP($B25,Tarifa_all_20240711!$A$2:$G$660,2,FALSE()),"-")</f>
        <v>Tope Domo Decor</v>
      </c>
      <c r="D25" s="78"/>
      <c r="E25" s="17">
        <v>8</v>
      </c>
      <c r="F25" s="18">
        <f>IFERROR(VLOOKUP($B25,Tarifa_all_20240711!$A$2:$G$660,5,FALSE()),"-")</f>
        <v>1.4175</v>
      </c>
      <c r="G25" s="18">
        <f t="shared" si="0"/>
        <v>11.34</v>
      </c>
      <c r="H25" s="1"/>
    </row>
    <row r="26" spans="1:8" x14ac:dyDescent="0.25">
      <c r="B26" s="16" t="s">
        <v>285</v>
      </c>
      <c r="C26" s="78" t="str">
        <f>IFERROR(VLOOKUP($B26,Tarifa_all_20240711!$A$2:$G$660,2,FALSE()),"-")</f>
        <v>PERFIL 3 MTS REDUCTOR PARA VIDRIO 6mm</v>
      </c>
      <c r="D26" s="78"/>
      <c r="E26" s="17">
        <v>6</v>
      </c>
      <c r="F26" s="18">
        <f>IFERROR(VLOOKUP($B26,Tarifa_all_20240711!$A$2:$G$660,5,FALSE()),"-")</f>
        <v>3.4275000000000002</v>
      </c>
      <c r="G26" s="18">
        <f t="shared" si="0"/>
        <v>20.565000000000001</v>
      </c>
      <c r="H26" s="1"/>
    </row>
    <row r="27" spans="1:8" x14ac:dyDescent="0.25">
      <c r="B27" s="16">
        <v>31229</v>
      </c>
      <c r="C27" s="78" t="str">
        <f>IFERROR(VLOOKUP($B27,Tarifa_all_20240711!$A$2:$G$660,2,FALSE()),"-")</f>
        <v>COMPLEMENTO FIJACION DOMO DECOR: BARRAS 3 MTS</v>
      </c>
      <c r="D27" s="78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88">
        <f>SUM(G19:G27)</f>
        <v>295.63499999999999</v>
      </c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1047.3525000000002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opLeftCell="A4" zoomScaleNormal="100" workbookViewId="0">
      <selection activeCell="B11" sqref="B1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Cristalum Gandia</v>
      </c>
      <c r="C9" s="87"/>
      <c r="D9" s="87"/>
      <c r="F9" s="3" t="s">
        <v>73</v>
      </c>
      <c r="G9" s="44">
        <f ca="1">TODAY()</f>
        <v>45866</v>
      </c>
    </row>
    <row r="10" spans="1:7" x14ac:dyDescent="0.25">
      <c r="A10" s="3" t="s">
        <v>74</v>
      </c>
      <c r="B10" s="11" t="str">
        <f>'DESPIECE (MATANALYSIS)'!C9</f>
        <v>UGT Valencia</v>
      </c>
      <c r="C10" s="45"/>
      <c r="D10" s="45"/>
      <c r="E10" s="46"/>
      <c r="F10" s="47" t="s">
        <v>75</v>
      </c>
      <c r="G10" s="7">
        <f>'DESPIECE (MATANALYSIS)'!C7</f>
        <v>20250155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1047.3525000000002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942.61725000000024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942.61725000000024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2025-07-28T10:38:22Z</dcterms:modified>
  <dc:language>es-ES</dc:language>
</cp:coreProperties>
</file>