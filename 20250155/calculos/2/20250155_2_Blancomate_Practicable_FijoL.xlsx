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55\calculos\2\"/>
    </mc:Choice>
  </mc:AlternateContent>
  <xr:revisionPtr revIDLastSave="0" documentId="13_ncr:1_{415C3CD3-13C2-4D1B-B78B-570F31DEAFDE}" xr6:coauthVersionLast="47" xr6:coauthVersionMax="47" xr10:uidLastSave="{00000000-0000-0000-0000-000000000000}"/>
  <bookViews>
    <workbookView xWindow="-28920" yWindow="-120" windowWidth="29040" windowHeight="157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27" i="10" l="1"/>
  <c r="G31" i="10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<sst xmlns="http://schemas.openxmlformats.org/spreadsheetml/2006/main" count="5404" uniqueCount="1449">
  <si>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</si>
  <si>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</si>
  <si>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</si>
  <si>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</si>
  <si>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</si>
  <si>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</si>
  <si>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</si>
  <si>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</si>
  <si>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</si>
  <si>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</si>
  <si>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</si>
  <si>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</si>
  <si>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</si>
  <si>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</si>
  <si>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</si>
  <si>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</si>
  <si>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</si>
  <si>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</si>
  <si>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</si>
  <si>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</si>
  <si>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</si>
  <si>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</si>
  <si>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</si>
  <si>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</si>
  <si>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</si>
  <si>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</si>
  <si>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</si>
  <si>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</si>
  <si>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</si>
  <si>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</si>
  <si>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</si>
  <si>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</si>
  <si>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</si>
  <si>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</si>
  <si>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</si>
  <si>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</si>
  <si>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</si>
  <si>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</si>
  <si>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</si>
  <si>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</si>
  <si>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</si>
  <si>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</si>
  <si>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</si>
  <si>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</si>
  <si>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</si>
  <si>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</si>
  <si>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</si>
  <si>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</si>
  <si>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</si>
  <si>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</si>
  <si>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</si>
  <si>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</si>
  <si>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</si>
  <si>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</si>
  <si>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</si>
  <si>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</si>
  <si>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</si>
  <si>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</si>
  <si>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</si>
  <si>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</si>
  <si>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</si>
  <si>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</si>
  <si>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</si>
  <si>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</si>
  <si>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</si>
  <si>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</si>
  <si>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</si>
  <si>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</si>
  <si>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</si>
  <si>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</si>
  <si>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</si>
  <si>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</si>
  <si>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</si>
  <si>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</si>
  <si>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</si>
  <si>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</si>
  <si>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</si>
  <si>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</si>
  <si>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</si>
  <si>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</si>
  <si>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</si>
  <si>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</si>
  <si>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</si>
  <si>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</si>
  <si>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</si>
  <si>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</si>
  <si>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</si>
  <si>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</si>
  <si>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</si>
  <si>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</si>
  <si>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</si>
  <si>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</si>
  <si>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</si>
  <si>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</si>
  <si>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</si>
  <si>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</si>
  <si>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</si>
  <si>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</si>
  <si>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</si>
  <si>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</si>
  <si>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</si>
  <si>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</si>
  <si>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</si>
  <si>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</si>
  <si>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</si>
  <si>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</si>
  <si>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</si>
  <si>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</si>
  <si>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</si>
  <si>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</si>
  <si>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</si>
  <si>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</si>
  <si>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</si>
  <si>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</si>
  <si>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</si>
  <si>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</si>
  <si>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</si>
  <si>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</si>
  <si>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</si>
  <si>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</si>
  <si>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</si>
  <si>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</si>
  <si>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</si>
  <si>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</si>
  <si>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</si>
  <si>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</si>
  <si>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</si>
  <si>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</si>
  <si>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</si>
  <si>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</si>
  <si>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</si>
  <si>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</si>
  <si>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</si>
  <si>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</si>
  <si>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</si>
  <si>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</si>
  <si>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</si>
  <si>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</si>
  <si>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</si>
  <si>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</si>
  <si>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</si>
  <si>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</si>
  <si>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</si>
  <si>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</si>
  <si>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</si>
  <si>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</si>
  <si>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</si>
  <si>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</si>
  <si>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</si>
  <si>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</si>
  <si>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</si>
  <si>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</si>
  <si>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</si>
  <si>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</si>
  <si>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</si>
  <si>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</si>
  <si>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</si>
  <si>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</si>
  <si>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</si>
  <si>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</si>
  <si>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</si>
  <si>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</si>
  <si>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</si>
  <si>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</si>
  <si>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</si>
  <si>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</si>
  <si>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</si>
  <si>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</si>
  <si>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</si>
  <si>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</si>
  <si>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</si>
  <si>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</si>
  <si>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</si>
  <si>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</si>
  <si>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</si>
  <si>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</si>
  <si>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</si>
  <si>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</si>
  <si>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</si>
  <si>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</si>
  <si>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</si>
  <si>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</si>
  <si>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</si>
  <si>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</si>
  <si>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</si>
  <si>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</si>
  <si>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</si>
  <si>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</si>
  <si>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</si>
  <si>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</si>
  <si>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</si>
  <si>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</si>
  <si>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</si>
  <si>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</si>
  <si>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</si>
  <si>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</si>
  <si>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</si>
  <si>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</si>
  <si>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</si>
  <si>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</si>
  <si>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</si>
  <si>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</si>
  <si>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</si>
  <si>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</si>
  <si>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</si>
  <si>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</si>
  <si>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</si>
  <si>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</si>
  <si>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</si>
  <si>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</si>
  <si>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</si>
  <si>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</si>
  <si>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</si>
  <si>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</si>
  <si>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</si>
  <si>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</si>
  <si>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</si>
  <si>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</si>
  <si>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</si>
  <si>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</si>
  <si>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</si>
  <si>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</si>
  <si>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</si>
  <si>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</si>
  <si>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</si>
  <si>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</si>
  <si>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</si>
  <si>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</si>
  <si>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</si>
  <si>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</si>
  <si>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</si>
  <si>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</si>
  <si>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</si>
  <si>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</si>
  <si>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</si>
  <si>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</si>
  <si>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</si>
  <si>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</si>
  <si>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</si>
  <si>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</si>
  <si>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</si>
  <si>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</si>
  <si>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</si>
  <si>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</si>
  <si>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</si>
  <si>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</si>
  <si>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</si>
  <si>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</si>
  <si>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</si>
  <si>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</si>
  <si>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</si>
  <si>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</si>
  <si>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</si>
  <si>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</si>
  <si>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</si>
  <si>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</si>
  <si>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</si>
  <si>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</si>
  <si>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</si>
  <si>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</si>
  <si>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</si>
  <si>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</si>
  <si>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</si>
  <si>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</si>
  <si>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</si>
  <si>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</si>
  <si>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</si>
  <si>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</si>
  <si>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</si>
  <si>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</si>
  <si>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</si>
  <si>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</si>
  <si>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</si>
  <si>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</si>
  <si>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</si>
  <si>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</si>
  <si>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</si>
  <si>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</si>
  <si>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</si>
  <si>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</si>
  <si>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</si>
  <si>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</si>
  <si>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</si>
  <si>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</si>
  <si>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</si>
  <si>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</si>
  <si>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</si>
  <si>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</si>
  <si>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</si>
  <si>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</si>
  <si>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</si>
  <si>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</si>
  <si>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</si>
  <si>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</si>
  <si>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</si>
  <si>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</si>
  <si>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</si>
  <si>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</si>
  <si>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</si>
  <si>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</si>
  <si>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</si>
  <si>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</si>
  <si>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</si>
  <si>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</si>
  <si>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</si>
  <si>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</si>
  <si>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</si>
  <si>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</si>
  <si>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</si>
  <si>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</si>
  <si>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</si>
  <si>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</si>
  <si>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</si>
  <si>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</si>
  <si>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</si>
  <si>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</si>
  <si>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</si>
  <si>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</si>
  <si>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</si>
  <si>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</si>
  <si>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</si>
  <si>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</si>
  <si>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</si>
  <si>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</si>
  <si>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</si>
  <si>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</si>
  <si>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</si>
  <si>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</si>
  <si>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</si>
  <si>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</si>
  <si>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</si>
  <si>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</si>
  <si>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</si>
  <si>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</si>
  <si>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</si>
  <si>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</si>
  <si>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</si>
  <si>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</si>
  <si>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</si>
  <si>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</si>
  <si>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</si>
  <si>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</si>
  <si>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</si>
  <si>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</si>
  <si>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</si>
  <si>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</si>
  <si>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</si>
  <si>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</si>
  <si>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</si>
  <si>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</si>
  <si>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</si>
  <si>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</si>
  <si>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</si>
  <si>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</si>
  <si>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</si>
  <si>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</si>
  <si>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</si>
  <si>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</si>
  <si>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</si>
  <si>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</si>
  <si>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</si>
  <si>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</si>
  <si>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</si>
  <si>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</si>
  <si>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</si>
  <si>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</si>
  <si>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</si>
  <si>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</si>
  <si>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</si>
  <si>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</si>
  <si>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</si>
  <si>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</si>
  <si>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</si>
  <si>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</si>
  <si>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</si>
  <si>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</si>
  <si>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</si>
  <si>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</si>
  <si>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</si>
  <si>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</si>
  <si>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</si>
  <si>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</si>
  <si>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</si>
  <si>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</si>
  <si>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</si>
  <si>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</si>
  <si>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</si>
  <si>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</si>
  <si>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</si>
  <si>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</si>
  <si>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</si>
  <si>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</si>
  <si>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</si>
  <si>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</si>
  <si>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</si>
  <si>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</si>
  <si>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</si>
  <si>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</si>
  <si>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</si>
  <si>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</si>
  <si>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</si>
  <si>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</si>
  <si>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</si>
  <si>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</si>
  <si>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</si>
  <si>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</si>
  <si>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</si>
  <si>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</si>
  <si>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</si>
  <si>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</si>
  <si>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</si>
  <si>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</si>
  <si>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</si>
  <si>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</si>
  <si>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</si>
  <si>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</si>
  <si>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</si>
  <si>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</si>
  <si>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</si>
  <si>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</si>
  <si>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</si>
  <si>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</si>
  <si>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</si>
  <si>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</si>
  <si>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</si>
  <si>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</si>
  <si>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</si>
  <si>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</si>
  <si>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</si>
  <si>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</si>
  <si>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</si>
  <si>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</si>
  <si>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</si>
  <si>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</si>
  <si>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</si>
  <si>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</si>
  <si>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</si>
  <si>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</si>
  <si>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</si>
  <si>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</si>
  <si>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</si>
  <si>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</si>
  <si>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</si>
  <si>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</si>
  <si>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</si>
  <si>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</si>
  <si>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</si>
  <si>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</si>
  <si>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</si>
  <si>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</si>
  <si>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</si>
  <si>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</si>
  <si>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</si>
  <si>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</si>
  <si>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</si>
  <si>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</si>
  <si>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</si>
  <si>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</si>
  <si>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</si>
  <si>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</si>
  <si>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</si>
  <si>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</si>
  <si>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</si>
  <si>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</si>
  <si>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</si>
  <si>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</si>
  <si>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</si>
  <si>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</si>
  <si>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</si>
  <si>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</si>
  <si>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</si>
  <si>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</si>
  <si>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</si>
  <si>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</si>
  <si>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</si>
  <si>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</si>
  <si>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</si>
  <si>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</si>
  <si>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</si>
  <si>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</si>
  <si>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</si>
  <si>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</si>
  <si>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</si>
  <si>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</si>
  <si>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</si>
  <si>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</si>
  <si>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</si>
  <si>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</si>
  <si>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</si>
  <si>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</si>
  <si>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</si>
  <si>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</si>
  <si>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</si>
  <si>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</si>
  <si>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</si>
  <si>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</si>
  <si>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</si>
  <si>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</si>
  <si>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</si>
  <si>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</si>
  <si>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</si>
  <si>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</si>
  <si>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</si>
  <si>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</si>
  <si>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</si>
  <si>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</si>
  <si>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</si>
  <si>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</si>
  <si>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</si>
  <si>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</si>
  <si>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</si>
  <si>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</si>
  <si>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</si>
  <si>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</si>
  <si>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</si>
  <si>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</si>
  <si>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</si>
  <si>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</si>
  <si>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</si>
  <si>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</si>
  <si>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</si>
  <si>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</si>
  <si>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</si>
  <si>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</si>
  <si>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</si>
  <si>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</si>
  <si>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</si>
  <si>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</si>
  <si>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</si>
  <si>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</si>
  <si>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</si>
  <si>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</si>
  <si>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</si>
  <si>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</si>
  <si>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</si>
  <si>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</si>
  <si>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</si>
  <si>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</si>
  <si>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</si>
  <si>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</si>
  <si>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</si>
  <si>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</si>
  <si>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</si>
  <si>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</si>
  <si>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</si>
  <si>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</si>
  <si>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</si>
  <si>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</si>
  <si>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</si>
  <si>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</si>
  <si>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</si>
  <si>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</si>
  <si>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</si>
  <si>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</si>
  <si>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</si>
  <si>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</si>
  <si>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</si>
  <si>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</si>
  <si>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</si>
  <si>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</si>
  <si>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</si>
  <si>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</si>
  <si>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</si>
  <si>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</si>
  <si>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</si>
  <si>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</si>
  <si>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</si>
  <si>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</si>
  <si>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</si>
  <si>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</si>
  <si>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</si>
  <si>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</si>
  <si>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</si>
  <si>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</si>
  <si>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</si>
  <si>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</si>
  <si>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</si>
  <si>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</si>
  <si>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</si>
  <si>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</si>
  <si>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</si>
  <si>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</si>
  <si>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</si>
  <si>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</si>
  <si>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</si>
  <si>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</si>
  <si>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</si>
  <si>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</si>
  <si>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</si>
  <si>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</si>
  <si>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</si>
  <si>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</si>
  <si>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</si>
  <si>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</si>
  <si>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</si>
  <si>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</si>
  <si>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</si>
  <si>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</si>
  <si>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</si>
  <si>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</si>
  <si>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</si>
  <si>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</si>
  <si>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</si>
  <si>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</si>
  <si>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</si>
  <si>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</si>
  <si>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</si>
  <si>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</si>
  <si>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</si>
  <si>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</si>
  <si>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</si>
  <si>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</si>
  <si>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</si>
  <si>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</si>
  <si>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</si>
  <si>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</si>
  <si>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</si>
  <si>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</si>
  <si>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</si>
  <si>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</si>
  <si>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</si>
  <si>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</si>
  <si>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</si>
  <si>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</si>
  <si>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</si>
  <si>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</si>
  <si>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</si>
  <si>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</si>
  <si>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</si>
  <si>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</si>
  <si>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</si>
  <si>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</si>
  <si>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</si>
  <si>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</si>
  <si>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</si>
  <si>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</si>
  <si>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</si>
  <si>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</si>
  <si>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</si>
  <si>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</si>
  <si>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</si>
  <si>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</si>
  <si>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</si>
  <si>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</si>
  <si>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</si>
  <si>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</si>
  <si>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</si>
  <si>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</si>
  <si>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</si>
  <si>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</si>
  <si>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</si>
  <si>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</si>
  <si>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</si>
  <si>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</si>
  <si>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</si>
  <si>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</si>
  <si>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</si>
  <si>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</si>
  <si>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</si>
  <si>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</si>
  <si>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</si>
  <si>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</si>
  <si>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</si>
  <si>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</si>
  <si>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</si>
  <si>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</si>
  <si>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</si>
  <si>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</si>
  <si>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</si>
  <si>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</si>
  <si>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</si>
  <si>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</si>
  <si>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</si>
  <si>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</si>
  <si>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</si>
  <si>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</si>
  <si>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</si>
  <si>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</si>
  <si>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</si>
  <si>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</si>
  <si>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</si>
  <si>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</si>
  <si>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</si>
  <si>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</si>
  <si>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</si>
  <si>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</si>
  <si>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</si>
  <si>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</si>
  <si>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</si>
  <si>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</si>
  <si>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</si>
  <si>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</si>
  <si>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</si>
  <si>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</si>
  <si>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</si>
  <si>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</si>
  <si>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</si>
  <si>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</si>
  <si>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</si>
  <si>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</si>
  <si>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</si>
  <si>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</si>
  <si>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</si>
  <si>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</si>
  <si>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</si>
  <si>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</si>
  <si>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</si>
  <si>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</si>
  <si>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</si>
  <si>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</si>
  <si>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</si>
  <si>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</si>
  <si>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</si>
  <si>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</si>
  <si>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</si>
  <si>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</si>
  <si>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</si>
  <si>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</si>
  <si>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</si>
  <si>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</si>
  <si>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</si>
  <si>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</si>
  <si>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</si>
  <si>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</si>
  <si>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</si>
  <si>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</si>
  <si>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</si>
  <si>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</si>
  <si>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</si>
  <si>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</si>
  <si>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</si>
  <si>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</si>
  <si>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</si>
  <si>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</si>
  <si>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</si>
  <si>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</si>
  <si>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</si>
  <si>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</si>
  <si>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</si>
  <si>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</si>
  <si>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</si>
  <si>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</si>
  <si>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</si>
  <si>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</si>
  <si>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</si>
  <si>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</si>
  <si>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</si>
  <si>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</si>
  <si>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</si>
  <si>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</si>
  <si>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</si>
  <si>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</si>
  <si>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</si>
  <si>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</si>
  <si>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</si>
  <si>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</si>
  <si>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</si>
  <si>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</si>
  <si>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</si>
  <si>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</si>
  <si>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</si>
  <si>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</si>
  <si>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</si>
  <si>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</si>
  <si>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</si>
  <si>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</si>
  <si>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</si>
  <si>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</si>
  <si>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</si>
  <si>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</si>
  <si>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</si>
  <si>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</si>
  <si>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</si>
  <si>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</si>
  <si>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</si>
  <si>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</si>
  <si>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</si>
  <si>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</si>
  <si>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</si>
  <si>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</si>
  <si>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</si>
  <si>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</si>
  <si>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</si>
  <si>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</si>
  <si>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</si>
  <si>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</si>
  <si>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</si>
  <si>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</si>
  <si>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</si>
  <si>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</si>
  <si>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</si>
  <si>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</si>
  <si>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</si>
  <si>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</si>
  <si>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</si>
  <si>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</si>
  <si>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</si>
  <si>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</si>
  <si>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</si>
  <si>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</si>
  <si>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</si>
  <si>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</si>
  <si>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</si>
  <si>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</si>
  <si>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</si>
  <si>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</si>
  <si>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</si>
  <si>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</si>
  <si>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</si>
  <si>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</si>
  <si>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</si>
  <si>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</si>
  <si>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</si>
  <si>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</si>
  <si>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</si>
  <si>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</si>
  <si>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</si>
  <si>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</si>
  <si>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</si>
  <si>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</si>
  <si>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</si>
  <si>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</si>
  <si>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</si>
  <si>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</si>
  <si>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</si>
  <si>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</si>
  <si>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</si>
  <si>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</si>
  <si>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</si>
  <si>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</si>
  <si>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</si>
  <si>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</si>
  <si>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</si>
  <si>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</si>
  <si>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</si>
  <si>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</si>
  <si>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</si>
  <si>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</si>
  <si>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</si>
  <si>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</si>
  <si>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</si>
  <si>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</si>
  <si>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</si>
  <si>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</si>
  <si>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</si>
  <si>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</si>
  <si>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</si>
  <si>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</si>
  <si>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</si>
  <si>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</si>
  <si>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</si>
  <si>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</si>
  <si>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</si>
  <si>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</si>
  <si>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</si>
  <si>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</si>
  <si>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</si>
  <si>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</si>
  <si>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</si>
  <si>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</si>
  <si>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</si>
  <si>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</si>
  <si>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</si>
  <si>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</si>
  <si>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</si>
  <si>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</si>
  <si>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</si>
  <si>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</si>
  <si>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</si>
  <si>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</si>
  <si>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</si>
  <si>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</si>
  <si>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</si>
  <si>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</si>
  <si>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</si>
  <si>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</si>
  <si>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</si>
  <si>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</si>
  <si>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</si>
  <si>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</si>
  <si>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</si>
  <si>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</si>
  <si>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</si>
  <si>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</si>
  <si>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</si>
  <si>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</si>
  <si>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</si>
  <si>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</si>
  <si>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</si>
  <si>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</si>
  <si>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</si>
  <si>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</si>
  <si>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</si>
  <si>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</si>
  <si>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</si>
  <si>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</si>
  <si>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</si>
  <si>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</si>
  <si>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</si>
  <si>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</si>
  <si>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</si>
  <si>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</si>
  <si>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</si>
  <si>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</si>
  <si>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</si>
  <si>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</si>
  <si>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</si>
  <si>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</si>
  <si>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</si>
  <si>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</si>
  <si>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</si>
  <si>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</si>
  <si>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</si>
  <si>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</si>
  <si>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</si>
  <si>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</si>
  <si>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</si>
  <si>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</si>
  <si>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</si>
  <si>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</si>
  <si>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</si>
  <si>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</si>
  <si>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</si>
  <si>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</si>
  <si>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</si>
  <si>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</si>
  <si>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</si>
  <si>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</si>
  <si>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</si>
  <si>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</si>
  <si>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</si>
  <si>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</si>
  <si>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</si>
  <si>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</si>
  <si>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</si>
  <si>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</si>
  <si>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</si>
  <si>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</si>
  <si>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</si>
  <si>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</si>
  <si>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</si>
  <si>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</si>
  <si>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</si>
  <si>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</si>
  <si>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</si>
  <si>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</si>
  <si>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</si>
  <si>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</si>
  <si>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</si>
  <si>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</si>
  <si>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</si>
  <si>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</si>
  <si>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</si>
  <si>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</si>
  <si>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</si>
  <si>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</si>
  <si>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</si>
  <si>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</si>
  <si>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</si>
  <si>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</si>
  <si>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</si>
  <si>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</si>
  <si>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</si>
  <si>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</si>
  <si>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</si>
  <si>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</si>
  <si>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</si>
  <si>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</si>
  <si>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</si>
  <si>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</si>
  <si>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</si>
  <si>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</si>
  <si>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</si>
  <si>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</si>
  <si>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</si>
  <si>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</si>
  <si>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</si>
  <si>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</si>
  <si>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</si>
  <si>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</si>
  <si>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</si>
  <si>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</si>
  <si>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</si>
  <si>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</si>
  <si>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</si>
  <si>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</si>
  <si>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</si>
  <si>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</si>
  <si>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</si>
  <si>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</si>
  <si>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</si>
  <si>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</si>
  <si>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</si>
  <si>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</si>
  <si>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</si>
  <si>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</si>
  <si>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</si>
  <si>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</si>
  <si>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</si>
  <si>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</si>
  <si>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</si>
  <si>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</si>
  <si>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</si>
  <si>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</si>
  <si>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</si>
  <si>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</si>
  <si>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</si>
  <si>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</si>
  <si>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</si>
  <si>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</si>
  <si>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</si>
  <si>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</si>
  <si>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</si>
  <si>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</si>
  <si>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</si>
  <si>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</si>
  <si>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</si>
  <si>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</si>
  <si>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</si>
  <si>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</si>
  <si>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</si>
  <si>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</si>
  <si>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</si>
  <si>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</si>
  <si>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</si>
  <si>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</si>
  <si>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</si>
  <si>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</si>
  <si>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</si>
  <si>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</si>
  <si>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</si>
  <si>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</si>
  <si>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</si>
  <si>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</si>
  <si>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</si>
  <si>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</si>
  <si>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</si>
  <si>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</si>
  <si>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</si>
  <si>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</si>
  <si>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</si>
  <si>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</si>
  <si>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</si>
  <si>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</si>
  <si>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</si>
  <si>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</si>
  <si>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</si>
  <si>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</si>
  <si>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</si>
  <si>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</si>
  <si>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</si>
  <si>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</si>
  <si>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</si>
  <si>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</si>
  <si>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</si>
  <si>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</si>
  <si>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</si>
  <si>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</si>
  <si>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</si>
  <si>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</si>
  <si>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</si>
  <si>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</si>
  <si>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</si>
  <si>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</si>
  <si>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</si>
  <si>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</si>
  <si>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</si>
  <si>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</si>
  <si>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</si>
  <si>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</si>
  <si>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</si>
  <si>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</si>
  <si>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</si>
  <si>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</si>
  <si>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</si>
  <si>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</si>
  <si>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</si>
  <si>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</si>
  <si>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</si>
  <si>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</si>
  <si>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</si>
  <si>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</si>
  <si>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</si>
  <si>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</si>
  <si>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</si>
  <si>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</si>
  <si>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</si>
  <si>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</si>
  <si>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</si>
  <si>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</si>
  <si>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</si>
  <si>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</si>
  <si>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</si>
  <si>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</si>
  <si>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</si>
  <si>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</si>
  <si>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</si>
  <si>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</si>
  <si>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</si>
  <si>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</si>
  <si>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</si>
  <si>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</si>
  <si>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</si>
  <si>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</si>
  <si>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</si>
  <si>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</si>
  <si>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</si>
  <si>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</si>
  <si>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</si>
  <si>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</si>
  <si>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</si>
  <si>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</si>
  <si>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</si>
  <si>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</si>
  <si>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</si>
  <si>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</si>
  <si>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</si>
  <si>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</si>
  <si>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</si>
  <si>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</si>
  <si>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</si>
  <si>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</si>
  <si>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</si>
  <si>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</si>
  <si>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</si>
  <si>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</si>
  <si>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</si>
  <si>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</si>
  <si>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</si>
  <si>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</si>
  <si>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</si>
  <si>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</si>
  <si>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</si>
  <si>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</si>
  <si>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</si>
  <si>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</si>
  <si>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</si>
  <si>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</si>
  <si>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</si>
  <si>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</si>
  <si>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</si>
  <si>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</si>
  <si>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</si>
  <si>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</si>
  <si>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</si>
  <si>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</si>
  <si>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</si>
  <si>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</si>
  <si>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</si>
  <si>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</si>
  <si>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</si>
  <si>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</si>
  <si>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</si>
  <si>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</si>
  <si>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</si>
  <si>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</si>
  <si>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</si>
  <si>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</si>
  <si>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</si>
  <si>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</si>
  <si>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</si>
  <si>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</si>
  <si>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</si>
  <si>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</si>
  <si>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</si>
  <si>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</si>
  <si>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</si>
  <si>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</si>
  <si>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</si>
  <si>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</si>
  <si>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</si>
  <si>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</si>
  <si>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</si>
  <si>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</si>
  <si>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</si>
  <si>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</si>
  <si>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</si>
  <si>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</si>
  <si>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</si>
  <si>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</si>
  <si>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</si>
  <si>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</si>
  <si>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</si>
  <si>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</si>
  <si>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</si>
  <si>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</si>
  <si>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</si>
  <si>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</si>
  <si>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</si>
  <si>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</si>
  <si>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</si>
  <si>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</si>
  <si>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</si>
  <si>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</si>
  <si>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</si>
  <si>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</si>
  <si>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</si>
  <si>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</si>
  <si>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</si>
  <si>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</si>
  <si>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</si>
  <si>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</si>
  <si>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</si>
  <si>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</si>
  <si>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</si>
  <si>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</si>
  <si>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</si>
  <si>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</si>
  <si>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</si>
  <si>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</si>
  <si>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</si>
  <si>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</si>
  <si>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</si>
  <si>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</si>
  <si>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</si>
  <si>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</si>
  <si>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</si>
  <si>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</si>
  <si>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</si>
  <si>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</si>
  <si>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</si>
  <si>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</si>
  <si>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</si>
  <si>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</si>
  <si>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</si>
  <si>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</si>
  <si>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</si>
  <si>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</si>
  <si>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</si>
  <si>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</si>
  <si>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</si>
  <si>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</si>
  <si>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</si>
  <si>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</si>
  <si>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</si>
  <si>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</si>
  <si>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</si>
  <si>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</si>
  <si>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</si>
  <si>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</si>
  <si>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</si>
  <si>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</si>
  <si>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</si>
  <si>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</si>
  <si>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</si>
  <si>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</si>
  <si>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</si>
  <si>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</si>
  <si>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</si>
  <si>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</si>
  <si>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</si>
  <si>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</si>
  <si>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</si>
  <si>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</si>
  <si>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</si>
  <si>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</si>
  <si>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</si>
  <si>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</si>
  <si>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</si>
  <si>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</si>
  <si>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</si>
  <si>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</si>
  <si>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</si>
  <si>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</si>
  <si>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</si>
  <si>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</si>
  <si>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</si>
  <si>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</si>
  <si>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</si>
  <si>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</si>
  <si>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</si>
  <si>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</si>
  <si>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</si>
  <si>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</si>
  <si>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</si>
  <si>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</si>
  <si>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</si>
  <si>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</si>
  <si>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</si>
  <si>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</si>
  <si>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</si>
  <si>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</si>
  <si>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</si>
  <si>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</si>
  <si>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</si>
  <si>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</si>
  <si>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</si>
  <si>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</si>
  <si>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</si>
  <si>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</si>
  <si>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</si>
  <si>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</si>
  <si>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</si>
  <si>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</si>
  <si>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</si>
  <si>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</si>
  <si>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</si>
  <si>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</si>
  <si>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</si>
  <si>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</si>
  <si>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</si>
  <si>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</si>
  <si>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</si>
  <si>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</si>
  <si>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</si>
  <si>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</si>
  <si>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</si>
  <si>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</si>
  <si>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</si>
  <si>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</si>
  <si>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</si>
  <si>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</si>
  <si>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</si>
  <si>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</si>
  <si>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</si>
  <si>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</si>
  <si>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</si>
  <si>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</si>
  <si>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</si>
  <si>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</si>
  <si>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</si>
  <si>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</si>
  <si>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</si>
  <si>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</si>
  <si>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</si>
  <si>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</si>
  <si>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</si>
  <si>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</si>
  <si>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</si>
  <si>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</si>
  <si>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</si>
  <si>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</si>
  <si>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</si>
  <si>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</si>
  <si>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</si>
  <si>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</si>
  <si>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</si>
  <si>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</si>
  <si>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</si>
  <si>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</si>
  <si>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</si>
  <si>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</si>
  <si>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</si>
  <si>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</si>
  <si>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</si>
  <si>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</si>
  <si>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</si>
  <si>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</si>
  <si>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</si>
  <si>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</si>
  <si>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</si>
  <si>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</si>
  <si>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</si>
  <si>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</si>
  <si>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</si>
  <si>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</si>
  <si>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</si>
  <si>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</si>
  <si>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</si>
  <si>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</si>
  <si>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</si>
  <si>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</si>
  <si>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</si>
  <si>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</si>
  <si>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</si>
  <si>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</si>
  <si>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</si>
  <si>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</si>
  <si>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</si>
  <si>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</si>
  <si>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</si>
  <si>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</si>
  <si>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</si>
  <si>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</si>
  <si>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</si>
  <si>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</si>
  <si>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</si>
  <si>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</si>
  <si>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</si>
  <si>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</si>
  <si>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</si>
  <si>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</si>
  <si>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</si>
  <si>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</si>
  <si>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</si>
  <si>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</si>
  <si>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</si>
  <si>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</si>
  <si>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</si>
  <si>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</si>
  <si>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</si>
  <si>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</si>
  <si>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</si>
  <si>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</si>
  <si>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</si>
  <si>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</si>
  <si>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</si>
  <si>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</si>
  <si>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</si>
  <si>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</si>
  <si>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</si>
  <si>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</si>
  <si>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</si>
  <si>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</si>
  <si>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</si>
  <si>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</si>
  <si>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</si>
  <si>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</si>
  <si>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</si>
  <si>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</si>
  <si>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</si>
  <si>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</si>
  <si>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</si>
  <si>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</si>
  <si>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</si>
  <si>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</si>
  <si>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</si>
  <si>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</si>
  <si>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</si>
  <si>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</si>
  <si>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</si>
  <si>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</si>
  <si>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</si>
  <si>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</si>
  <si>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</si>
  <si>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</si>
  <si>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</si>
  <si>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</si>
  <si>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</si>
  <si>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</si>
  <si>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</si>
  <si>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</si>
  <si>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</si>
  <si>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</si>
  <si>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</si>
  <si>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</si>
  <si>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</si>
  <si>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</si>
  <si>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</si>
  <si>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</si>
  <si>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</si>
  <si>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</si>
  <si>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</si>
  <si>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</si>
  <si>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</si>
  <si>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</si>
  <si>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</si>
  <si>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</si>
  <si>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UGT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</si>
</sst>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zoomScale="60" zoomScaleNormal="95" workbookViewId="0">
      <selection activeCell="F28" sqref="F2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20250155</v>
      </c>
      <c r="G7" s="8">
        <f ca="1">TODAY()</f>
        <v>45903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86</v>
      </c>
      <c r="C13" s="81" t="str">
        <f>IFERROR(VLOOKUP($B13,Tarifa_all_20240711!$A$2:$G$660,2,FALSE()),"-")</f>
        <v>MARCO PA PICAP/COND LAC.BLANCO MATE 9003</v>
      </c>
      <c r="D13" s="81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100</v>
      </c>
      <c r="C14" s="81" t="str">
        <f>IFERROR(VLOOKUP($B14,Tarifa_all_20240711!$A$2:$G$660,2,FALSE()),"-")</f>
        <v>KIT PA PIVOTANTE PICAP/COND LAC.BLANCO MATE 9003</v>
      </c>
      <c r="D14" s="81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289</v>
      </c>
      <c r="C15" s="81" t="str">
        <f>IFERROR(VLOOKUP($B15,Tarifa_all_20240711!$A$2:$G$660,2,FALSE()),"-")</f>
        <v>PA CERRAD+EMB.C/CILINDRO LAC.BLANCO MATE 9003</v>
      </c>
      <c r="D15" s="81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81" t="str">
        <f>IFERROR(VLOOKUP($B16,Tarifa_all_20240711!$A$2:$G$660,2,FALSE()),"-")</f>
        <v>-</v>
      </c>
      <c r="D16" s="81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349</v>
      </c>
      <c r="C17" s="81" t="str">
        <f>IFERROR(VLOOKUP($B17,Tarifa_all_20240711!$A$2:$G$660,2,FALSE()),"-")</f>
        <v>MANETA TOULON LAC.BLANCO MATE 9003</v>
      </c>
      <c r="D17" s="81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77">
        <f>SUM(G13:G17)</f>
        <v>751.71750000000009</v>
      </c>
    </row>
    <row r="18" spans="1:8" x14ac:dyDescent="0.25">
      <c r="A18" t="s">
        <v>14</v>
      </c>
      <c r="B18" s="16"/>
      <c r="C18" s="81" t="str">
        <f>IFERROR(VLOOKUP($B18,Tarifa_all_20240711!$A$2:$G$660,2,FALSE()),"-")</f>
        <v>-</v>
      </c>
      <c r="D18" s="81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449</v>
      </c>
      <c r="C19" s="81" t="str">
        <f>IFERROR(VLOOKUP($B19,Tarifa_all_20240711!$A$2:$G$660,2,FALSE()),"-")</f>
        <v>MARCO FIJOS 35MM D-DECOR FIJO BLANCO 9003 M 6,5 MT</v>
      </c>
      <c r="D19" s="81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8" x14ac:dyDescent="0.25">
      <c r="B20" s="16" t="s">
        <v>429</v>
      </c>
      <c r="C20" s="81" t="str">
        <f>IFERROR(VLOOKUP($B20,Tarifa_all_20240711!$A$2:$G$660,2,FALSE()),"-")</f>
        <v>ANCLAJE TAPA 35MM D-DECOR FIJO BLAN 9003 M 6,5 MT</v>
      </c>
      <c r="D20" s="81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8" x14ac:dyDescent="0.25">
      <c r="B21" s="16" t="s">
        <v>469</v>
      </c>
      <c r="C21" s="81" t="str">
        <f>IFERROR(VLOOKUP($B21,Tarifa_all_20240711!$A$2:$G$660,2,FALSE()),"-")</f>
        <v>TAPA MARCO 35MM D-DECOR FIJO BLANCO 9003 M. 6,5 MT</v>
      </c>
      <c r="D21" s="81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8" x14ac:dyDescent="0.25">
      <c r="B22" s="16" t="s">
        <v>447</v>
      </c>
      <c r="C22" s="81" t="str">
        <f>IFERROR(VLOOKUP($B22,Tarifa_all_20240711!$A$2:$G$660,2,FALSE()),"-")</f>
        <v>MARCO FIJOS 35MM D-DECOR FIJO BLAN 9003 MATE 3 MT</v>
      </c>
      <c r="D22" s="81"/>
      <c r="E22" s="17">
        <v>1</v>
      </c>
      <c r="F22" s="18">
        <f>IFERROR(VLOOKUP($B22,Tarifa_all_20240711!$A$2:$G$660,5,FALSE()),"-")</f>
        <v>27.712500000000002</v>
      </c>
      <c r="G22" s="18">
        <f t="shared" si="0"/>
        <v>27.712500000000002</v>
      </c>
      <c r="H22" s="1"/>
    </row>
    <row r="23" spans="1:8" x14ac:dyDescent="0.25">
      <c r="B23" s="16" t="s">
        <v>427</v>
      </c>
      <c r="C23" s="81" t="str">
        <f>IFERROR(VLOOKUP($B23,Tarifa_all_20240711!$A$2:$G$660,2,FALSE()),"-")</f>
        <v>ANCLAJE TAPA 35MM D-DECOR FIJO BLANCO 9003 M 3 MT</v>
      </c>
      <c r="D23" s="81"/>
      <c r="E23" s="17">
        <v>1</v>
      </c>
      <c r="F23" s="18">
        <f>IFERROR(VLOOKUP($B23,Tarifa_all_20240711!$A$2:$G$660,5,FALSE()),"-")</f>
        <v>13.4175</v>
      </c>
      <c r="G23" s="18">
        <f t="shared" si="0"/>
        <v>13.4175</v>
      </c>
      <c r="H23" s="1"/>
    </row>
    <row r="24" spans="1:8" x14ac:dyDescent="0.25">
      <c r="B24" s="16" t="s">
        <v>467</v>
      </c>
      <c r="C24" s="81" t="str">
        <f>IFERROR(VLOOKUP($B24,Tarifa_all_20240711!$A$2:$G$660,2,FALSE()),"-")</f>
        <v>TAPA MARCO 35MM D-DECOR FIJO BLANCO 9003 MATE 3 MT</v>
      </c>
      <c r="D24" s="81"/>
      <c r="E24" s="17">
        <v>1</v>
      </c>
      <c r="F24" s="18">
        <f>IFERROR(VLOOKUP($B24,Tarifa_all_20240711!$A$2:$G$660,5,FALSE()),"-")</f>
        <v>11.3025</v>
      </c>
      <c r="G24" s="18">
        <f t="shared" si="0"/>
        <v>11.3025</v>
      </c>
      <c r="H24" s="1"/>
    </row>
    <row r="25" spans="1:8" x14ac:dyDescent="0.25">
      <c r="B25" s="16" t="s">
        <v>283</v>
      </c>
      <c r="C25" s="81" t="str">
        <f>IFERROR(VLOOKUP($B25,Tarifa_all_20240711!$A$2:$G$660,2,FALSE()),"-")</f>
        <v>Tope Domo Decor</v>
      </c>
      <c r="D25" s="81"/>
      <c r="E25" s="17">
        <v>12</v>
      </c>
      <c r="F25" s="18">
        <f>IFERROR(VLOOKUP($B25,Tarifa_all_20240711!$A$2:$G$660,5,FALSE()),"-")</f>
        <v>1.4175</v>
      </c>
      <c r="G25" s="18">
        <f t="shared" si="0"/>
        <v>17.009999999999998</v>
      </c>
      <c r="H25" s="1"/>
    </row>
    <row r="26" spans="1:8" x14ac:dyDescent="0.25">
      <c r="B26" s="16" t="s">
        <v>285</v>
      </c>
      <c r="C26" s="81" t="str">
        <f>IFERROR(VLOOKUP($B26,Tarifa_all_20240711!$A$2:$G$660,2,FALSE()),"-")</f>
        <v>PERFIL 3 MTS REDUCTOR PARA VIDRIO 6mm</v>
      </c>
      <c r="D26" s="81"/>
      <c r="E26" s="17">
        <v>7</v>
      </c>
      <c r="F26" s="18">
        <f>IFERROR(VLOOKUP($B26,Tarifa_all_20240711!$A$2:$G$660,5,FALSE()),"-")</f>
        <v>3.4275000000000002</v>
      </c>
      <c r="G26" s="18">
        <f t="shared" si="0"/>
        <v>23.9925</v>
      </c>
      <c r="H26" s="1"/>
    </row>
    <row r="27" spans="1:8" x14ac:dyDescent="0.25">
      <c r="B27" s="16">
        <v>31229</v>
      </c>
      <c r="C27" s="81" t="str">
        <f>IFERROR(VLOOKUP($B27,Tarifa_all_20240711!$A$2:$G$660,2,FALSE()),"-")</f>
        <v>COMPLEMENTO FIJACION DOMO DECOR: BARRAS 3 MTS</v>
      </c>
      <c r="D27" s="81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77">
        <f>SUM(G19:G27)</f>
        <v>365.89499999999998</v>
      </c>
    </row>
    <row r="28" spans="1:8" x14ac:dyDescent="0.25">
      <c r="B28" s="16" t="s">
        <v>479</v>
      </c>
      <c r="C28" s="81" t="str">
        <f>IFERROR(VLOOKUP($B28,Tarifa_all_20240711!$A$2:$G$660,2,FALSE()),"-")</f>
        <v>COMPLEMENTO D-DECOR FIJO BLANCO 9003 MATE 6,5 MTS</v>
      </c>
      <c r="D28" s="81"/>
      <c r="E28" s="17">
        <v>1</v>
      </c>
      <c r="F28" s="18">
        <f>IFERROR(VLOOKUP($B28,Tarifa_all_20240711!$A$2:$G$660,5,FALSE()),"-")</f>
        <v>46.387500000000003</v>
      </c>
      <c r="G28" s="18">
        <f t="shared" si="0"/>
        <v>46.387500000000003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1164.0000000000002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67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2"/>
      <c r="E52" s="82"/>
      <c r="F52" s="82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6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opLeftCell="A4" zoomScaleNormal="100" workbookViewId="0">
      <selection activeCell="B11" sqref="B1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70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7" t="s">
        <v>71</v>
      </c>
      <c r="B6" s="87"/>
      <c r="C6" s="87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8" t="str">
        <f>'DESPIECE (MATANALYSIS)'!C8</f>
        <v>Cristalum Gandia</v>
      </c>
      <c r="C9" s="88"/>
      <c r="D9" s="88"/>
      <c r="F9" s="3" t="s">
        <v>73</v>
      </c>
      <c r="G9" s="44">
        <f ca="1">TODAY()</f>
        <v>45903</v>
      </c>
    </row>
    <row r="10" spans="1:7" x14ac:dyDescent="0.25">
      <c r="A10" s="3" t="s">
        <v>74</v>
      </c>
      <c r="B10" s="11" t="str">
        <f>'DESPIECE (MATANALYSIS)'!C9</f>
        <v>UGT Valencia</v>
      </c>
      <c r="C10" s="45"/>
      <c r="D10" s="45"/>
      <c r="E10" s="46"/>
      <c r="F10" s="47" t="s">
        <v>75</v>
      </c>
      <c r="G10" s="7">
        <f>'DESPIECE (MATANALYSIS)'!C7</f>
        <v>20250155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1164.0000000000002</v>
      </c>
    </row>
    <row r="45" spans="1:7" ht="22.7" customHeight="1" x14ac:dyDescent="0.25">
      <c r="A45" s="83" t="s">
        <v>1445</v>
      </c>
      <c r="B45" s="83"/>
      <c r="C45" s="72"/>
      <c r="D45" s="72"/>
      <c r="E45" s="72"/>
      <c r="F45" s="73">
        <v>-0.1</v>
      </c>
      <c r="G45" s="74">
        <f>G44*(1+F45)</f>
        <v>1047.6000000000001</v>
      </c>
    </row>
    <row r="46" spans="1:7" ht="22.7" customHeight="1" x14ac:dyDescent="0.25">
      <c r="A46" s="84" t="s">
        <v>84</v>
      </c>
      <c r="B46" s="84"/>
      <c r="C46" s="59"/>
      <c r="D46" s="59"/>
      <c r="E46" s="59"/>
      <c r="F46" s="85">
        <f>G45</f>
        <v>1047.6000000000001</v>
      </c>
      <c r="G46" s="85"/>
    </row>
    <row r="47" spans="1:7" s="1" customFormat="1" ht="22.7" customHeight="1" x14ac:dyDescent="0.25">
      <c r="A47" s="86" t="s">
        <v>85</v>
      </c>
      <c r="B47" s="86"/>
      <c r="C47" s="86"/>
      <c r="D47" s="86"/>
      <c r="E47" s="86"/>
      <c r="F47" s="86"/>
      <c r="G47" s="86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2025-09-03T15:57:07Z</cp:lastPrinted>
  <dcterms:created xsi:type="dcterms:W3CDTF">2024-04-15T12:43:19Z</dcterms:created>
  <dcterms:modified xsi:type="dcterms:W3CDTF">2025-09-03T16:03:23Z</dcterms:modified>
  <dc:language>es-ES</dc:language>
</cp:coreProperties>
</file>