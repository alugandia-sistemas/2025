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BEADBDA4-1D98-4A4C-AD62-131E6D2D7089}" xr6:coauthVersionLast="47" xr6:coauthVersionMax="47" xr10:uidLastSave="{00000000-0000-0000-0000-000000000000}"/>
  <bookViews>
    <workbookView xWindow="-13755" yWindow="0" windowWidth="1386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<sst xmlns="http://schemas.openxmlformats.org/spreadsheetml/2006/main" count="5402" uniqueCount="1453">
  <si>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</si>
  <si>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</si>
  <si>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</si>
  <si>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</si>
  <si>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</si>
  <si>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</si>
  <si>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</si>
  <si>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</si>
  <si>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</si>
  <si>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</si>
  <si>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</si>
  <si>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</si>
  <si>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</si>
  <si>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</si>
  <si>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</si>
  <si>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</si>
  <si>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</si>
  <si>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</si>
  <si>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</si>
  <si>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</si>
  <si>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</si>
  <si>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</si>
  <si>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</si>
  <si>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</si>
  <si>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</si>
  <si>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</si>
  <si>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</si>
  <si>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</si>
  <si>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</si>
  <si>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</si>
  <si>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</si>
  <si>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</si>
  <si>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</si>
  <si>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</si>
  <si>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</si>
  <si>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</si>
  <si>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</si>
  <si>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</si>
  <si>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</si>
  <si>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</si>
  <si>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</si>
  <si>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</si>
  <si>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</si>
  <si>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</si>
  <si>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</si>
  <si>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</si>
  <si>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</si>
  <si>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</si>
  <si>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</si>
  <si>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</si>
  <si>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</si>
  <si>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</si>
  <si>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</si>
  <si>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</si>
  <si>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</si>
  <si>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</si>
  <si>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</si>
  <si>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</si>
  <si>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</si>
  <si>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</si>
  <si>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</si>
  <si>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</si>
  <si>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</si>
  <si>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</si>
  <si>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</si>
  <si>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</si>
  <si>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</si>
  <si>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</si>
  <si>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</si>
  <si>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</si>
  <si>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</si>
  <si>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</si>
  <si>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</si>
  <si>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</si>
  <si>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</si>
  <si>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</si>
  <si>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</si>
  <si>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</si>
  <si>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</si>
  <si>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</si>
  <si>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</si>
  <si>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</si>
  <si>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</si>
  <si>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</si>
  <si>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</si>
  <si>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</si>
  <si>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</si>
  <si>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</si>
  <si>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</si>
  <si>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</si>
  <si>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</si>
  <si>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</si>
  <si>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</si>
  <si>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</si>
  <si>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</si>
  <si>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</si>
  <si>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</si>
  <si>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</si>
  <si>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</si>
  <si>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</si>
  <si>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</si>
  <si>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</si>
  <si>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</si>
  <si>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</si>
  <si>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</si>
  <si>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</si>
  <si>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</si>
  <si>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</si>
  <si>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</si>
  <si>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</si>
  <si>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</si>
  <si>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</si>
  <si>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</si>
  <si>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</si>
  <si>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</si>
  <si>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</si>
  <si>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</si>
  <si>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</si>
  <si>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</si>
  <si>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</si>
  <si>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</si>
  <si>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</si>
  <si>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</si>
  <si>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</si>
  <si>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</si>
  <si>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</si>
  <si>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</si>
  <si>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</si>
  <si>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</si>
  <si>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</si>
  <si>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</si>
  <si>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</si>
  <si>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</si>
  <si>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</si>
  <si>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</si>
  <si>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</si>
  <si>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</si>
  <si>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</si>
  <si>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</si>
  <si>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</si>
  <si>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</si>
  <si>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</si>
  <si>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</si>
  <si>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</si>
  <si>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</si>
  <si>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</si>
  <si>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</si>
  <si>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</si>
  <si>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</si>
  <si>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</si>
  <si>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</si>
  <si>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</si>
  <si>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</si>
  <si>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</si>
  <si>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</si>
  <si>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</si>
  <si>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</si>
  <si>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</si>
  <si>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</si>
  <si>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</si>
  <si>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</si>
  <si>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</si>
  <si>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</si>
  <si>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</si>
  <si>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</si>
  <si>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</si>
  <si>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</si>
  <si>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</si>
  <si>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</si>
  <si>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</si>
  <si>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</si>
  <si>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</si>
  <si>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</si>
  <si>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</si>
  <si>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</si>
  <si>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</si>
  <si>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</si>
  <si>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</si>
  <si>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</si>
  <si>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</si>
  <si>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</si>
  <si>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</si>
  <si>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</si>
  <si>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</si>
  <si>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</si>
  <si>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</si>
  <si>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</si>
  <si>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</si>
  <si>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</si>
  <si>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</si>
  <si>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</si>
  <si>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</si>
  <si>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</si>
  <si>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</si>
  <si>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</si>
  <si>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</si>
  <si>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</si>
  <si>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</si>
  <si>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</si>
  <si>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</si>
  <si>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</si>
  <si>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</si>
  <si>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</si>
  <si>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</si>
  <si>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</si>
  <si>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</si>
  <si>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</si>
  <si>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</si>
  <si>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</si>
  <si>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</si>
  <si>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</si>
  <si>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</si>
  <si>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</si>
  <si>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</si>
  <si>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</si>
  <si>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</si>
  <si>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</si>
  <si>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</si>
  <si>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</si>
  <si>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</si>
  <si>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</si>
  <si>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</si>
  <si>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</si>
  <si>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</si>
  <si>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</si>
  <si>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</si>
  <si>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</si>
  <si>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</si>
  <si>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</si>
  <si>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</si>
  <si>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</si>
  <si>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</si>
  <si>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</si>
  <si>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</si>
  <si>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</si>
  <si>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</si>
  <si>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</si>
  <si>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</si>
  <si>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</si>
  <si>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</si>
  <si>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</si>
  <si>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</si>
  <si>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</si>
  <si>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</si>
  <si>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</si>
  <si>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</si>
  <si>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</si>
  <si>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</si>
  <si>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</si>
  <si>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</si>
  <si>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</si>
  <si>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</si>
  <si>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</si>
  <si>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</si>
  <si>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</si>
  <si>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</si>
  <si>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</si>
  <si>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</si>
  <si>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</si>
  <si>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</si>
  <si>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</si>
  <si>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</si>
  <si>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</si>
  <si>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</si>
  <si>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</si>
  <si>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</si>
  <si>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</si>
  <si>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</si>
  <si>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</si>
  <si>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</si>
  <si>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</si>
  <si>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</si>
  <si>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</si>
  <si>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</si>
  <si>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</si>
  <si>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</si>
  <si>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</si>
  <si>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</si>
  <si>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</si>
  <si>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</si>
  <si>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</si>
  <si>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</si>
  <si>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</si>
  <si>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</si>
  <si>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</si>
  <si>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</si>
  <si>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</si>
  <si>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</si>
  <si>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</si>
  <si>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</si>
  <si>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</si>
  <si>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</si>
  <si>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</si>
  <si>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</si>
  <si>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</si>
  <si>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</si>
  <si>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</si>
  <si>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</si>
  <si>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</si>
  <si>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</si>
  <si>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</si>
  <si>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</si>
  <si>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</si>
  <si>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</si>
  <si>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</si>
  <si>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</si>
  <si>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</si>
  <si>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</si>
  <si>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</si>
  <si>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</si>
  <si>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</si>
  <si>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</si>
  <si>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</si>
  <si>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</si>
  <si>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</si>
  <si>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</si>
  <si>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</si>
  <si>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</si>
  <si>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</si>
  <si>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</si>
  <si>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</si>
  <si>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</si>
  <si>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</si>
  <si>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</si>
  <si>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</si>
  <si>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</si>
  <si>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</si>
  <si>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</si>
  <si>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</si>
  <si>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</si>
  <si>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</si>
  <si>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</si>
  <si>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</si>
  <si>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</si>
  <si>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</si>
  <si>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</si>
  <si>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</si>
  <si>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</si>
  <si>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</si>
  <si>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</si>
  <si>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</si>
  <si>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</si>
  <si>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</si>
  <si>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</si>
  <si>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</si>
  <si>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</si>
  <si>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</si>
  <si>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</si>
  <si>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</si>
  <si>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</si>
  <si>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</si>
  <si>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</si>
  <si>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</si>
  <si>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</si>
  <si>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</si>
  <si>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</si>
  <si>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</si>
  <si>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</si>
  <si>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</si>
  <si>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</si>
  <si>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</si>
  <si>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</si>
  <si>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</si>
  <si>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</si>
  <si>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</si>
  <si>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</si>
  <si>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</si>
  <si>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</si>
  <si>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</si>
  <si>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</si>
  <si>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</si>
  <si>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</si>
  <si>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</si>
  <si>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</si>
  <si>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</si>
  <si>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</si>
  <si>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</si>
  <si>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</si>
  <si>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</si>
  <si>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</si>
  <si>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</si>
  <si>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</si>
  <si>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</si>
  <si>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</si>
  <si>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</si>
  <si>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</si>
  <si>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</si>
  <si>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</si>
  <si>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</si>
  <si>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</si>
  <si>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</si>
  <si>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</si>
  <si>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</si>
  <si>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</si>
  <si>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</si>
  <si>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</si>
  <si>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</si>
  <si>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</si>
  <si>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</si>
  <si>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</si>
  <si>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</si>
  <si>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</si>
  <si>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</si>
  <si>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</si>
  <si>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</si>
  <si>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</si>
  <si>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</si>
  <si>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</si>
  <si>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</si>
  <si>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</si>
  <si>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</si>
  <si>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</si>
  <si>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</si>
  <si>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</si>
  <si>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</si>
  <si>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</si>
  <si>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</si>
  <si>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</si>
  <si>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</si>
  <si>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</si>
  <si>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</si>
  <si>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</si>
  <si>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</si>
  <si>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</si>
  <si>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</si>
  <si>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</si>
  <si>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</si>
  <si>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</si>
  <si>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</si>
  <si>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</si>
  <si>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</si>
  <si>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</si>
  <si>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</si>
  <si>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</si>
  <si>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</si>
  <si>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</si>
  <si>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</si>
  <si>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</si>
  <si>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</si>
  <si>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</si>
  <si>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</si>
  <si>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</si>
  <si>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</si>
  <si>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</si>
  <si>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</si>
  <si>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</si>
  <si>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</si>
  <si>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</si>
  <si>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</si>
  <si>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</si>
  <si>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</si>
  <si>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</si>
  <si>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</si>
  <si>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</si>
  <si>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</si>
  <si>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</si>
  <si>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</si>
  <si>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</si>
  <si>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</si>
  <si>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</si>
  <si>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</si>
  <si>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</si>
  <si>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</si>
  <si>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</si>
  <si>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</si>
  <si>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</si>
  <si>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</si>
  <si>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</si>
  <si>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</si>
  <si>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</si>
  <si>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</si>
  <si>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</si>
  <si>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</si>
  <si>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</si>
  <si>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</si>
  <si>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</si>
  <si>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</si>
  <si>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</si>
  <si>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</si>
  <si>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</si>
  <si>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</si>
  <si>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</si>
  <si>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</si>
  <si>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</si>
  <si>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</si>
  <si>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</si>
  <si>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</si>
  <si>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</si>
  <si>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</si>
  <si>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</si>
  <si>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</si>
  <si>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</si>
  <si>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</si>
  <si>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</si>
  <si>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</si>
  <si>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</si>
  <si>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</si>
  <si>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</si>
  <si>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</si>
  <si>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</si>
  <si>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</si>
  <si>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</si>
  <si>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</si>
  <si>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</si>
  <si>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</si>
  <si>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</si>
  <si>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</si>
  <si>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</si>
  <si>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</si>
  <si>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</si>
  <si>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</si>
  <si>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</si>
  <si>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</si>
  <si>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</si>
  <si>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</si>
  <si>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</si>
  <si>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</si>
  <si>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</si>
  <si>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</si>
  <si>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</si>
  <si>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</si>
  <si>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</si>
  <si>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</si>
  <si>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</si>
  <si>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</si>
  <si>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</si>
  <si>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</si>
  <si>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</si>
  <si>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</si>
  <si>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</si>
  <si>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</si>
  <si>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</si>
  <si>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</si>
  <si>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</si>
  <si>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</si>
  <si>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</si>
  <si>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</si>
  <si>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</si>
  <si>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</si>
  <si>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</si>
  <si>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</si>
  <si>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</si>
  <si>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</si>
  <si>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</si>
  <si>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</si>
  <si>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</si>
  <si>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</si>
  <si>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</si>
  <si>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</si>
  <si>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</si>
  <si>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</si>
  <si>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</si>
  <si>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</si>
  <si>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</si>
  <si>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</si>
  <si>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</si>
  <si>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</si>
  <si>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</si>
  <si>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</si>
  <si>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</si>
  <si>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</si>
  <si>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</si>
  <si>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</si>
  <si>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</si>
  <si>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</si>
  <si>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</si>
  <si>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</si>
  <si>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</si>
  <si>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</si>
  <si>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</si>
  <si>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</si>
  <si>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</si>
  <si>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</si>
  <si>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</si>
  <si>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</si>
  <si>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</si>
  <si>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</si>
  <si>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</si>
  <si>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</si>
  <si>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</si>
  <si>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</si>
  <si>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</si>
  <si>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</si>
  <si>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</si>
  <si>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</si>
  <si>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</si>
  <si>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</si>
  <si>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</si>
  <si>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</si>
  <si>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</si>
  <si>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</si>
  <si>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</si>
  <si>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</si>
  <si>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</si>
  <si>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</si>
  <si>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</si>
  <si>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</si>
  <si>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</si>
  <si>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</si>
  <si>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</si>
  <si>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</si>
  <si>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</si>
  <si>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</si>
  <si>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</si>
  <si>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</si>
  <si>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</si>
  <si>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</si>
  <si>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</si>
  <si>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</si>
  <si>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</si>
  <si>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</si>
  <si>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</si>
  <si>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</si>
  <si>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</si>
  <si>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</si>
  <si>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</si>
  <si>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</si>
  <si>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</si>
  <si>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</si>
  <si>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</si>
  <si>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</si>
  <si>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</si>
  <si>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</si>
  <si>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</si>
  <si>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</si>
  <si>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</si>
  <si>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</si>
  <si>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</si>
  <si>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</si>
  <si>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</si>
  <si>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</si>
  <si>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</si>
  <si>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</si>
  <si>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</si>
  <si>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</si>
  <si>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</si>
  <si>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</si>
  <si>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</si>
  <si>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</si>
  <si>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</si>
  <si>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</si>
  <si>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</si>
  <si>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</si>
  <si>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</si>
  <si>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</si>
  <si>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</si>
  <si>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</si>
  <si>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</si>
  <si>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</si>
  <si>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</si>
  <si>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</si>
  <si>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</si>
  <si>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</si>
  <si>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</si>
  <si>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</si>
  <si>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</si>
  <si>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</si>
  <si>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</si>
  <si>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</si>
  <si>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</si>
  <si>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</si>
  <si>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</si>
  <si>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</si>
  <si>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</si>
  <si>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</si>
  <si>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</si>
  <si>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</si>
  <si>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</si>
  <si>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</si>
  <si>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</si>
  <si>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</si>
  <si>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</si>
  <si>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</si>
  <si>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</si>
  <si>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</si>
  <si>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</si>
  <si>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</si>
  <si>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</si>
  <si>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</si>
  <si>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</si>
  <si>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</si>
  <si>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</si>
  <si>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</si>
  <si>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</si>
  <si>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</si>
  <si>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</si>
  <si>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</si>
  <si>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</si>
  <si>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</si>
  <si>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</si>
  <si>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</si>
  <si>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</si>
  <si>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</si>
  <si>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</si>
  <si>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</si>
  <si>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</si>
  <si>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</si>
  <si>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</si>
  <si>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</si>
  <si>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</si>
  <si>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</si>
  <si>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</si>
  <si>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</si>
  <si>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</si>
  <si>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</si>
  <si>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</si>
  <si>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</si>
  <si>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</si>
  <si>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</si>
  <si>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</si>
  <si>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</si>
  <si>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</si>
  <si>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</si>
  <si>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</si>
  <si>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</si>
  <si>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</si>
  <si>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</si>
  <si>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</si>
  <si>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</si>
  <si>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</si>
  <si>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</si>
  <si>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</si>
  <si>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</si>
  <si>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</si>
  <si>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</si>
  <si>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</si>
  <si>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</si>
  <si>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</si>
  <si>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</si>
  <si>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</si>
  <si>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</si>
  <si>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</si>
  <si>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</si>
  <si>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</si>
  <si>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</si>
  <si>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</si>
  <si>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</si>
  <si>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</si>
  <si>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</si>
  <si>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</si>
  <si>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</si>
  <si>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</si>
  <si>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</si>
  <si>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</si>
  <si>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</si>
  <si>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</si>
  <si>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</si>
  <si>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</si>
  <si>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</si>
  <si>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</si>
  <si>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</si>
  <si>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</si>
  <si>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</si>
  <si>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</si>
  <si>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</si>
  <si>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</si>
  <si>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</si>
  <si>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</si>
  <si>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</si>
  <si>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</si>
  <si>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</si>
  <si>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</si>
  <si>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</si>
  <si>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</si>
  <si>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</si>
  <si>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</si>
  <si>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</si>
  <si>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</si>
  <si>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</si>
  <si>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</si>
  <si>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</si>
  <si>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</si>
  <si>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</si>
  <si>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</si>
  <si>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</si>
  <si>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</si>
  <si>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</si>
  <si>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</si>
  <si>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</si>
  <si>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</si>
  <si>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</si>
  <si>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</si>
  <si>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</si>
  <si>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</si>
  <si>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</si>
  <si>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</si>
  <si>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</si>
  <si>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</si>
  <si>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</si>
  <si>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</si>
  <si>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</si>
  <si>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</si>
  <si>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</si>
  <si>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</si>
  <si>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</si>
  <si>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</si>
  <si>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</si>
  <si>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</si>
  <si>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</si>
  <si>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</si>
  <si>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</si>
  <si>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</si>
  <si>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</si>
  <si>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</si>
  <si>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</si>
  <si>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</si>
  <si>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</si>
  <si>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</si>
  <si>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</si>
  <si>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</si>
  <si>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</si>
  <si>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</si>
  <si>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</si>
  <si>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</si>
  <si>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</si>
  <si>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</si>
  <si>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</si>
  <si>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</si>
  <si>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</si>
  <si>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</si>
  <si>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</si>
  <si>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</si>
  <si>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</si>
  <si>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</si>
  <si>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</si>
  <si>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</si>
  <si>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</si>
  <si>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</si>
  <si>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</si>
  <si>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</si>
  <si>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</si>
  <si>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</si>
  <si>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</si>
  <si>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</si>
  <si>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</si>
  <si>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</si>
  <si>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</si>
  <si>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</si>
  <si>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</si>
  <si>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</si>
  <si>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</si>
  <si>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</si>
  <si>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</si>
  <si>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</si>
  <si>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</si>
  <si>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</si>
  <si>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</si>
  <si>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</si>
  <si>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</si>
  <si>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</si>
  <si>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</si>
  <si>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</si>
  <si>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</si>
  <si>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</si>
  <si>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</si>
  <si>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</si>
  <si>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</si>
  <si>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</si>
  <si>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</si>
  <si>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</si>
  <si>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</si>
  <si>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</si>
  <si>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</si>
  <si>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</si>
  <si>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</si>
  <si>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</si>
  <si>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</si>
  <si>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</si>
  <si>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</si>
  <si>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</si>
  <si>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</si>
  <si>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</si>
  <si>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</si>
  <si>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</si>
  <si>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</si>
  <si>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</si>
  <si>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</si>
  <si>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</si>
  <si>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</si>
  <si>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</si>
  <si>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</si>
  <si>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</si>
  <si>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</si>
  <si>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</si>
  <si>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</si>
  <si>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</si>
  <si>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</si>
  <si>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</si>
  <si>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</si>
  <si>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</si>
  <si>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</si>
  <si>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</si>
  <si>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</si>
  <si>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</si>
  <si>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</si>
  <si>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</si>
  <si>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</si>
  <si>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</si>
  <si>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</si>
  <si>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</si>
  <si>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</si>
  <si>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</si>
  <si>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</si>
  <si>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</si>
  <si>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</si>
  <si>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</si>
  <si>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</si>
  <si>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</si>
  <si>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</si>
  <si>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</si>
  <si>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</si>
  <si>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</si>
  <si>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</si>
  <si>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</si>
  <si>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</si>
  <si>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</si>
  <si>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</si>
  <si>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</si>
  <si>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</si>
  <si>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</si>
  <si>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</si>
  <si>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</si>
  <si>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</si>
  <si>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</si>
  <si>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</si>
  <si>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</si>
  <si>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</si>
  <si>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</si>
  <si>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</si>
  <si>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</si>
  <si>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</si>
  <si>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</si>
  <si>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</si>
  <si>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</si>
  <si>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</si>
  <si>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</si>
  <si>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</si>
  <si>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</si>
  <si>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</si>
  <si>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</si>
  <si>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</si>
  <si>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</si>
  <si>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</si>
  <si>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</si>
  <si>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</si>
  <si>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</si>
  <si>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</si>
  <si>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</si>
  <si>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</si>
  <si>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</si>
  <si>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</si>
  <si>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</si>
  <si>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</si>
  <si>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</si>
  <si>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</si>
  <si>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</si>
  <si>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</si>
  <si>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</si>
  <si>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</si>
  <si>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</si>
  <si>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</si>
  <si>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</si>
  <si>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</si>
  <si>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</si>
  <si>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</si>
  <si>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</si>
  <si>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</si>
  <si>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</si>
  <si>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</si>
  <si>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</si>
  <si>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</si>
  <si>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</si>
  <si>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</si>
  <si>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</si>
  <si>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</si>
  <si>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</si>
  <si>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</si>
  <si>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</si>
  <si>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</si>
  <si>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</si>
  <si>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</si>
  <si>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</si>
  <si>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</si>
  <si>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</si>
  <si>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</si>
  <si>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</si>
  <si>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</si>
  <si>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</si>
  <si>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</si>
  <si>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</si>
  <si>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</si>
  <si>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</si>
  <si>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</si>
  <si>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</si>
  <si>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</si>
  <si>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</si>
  <si>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</si>
  <si>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</si>
  <si>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</si>
  <si>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</si>
  <si>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</si>
  <si>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</si>
  <si>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</si>
  <si>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</si>
  <si>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</si>
  <si>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</si>
  <si>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</si>
  <si>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</si>
  <si>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</si>
  <si>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</si>
  <si>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</si>
  <si>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</si>
  <si>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</si>
  <si>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</si>
  <si>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</si>
  <si>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</si>
  <si>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</si>
  <si>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</si>
  <si>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</si>
  <si>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</si>
  <si>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</si>
  <si>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</si>
  <si>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</si>
  <si>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</si>
  <si>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</si>
  <si>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</si>
  <si>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</si>
  <si>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</si>
  <si>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</si>
  <si>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</si>
  <si>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</si>
  <si>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</si>
  <si>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</si>
  <si>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</si>
  <si>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</si>
  <si>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</si>
  <si>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</si>
  <si>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</si>
  <si>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</si>
  <si>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</si>
  <si>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</si>
  <si>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</si>
  <si>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</si>
  <si>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</si>
  <si>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</si>
  <si>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</si>
  <si>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</si>
  <si>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</si>
  <si>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</si>
  <si>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</si>
  <si>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</si>
  <si>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</si>
  <si>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</si>
  <si>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</si>
  <si>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</si>
  <si>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</si>
  <si>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</si>
  <si>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</si>
  <si>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</si>
  <si>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</si>
  <si>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</si>
  <si>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</si>
  <si>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</si>
  <si>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</si>
  <si>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</si>
  <si>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</si>
  <si>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</si>
  <si>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</si>
  <si>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</si>
  <si>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</si>
  <si>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</si>
  <si>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</si>
  <si>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</si>
  <si>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</si>
  <si>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</si>
  <si>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</si>
  <si>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</si>
  <si>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</si>
  <si>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</si>
  <si>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</si>
  <si>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</si>
  <si>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</si>
  <si>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</si>
  <si>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</si>
  <si>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</si>
  <si>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</si>
  <si>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</si>
  <si>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</si>
  <si>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</si>
  <si>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</si>
  <si>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</si>
  <si>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</si>
  <si>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</si>
  <si>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</si>
  <si>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</si>
  <si>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</si>
  <si>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</si>
  <si>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</si>
  <si>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</si>
  <si>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</si>
  <si>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</si>
  <si>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</si>
  <si>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</si>
  <si>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</si>
  <si>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</si>
  <si>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</si>
  <si>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</si>
  <si>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</si>
  <si>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</si>
  <si>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</si>
  <si>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</si>
  <si>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</si>
  <si>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</si>
  <si>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</si>
  <si>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</si>
  <si>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</si>
  <si>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</si>
  <si>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</si>
  <si>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</si>
  <si>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</si>
  <si>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</si>
  <si>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</si>
  <si>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</si>
  <si>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</si>
  <si>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</si>
  <si>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</si>
  <si>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</si>
  <si>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</si>
  <si>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</si>
  <si>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</si>
  <si>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</si>
  <si>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</si>
  <si>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</si>
  <si>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</si>
  <si>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</si>
  <si>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</si>
  <si>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</si>
  <si>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</si>
  <si>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</si>
  <si>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</si>
  <si>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</si>
  <si>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</si>
  <si>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</si>
  <si>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</si>
  <si>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</si>
  <si>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</si>
  <si>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</si>
  <si>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</si>
  <si>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</si>
  <si>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</si>
  <si>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</si>
  <si>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</si>
  <si>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</si>
  <si>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</si>
  <si>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</si>
  <si>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</si>
  <si>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</si>
  <si>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</si>
  <si>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</si>
  <si>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</si>
  <si>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</si>
  <si>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</si>
  <si>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</si>
  <si>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</si>
  <si>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</si>
  <si>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</si>
  <si>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</si>
  <si>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</si>
  <si>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</si>
  <si>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</si>
  <si>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</si>
  <si>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</si>
  <si>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</si>
  <si>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</si>
  <si>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</si>
  <si>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</si>
  <si>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</si>
  <si>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</si>
  <si>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</si>
  <si>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</si>
  <si>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</si>
  <si>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</si>
  <si>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</si>
  <si>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</si>
  <si>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</si>
  <si>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</si>
  <si>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</si>
  <si>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</si>
  <si>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</si>
  <si>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</si>
  <si>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</si>
  <si>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</si>
  <si>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</si>
  <si>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</si>
  <si>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</si>
  <si>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</si>
  <si>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</si>
  <si>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</si>
  <si>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</si>
  <si>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</si>
  <si>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</si>
  <si>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</si>
  <si>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</si>
  <si>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</si>
  <si>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</si>
  <si>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</si>
  <si>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</si>
  <si>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</si>
  <si>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</si>
  <si>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</si>
  <si>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</si>
  <si>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</si>
  <si>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</si>
  <si>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</si>
  <si>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</si>
  <si>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</si>
  <si>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</si>
  <si>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</si>
  <si>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</si>
  <si>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</si>
  <si>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</si>
  <si>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</si>
  <si>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</si>
  <si>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</si>
  <si>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</si>
  <si>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</si>
  <si>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</si>
  <si>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</si>
  <si>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</si>
  <si>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</si>
  <si>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</si>
  <si>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</si>
  <si>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</si>
  <si>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</si>
  <si>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</si>
  <si>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</si>
  <si>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</si>
  <si>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</si>
  <si>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</si>
  <si>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</si>
  <si>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</si>
  <si>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</si>
  <si>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</si>
  <si>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</si>
  <si>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</si>
  <si>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</si>
  <si>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</si>
  <si>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</si>
  <si>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</si>
  <si>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</si>
  <si>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</si>
  <si>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</si>
  <si>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</si>
  <si>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</si>
  <si>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</si>
  <si>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</si>
  <si>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</si>
  <si>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</si>
  <si>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</si>
  <si>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</si>
  <si>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</si>
  <si>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</si>
  <si>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</si>
  <si>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</si>
  <si>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</si>
  <si>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</si>
  <si>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</si>
  <si>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</si>
  <si>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</si>
  <si>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</si>
  <si>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</si>
  <si>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</si>
  <si>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</si>
  <si>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</si>
  <si>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</si>
  <si>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</si>
  <si>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</si>
  <si>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</si>
  <si>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</si>
  <si>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</si>
  <si>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</si>
  <si>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</si>
  <si>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</si>
  <si>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</si>
  <si>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</si>
  <si>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</si>
  <si>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</si>
  <si>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</si>
  <si>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</si>
  <si>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</si>
  <si>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</si>
  <si>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</si>
  <si>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</si>
  <si>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</si>
  <si>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</si>
  <si>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</si>
  <si>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</si>
  <si>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</si>
  <si>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</si>
  <si>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</si>
  <si>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</si>
  <si>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</si>
  <si>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</si>
  <si>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</si>
  <si>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</si>
  <si>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</si>
  <si>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</si>
  <si>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</si>
  <si>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</si>
  <si>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</si>
  <si>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</si>
  <si>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</si>
  <si>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</si>
  <si>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</si>
  <si>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</si>
  <si>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</si>
  <si>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</si>
  <si>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</si>
  <si>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</si>
  <si>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</si>
  <si>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</si>
  <si>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</si>
  <si>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</si>
  <si>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</si>
  <si>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</si>
  <si>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</si>
  <si>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</si>
  <si>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</si>
  <si>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</si>
  <si>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</si>
  <si>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</si>
  <si>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</si>
  <si>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</si>
  <si>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</si>
  <si>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</si>
  <si>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</si>
  <si>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</si>
  <si>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</si>
  <si>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</si>
  <si>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</si>
  <si>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</si>
  <si>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</si>
  <si>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</si>
  <si>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</si>
  <si>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</si>
  <si>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</si>
  <si>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</si>
  <si>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</si>
  <si>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</si>
  <si>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</si>
  <si>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</si>
  <si>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</si>
  <si>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</si>
  <si>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</si>
  <si>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</si>
  <si>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</si>
  <si>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</si>
  <si>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</si>
  <si>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</si>
  <si>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</si>
  <si>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</si>
  <si>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</si>
  <si>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</si>
  <si>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</si>
  <si>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</si>
  <si>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</si>
  <si>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</si>
  <si>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</si>
  <si>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</si>
  <si>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</si>
  <si>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</si>
  <si>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</si>
  <si>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</si>
  <si>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</si>
  <si>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</si>
  <si>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</si>
  <si>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</si>
  <si>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</si>
  <si>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</si>
  <si>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</si>
  <si>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</si>
  <si>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</si>
  <si>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</si>
  <si>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</si>
  <si>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</si>
  <si>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</si>
  <si>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</si>
  <si>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</si>
  <si>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</si>
  <si>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</si>
  <si>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</si>
  <si>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</si>
  <si>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</si>
  <si>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</si>
  <si>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</si>
  <si>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</si>
  <si>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</si>
  <si>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</si>
  <si>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</si>
  <si>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</si>
  <si>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</si>
  <si>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</si>
  <si>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</si>
  <si>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</si>
  <si>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</si>
  <si>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</si>
  <si>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</si>
  <si>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</si>
  <si>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</si>
  <si>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</si>
  <si>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</si>
  <si>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</si>
  <si>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</si>
  <si>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</si>
  <si>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</si>
  <si>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</si>
  <si>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</si>
  <si>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</si>
  <si>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</si>
  <si>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</si>
  <si>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</si>
  <si>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</si>
  <si>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</si>
  <si>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</si>
  <si>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</si>
  <si>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</si>
  <si>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</si>
  <si>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</si>
  <si>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</si>
  <si>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</si>
  <si>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</si>
  <si>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</si>
  <si>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</si>
  <si>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</si>
  <si>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</si>
  <si>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</si>
  <si>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</si>
  <si>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</si>
  <si>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</si>
  <si>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</si>
  <si>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</si>
  <si>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</si>
  <si>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</si>
  <si>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</si>
  <si>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</si>
  <si>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</si>
  <si>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</si>
  <si>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</si>
  <si>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</si>
  <si>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</si>
  <si>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</si>
  <si>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</si>
  <si>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Lola Lloret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</si>
</sst>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B16" sqref="B1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20250201</v>
      </c>
      <c r="G7" s="8">
        <f ca="1">TODAY()</f>
        <v>45943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203</v>
      </c>
      <c r="C13" s="77" t="str">
        <f>IFERROR(VLOOKUP($B13,Tarifa_all_20240711!$A$2:$G$660,2,FALSE()),"-")</f>
        <v>GUIA SUP PARED PLUS LAC.NEGRO MATE-3 MTS</v>
      </c>
      <c r="D13" s="77"/>
      <c r="E13" s="17">
        <v>1</v>
      </c>
      <c r="F13" s="18">
        <f>IFERROR(VLOOKUP($B13,Tarifa_all_20240711!$A$2:$G$660,5,FALSE()),"-")</f>
        <v>92.212500000000006</v>
      </c>
      <c r="G13" s="18">
        <f t="shared" ref="G13:G30" si="0">IFERROR(E13*F13,"-")</f>
        <v>92.212500000000006</v>
      </c>
      <c r="H13" s="1"/>
    </row>
    <row r="14" spans="1:12" x14ac:dyDescent="0.25">
      <c r="A14" t="s">
        <v>15</v>
      </c>
      <c r="B14" s="16" t="s">
        <v>1431</v>
      </c>
      <c r="C14" s="77" t="str">
        <f>IFERROR(VLOOKUP($B14,Tarifa_all_20240711!$A$2:$G$660,2,FALSE()),"-")</f>
        <v>TAPETA LAT. GUIA SKY PARED PLUS IZQUIERDA NEGRO MATE</v>
      </c>
      <c r="D14" s="77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1427</v>
      </c>
      <c r="C15" s="77" t="str">
        <f>IFERROR(VLOOKUP($B15,Tarifa_all_20240711!$A$2:$G$660,2,FALSE()),"-")</f>
        <v>TAPETA LAT. GUIA SKY PARED PLUS DERECHA NEGRO MATE</v>
      </c>
      <c r="D15" s="77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339</v>
      </c>
      <c r="C16" s="77" t="str">
        <f>IFERROR(VLOOKUP($B16,Tarifa_all_20240711!$A$2:$G$660,2,FALSE()),"-")</f>
        <v>KIT AMORTIGUADOR SKY 60KG FORMATO CORTO</v>
      </c>
      <c r="D16" s="77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962.3325000000001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70" zoomScaleNormal="70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45943</v>
      </c>
    </row>
    <row r="10" spans="1:7" x14ac:dyDescent="0.25">
      <c r="A10" s="3" t="s">
        <v>82</v>
      </c>
      <c r="B10" s="11" t="str">
        <f>'DESPIECE (MATANALYSIS)'!C9</f>
        <v>Lola Lloret</v>
      </c>
      <c r="C10" s="45"/>
      <c r="D10" s="45"/>
      <c r="E10" s="46"/>
      <c r="F10" s="47" t="s">
        <v>83</v>
      </c>
      <c r="G10" s="7">
        <f>'DESPIECE (MATANALYSIS)'!C7</f>
        <v>20250201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962.3325000000001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2025-10-13T08:24:08Z</cp:lastPrinted>
  <dcterms:created xsi:type="dcterms:W3CDTF">2024-04-15T12:43:19Z</dcterms:created>
  <dcterms:modified xsi:type="dcterms:W3CDTF">2025-10-13T10:10:06Z</dcterms:modified>
  <dc:language>es-ES</dc:language>
</cp:coreProperties>
</file>