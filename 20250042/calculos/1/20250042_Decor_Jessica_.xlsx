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42\calculos\1\"/>
    </mc:Choice>
  </mc:AlternateContent>
  <xr:revisionPtr revIDLastSave="0" documentId="13_ncr:1_{D1253918-4DC3-4268-95BB-5591D222AD94}" xr6:coauthVersionLast="47" xr6:coauthVersionMax="47" xr10:uidLastSave="{00000000-0000-0000-0000-000000000000}"/>
  <bookViews>
    <workbookView xWindow="2850" yWindow="900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<sst xmlns="http://schemas.openxmlformats.org/spreadsheetml/2006/main" count="5402" uniqueCount="1455">
  <si>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</si>
  <si>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</si>
  <si>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</si>
  <si>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</si>
  <si>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</si>
  <si>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</si>
  <si>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</si>
  <si>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</si>
  <si>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</si>
  <si>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</si>
  <si>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</si>
  <si>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</si>
  <si>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</si>
  <si>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</si>
  <si>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</si>
  <si>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</si>
  <si>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</si>
  <si>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</si>
  <si>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</si>
  <si>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</si>
  <si>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</si>
  <si>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</si>
  <si>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</si>
  <si>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</si>
  <si>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</si>
  <si>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</si>
  <si>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</si>
  <si>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</si>
  <si>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</si>
  <si>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</si>
  <si>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</si>
  <si>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</si>
  <si>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</si>
  <si>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</si>
  <si>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</si>
  <si>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</si>
  <si>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</si>
  <si>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</si>
  <si>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</si>
  <si>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</si>
  <si>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</si>
  <si>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</si>
  <si>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</si>
  <si>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</si>
  <si>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</si>
  <si>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</si>
  <si>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</si>
  <si>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</si>
  <si>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</si>
  <si>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</si>
  <si>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</si>
  <si>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</si>
  <si>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</si>
  <si>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</si>
  <si>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</si>
  <si>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</si>
  <si>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</si>
  <si>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</si>
  <si>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</si>
  <si>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</si>
  <si>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</si>
  <si>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</si>
  <si>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</si>
  <si>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</si>
  <si>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</si>
  <si>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</si>
  <si>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</si>
  <si>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</si>
  <si>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</si>
  <si>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</si>
  <si>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</si>
  <si>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</si>
  <si>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</si>
  <si>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</si>
  <si>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</si>
  <si>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</si>
  <si>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</si>
  <si>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</si>
  <si>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</si>
  <si>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</si>
  <si>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</si>
  <si>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</si>
  <si>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</si>
  <si>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</si>
  <si>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</si>
  <si>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</si>
  <si>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</si>
  <si>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</si>
  <si>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</si>
  <si>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</si>
  <si>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</si>
  <si>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Arrastre derecha.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</si>
  <si>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</si>
  <si>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</si>
  <si>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</si>
  <si>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</si>
  <si>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</si>
  <si>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</si>
  <si>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</si>
  <si>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</si>
  <si>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</si>
  <si>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</si>
  <si>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</si>
  <si>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</si>
  <si>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</si>
  <si>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</si>
  <si>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</si>
  <si>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</si>
  <si>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</si>
  <si>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</si>
  <si>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</si>
  <si>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</si>
  <si>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</si>
  <si>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</si>
  <si>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</si>
  <si>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</si>
  <si>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</si>
  <si>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</si>
  <si>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</si>
  <si>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</si>
  <si>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</si>
  <si>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</si>
  <si>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</si>
  <si>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</si>
  <si>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</si>
  <si>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</si>
  <si>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</si>
  <si>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</si>
  <si>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</si>
  <si>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</si>
  <si>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</si>
  <si>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</si>
  <si>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</si>
  <si>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</si>
  <si>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</si>
  <si>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</si>
  <si>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</si>
  <si>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</si>
  <si>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</si>
  <si>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</si>
  <si>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</si>
  <si>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</si>
  <si>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</si>
  <si>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</si>
  <si>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</si>
  <si>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</si>
  <si>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</si>
  <si>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</si>
  <si>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</si>
  <si>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</si>
  <si>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</si>
  <si>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</si>
  <si>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</si>
  <si>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</si>
  <si>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</si>
  <si>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</si>
  <si>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</si>
  <si>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</si>
  <si>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</si>
  <si>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</si>
  <si>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</si>
  <si>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</si>
  <si>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</si>
  <si>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</si>
  <si>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</si>
  <si>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</si>
  <si>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</si>
  <si>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</si>
  <si>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</si>
  <si>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</si>
  <si>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</si>
  <si>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</si>
  <si>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</si>
  <si>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</si>
  <si>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</si>
  <si>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</si>
  <si>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</si>
  <si>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</si>
  <si>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</si>
  <si>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</si>
  <si>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</si>
  <si>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</si>
  <si>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</si>
  <si>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</si>
  <si>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</si>
  <si>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</si>
  <si>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</si>
  <si>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</si>
  <si>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</si>
  <si>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</si>
  <si>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</si>
  <si>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</si>
  <si>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</si>
  <si>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</si>
  <si>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</si>
  <si>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</si>
  <si>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</si>
  <si>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</si>
  <si>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</si>
  <si>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</si>
  <si>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</si>
  <si>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</si>
  <si>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</si>
  <si>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</si>
  <si>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</si>
  <si>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</si>
  <si>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</si>
  <si>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</si>
  <si>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</si>
  <si>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</si>
  <si>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</si>
  <si>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</si>
  <si>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</si>
  <si>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</si>
  <si>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</si>
  <si>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</si>
  <si>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</si>
  <si>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</si>
  <si>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</si>
  <si>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</si>
  <si>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</si>
  <si>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</si>
  <si>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</si>
  <si>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</si>
  <si>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</si>
  <si>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</si>
  <si>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</si>
  <si>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</si>
  <si>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</si>
  <si>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</si>
  <si>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</si>
  <si>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</si>
  <si>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</si>
  <si>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</si>
  <si>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</si>
  <si>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</si>
  <si>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</si>
  <si>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</si>
  <si>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</si>
  <si>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</si>
  <si>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</si>
  <si>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</si>
  <si>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</si>
  <si>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</si>
  <si>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</si>
  <si>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</si>
  <si>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</si>
  <si>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</si>
  <si>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</si>
  <si>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</si>
  <si>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</si>
  <si>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</si>
  <si>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</si>
  <si>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</si>
  <si>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</si>
  <si>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</si>
  <si>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</si>
  <si>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</si>
  <si>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</si>
  <si>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</si>
  <si>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</si>
  <si>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</si>
  <si>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</si>
  <si>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</si>
  <si>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</si>
  <si>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</si>
  <si>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</si>
  <si>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</si>
  <si>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</si>
  <si>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</si>
  <si>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</si>
  <si>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</si>
  <si>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</si>
  <si>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</si>
  <si>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</si>
  <si>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</si>
  <si>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</si>
  <si>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</si>
  <si>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</si>
  <si>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</si>
  <si>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</si>
  <si>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</si>
  <si>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</si>
  <si>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</si>
  <si>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</si>
  <si>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</si>
  <si>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</si>
  <si>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</si>
  <si>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</si>
  <si>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</si>
  <si>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</si>
  <si>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</si>
  <si>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</si>
  <si>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</si>
  <si>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</si>
  <si>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</si>
  <si>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</si>
  <si>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</si>
  <si>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</si>
  <si>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</si>
  <si>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</si>
  <si>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</si>
  <si>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</si>
  <si>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</si>
  <si>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</si>
  <si>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</si>
  <si>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</si>
  <si>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</si>
  <si>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</si>
  <si>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</si>
  <si>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</si>
  <si>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</si>
  <si>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</si>
  <si>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</si>
  <si>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</si>
  <si>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</si>
  <si>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</si>
  <si>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</si>
  <si>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</si>
  <si>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</si>
  <si>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</si>
  <si>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</si>
  <si>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</si>
  <si>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</si>
  <si>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</si>
  <si>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</si>
  <si>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</si>
  <si>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</si>
  <si>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</si>
  <si>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</si>
  <si>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</si>
  <si>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</si>
  <si>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</si>
  <si>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</si>
  <si>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</si>
  <si>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</si>
  <si>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</si>
  <si>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</si>
  <si>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</si>
  <si>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</si>
  <si>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</si>
  <si>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</si>
  <si>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</si>
  <si>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</si>
  <si>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</si>
  <si>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</si>
  <si>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</si>
  <si>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</si>
  <si>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</si>
  <si>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</si>
  <si>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</si>
  <si>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</si>
  <si>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</si>
  <si>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</si>
  <si>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</si>
  <si>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</si>
  <si>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</si>
  <si>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</si>
  <si>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</si>
  <si>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</si>
  <si>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</si>
  <si>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</si>
  <si>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</si>
  <si>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</si>
  <si>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</si>
  <si>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</si>
  <si>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</si>
  <si>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</si>
  <si>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</si>
  <si>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</si>
  <si>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</si>
  <si>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</si>
  <si>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</si>
  <si>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</si>
  <si>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</si>
  <si>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</si>
  <si>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</si>
  <si>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</si>
  <si>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</si>
  <si>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</si>
  <si>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</si>
  <si>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</si>
  <si>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</si>
  <si>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</si>
  <si>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</si>
  <si>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</si>
  <si>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</si>
  <si>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</si>
  <si>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</si>
  <si>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</si>
  <si>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</si>
  <si>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</si>
  <si>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</si>
  <si>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</si>
  <si>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</si>
  <si>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</si>
  <si>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</si>
  <si>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</si>
  <si>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</si>
  <si>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</si>
  <si>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</si>
  <si>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</si>
  <si>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</si>
  <si>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</si>
  <si>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</si>
  <si>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</si>
  <si>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</si>
  <si>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</si>
  <si>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</si>
  <si>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</si>
  <si>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</si>
  <si>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</si>
  <si>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</si>
  <si>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</si>
  <si>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</si>
  <si>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</si>
  <si>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</si>
  <si>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</si>
  <si>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</si>
  <si>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</si>
  <si>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</si>
  <si>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</si>
  <si>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</si>
  <si>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</si>
  <si>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</si>
  <si>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</si>
  <si>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</si>
  <si>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</si>
  <si>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</si>
  <si>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</si>
  <si>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</si>
  <si>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</si>
  <si>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</si>
  <si>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</si>
  <si>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</si>
  <si>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</si>
  <si>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</si>
  <si>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</si>
  <si>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</si>
  <si>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</si>
  <si>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</si>
  <si>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</si>
  <si>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</si>
  <si>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</si>
  <si>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</si>
  <si>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</si>
  <si>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</si>
  <si>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</si>
  <si>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</si>
  <si>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</si>
  <si>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</si>
  <si>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</si>
  <si>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</si>
  <si>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</si>
  <si>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</si>
  <si>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</si>
  <si>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</si>
  <si>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</si>
  <si>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</si>
  <si>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</si>
  <si>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</si>
  <si>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</si>
  <si>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</si>
  <si>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</si>
  <si>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</si>
  <si>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</si>
  <si>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</si>
  <si>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</si>
  <si>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</si>
  <si>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</si>
  <si>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</si>
  <si>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</si>
  <si>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</si>
  <si>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</si>
  <si>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</si>
  <si>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</si>
  <si>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</si>
  <si>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</si>
  <si>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</si>
  <si>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</si>
  <si>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</si>
  <si>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</si>
  <si>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</si>
  <si>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</si>
  <si>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</si>
  <si>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</si>
  <si>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</si>
  <si>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</si>
  <si>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</si>
  <si>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</si>
  <si>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</si>
  <si>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</si>
  <si>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</si>
  <si>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</si>
  <si>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</si>
  <si>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</si>
  <si>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</si>
  <si>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</si>
  <si>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</si>
  <si>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</si>
  <si>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</si>
  <si>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</si>
  <si>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</si>
  <si>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</si>
  <si>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</si>
  <si>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</si>
  <si>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</si>
  <si>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</si>
  <si>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</si>
  <si>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</si>
  <si>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</si>
  <si>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</si>
  <si>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</si>
  <si>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</si>
  <si>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</si>
  <si>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</si>
  <si>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</si>
  <si>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</si>
  <si>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</si>
  <si>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</si>
  <si>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</si>
  <si>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</si>
  <si>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</si>
  <si>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</si>
  <si>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</si>
  <si>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</si>
  <si>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</si>
  <si>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</si>
  <si>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</si>
  <si>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</si>
  <si>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</si>
  <si>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</si>
  <si>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</si>
  <si>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</si>
  <si>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</si>
  <si>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</si>
  <si>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</si>
  <si>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</si>
  <si>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</si>
  <si>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</si>
  <si>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</si>
  <si>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</si>
  <si>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</si>
  <si>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</si>
  <si>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</si>
  <si>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</si>
  <si>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</si>
  <si>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</si>
  <si>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</si>
  <si>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</si>
  <si>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</si>
  <si>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</si>
  <si>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</si>
  <si>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</si>
  <si>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</si>
  <si>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</si>
  <si>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</si>
  <si>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</si>
  <si>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</si>
  <si>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</si>
  <si>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</si>
  <si>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</si>
  <si>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</si>
  <si>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</si>
  <si>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</si>
  <si>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</si>
  <si>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</si>
  <si>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</si>
  <si>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</si>
  <si>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</si>
  <si>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</si>
  <si>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</si>
  <si>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</si>
  <si>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</si>
  <si>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</si>
  <si>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</si>
  <si>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</si>
  <si>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</si>
  <si>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</si>
  <si>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</si>
  <si>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</si>
  <si>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</si>
  <si>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</si>
  <si>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</si>
  <si>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</si>
  <si>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</si>
  <si>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</si>
  <si>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</si>
  <si>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</si>
  <si>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</si>
  <si>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</si>
  <si>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</si>
  <si>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</si>
  <si>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</si>
  <si>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</si>
  <si>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</si>
  <si>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</si>
  <si>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</si>
  <si>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</si>
  <si>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</si>
  <si>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</si>
  <si>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</si>
  <si>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</si>
  <si>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</si>
  <si>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</si>
  <si>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</si>
  <si>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</si>
  <si>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</si>
  <si>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</si>
  <si>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</si>
  <si>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</si>
  <si>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</si>
  <si>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</si>
  <si>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</si>
  <si>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</si>
  <si>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</si>
  <si>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</si>
  <si>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</si>
  <si>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</si>
  <si>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</si>
  <si>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</si>
  <si>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</si>
  <si>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</si>
  <si>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</si>
  <si>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</si>
  <si>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</si>
  <si>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</si>
  <si>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</si>
  <si>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</si>
  <si>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</si>
  <si>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</si>
  <si>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</si>
  <si>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</si>
  <si>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</si>
  <si>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</si>
  <si>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</si>
  <si>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</si>
  <si>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</si>
  <si>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</si>
  <si>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</si>
  <si>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</si>
  <si>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</si>
  <si>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</si>
  <si>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</si>
  <si>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</si>
  <si>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</si>
  <si>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</si>
  <si>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</si>
  <si>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</si>
  <si>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</si>
  <si>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</si>
  <si>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</si>
  <si>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</si>
  <si>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</si>
  <si>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</si>
  <si>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</si>
  <si>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</si>
  <si>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</si>
  <si>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</si>
  <si>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</si>
  <si>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</si>
  <si>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</si>
  <si>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</si>
  <si>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</si>
  <si>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</si>
  <si>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</si>
  <si>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</si>
  <si>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</si>
  <si>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</si>
  <si>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</si>
  <si>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</si>
  <si>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</si>
  <si>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</si>
  <si>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</si>
  <si>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</si>
  <si>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</si>
  <si>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</si>
  <si>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</si>
  <si>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</si>
  <si>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</si>
  <si>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</si>
  <si>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</si>
  <si>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</si>
  <si>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</si>
  <si>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</si>
  <si>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</si>
  <si>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</si>
  <si>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</si>
  <si>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</si>
  <si>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</si>
  <si>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</si>
  <si>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</si>
  <si>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</si>
  <si>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</si>
  <si>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</si>
  <si>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</si>
  <si>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</si>
  <si>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</si>
  <si>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</si>
  <si>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</si>
  <si>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</si>
  <si>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</si>
  <si>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</si>
  <si>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</si>
  <si>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</si>
  <si>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</si>
  <si>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</si>
  <si>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</si>
  <si>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</si>
  <si>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</si>
  <si>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</si>
  <si>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</si>
  <si>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</si>
  <si>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</si>
  <si>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</si>
  <si>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</si>
  <si>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</si>
  <si>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</si>
  <si>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</si>
  <si>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</si>
  <si>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</si>
  <si>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</si>
  <si>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</si>
  <si>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</si>
  <si>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</si>
  <si>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</si>
  <si>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</si>
  <si>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</si>
  <si>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</si>
  <si>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</si>
  <si>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</si>
  <si>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</si>
  <si>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</si>
  <si>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</si>
  <si>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</si>
  <si>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</si>
  <si>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</si>
  <si>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</si>
  <si>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</si>
  <si>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</si>
  <si>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</si>
  <si>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</si>
  <si>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</si>
  <si>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</si>
  <si>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</si>
  <si>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</si>
  <si>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</si>
  <si>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</si>
  <si>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</si>
  <si>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</si>
  <si>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</si>
  <si>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</si>
  <si>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</si>
  <si>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</si>
  <si>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</si>
  <si>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</si>
  <si>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</si>
  <si>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</si>
  <si>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</si>
  <si>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</si>
  <si>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</si>
  <si>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</si>
  <si>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</si>
  <si>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</si>
  <si>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</si>
  <si>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</si>
  <si>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</si>
  <si>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</si>
  <si>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</si>
  <si>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</si>
  <si>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</si>
  <si>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</si>
  <si>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</si>
  <si>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</si>
  <si>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</si>
  <si>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</si>
  <si>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</si>
  <si>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</si>
  <si>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</si>
  <si>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</si>
  <si>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</si>
  <si>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</si>
  <si>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</si>
  <si>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</si>
  <si>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</si>
  <si>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</si>
  <si>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</si>
  <si>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</si>
  <si>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</si>
  <si>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</si>
  <si>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</si>
  <si>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</si>
  <si>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</si>
  <si>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</si>
  <si>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</si>
  <si>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</si>
  <si>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</si>
  <si>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</si>
  <si>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</si>
  <si>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</si>
  <si>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</si>
  <si>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</si>
  <si>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</si>
  <si>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</si>
  <si>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</si>
  <si>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</si>
  <si>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</si>
  <si>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</si>
  <si>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</si>
  <si>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</si>
  <si>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</si>
  <si>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</si>
  <si>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</si>
  <si>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</si>
  <si>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</si>
  <si>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</si>
  <si>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</si>
  <si>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</si>
  <si>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</si>
  <si>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</si>
  <si>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</si>
  <si>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</si>
  <si>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</si>
  <si>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</si>
  <si>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</si>
  <si>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</si>
  <si>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</si>
  <si>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</si>
  <si>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</si>
  <si>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</si>
  <si>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</si>
  <si>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</si>
  <si>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</si>
  <si>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</si>
  <si>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</si>
  <si>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</si>
  <si>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</si>
  <si>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</si>
  <si>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</si>
  <si>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</si>
  <si>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</si>
  <si>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</si>
  <si>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</si>
  <si>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</si>
  <si>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</si>
  <si>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</si>
  <si>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</si>
  <si>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</si>
  <si>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</si>
  <si>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</si>
  <si>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</si>
  <si>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</si>
  <si>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</si>
  <si>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</si>
  <si>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</si>
  <si>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</si>
  <si>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</si>
  <si>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</si>
  <si>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</si>
  <si>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</si>
  <si>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</si>
  <si>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</si>
  <si>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</si>
  <si>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</si>
  <si>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</si>
  <si>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</si>
  <si>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</si>
  <si>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</si>
  <si>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</si>
  <si>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</si>
  <si>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</si>
  <si>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</si>
  <si>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</si>
  <si>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</si>
  <si>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</si>
  <si>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</si>
  <si>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</si>
  <si>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</si>
  <si>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</si>
  <si>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</si>
  <si>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</si>
  <si>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</si>
  <si>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</si>
  <si>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</si>
  <si>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</si>
  <si>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</si>
  <si>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</si>
  <si>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</si>
  <si>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</si>
  <si>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</si>
  <si>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</si>
  <si>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</si>
  <si>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</si>
  <si>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</si>
  <si>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</si>
  <si>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</si>
  <si>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</si>
  <si>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</si>
  <si>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</si>
  <si>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</si>
  <si>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</si>
  <si>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</si>
  <si>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</si>
  <si>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</si>
  <si>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</si>
  <si>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</si>
  <si>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</si>
  <si>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</si>
  <si>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</si>
  <si>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</si>
  <si>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</si>
  <si>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</si>
  <si>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</si>
  <si>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</si>
  <si>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</si>
  <si>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</si>
  <si>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</si>
  <si>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</si>
  <si>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</si>
  <si>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</si>
  <si>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</si>
  <si>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</si>
  <si>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</si>
  <si>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</si>
  <si>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</si>
  <si>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</si>
  <si>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</si>
  <si>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</si>
  <si>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</si>
  <si>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</si>
  <si>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</si>
  <si>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</si>
  <si>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</si>
  <si>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</si>
  <si>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</si>
  <si>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</si>
  <si>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</si>
  <si>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</si>
  <si>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</si>
  <si>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</si>
  <si>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</si>
  <si>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</si>
  <si>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</si>
  <si>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</si>
  <si>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</si>
  <si>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</si>
  <si>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</si>
  <si>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</si>
  <si>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</si>
  <si>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</si>
  <si>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</si>
  <si>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</si>
  <si>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</si>
  <si>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</si>
  <si>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</si>
  <si>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</si>
  <si>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</si>
  <si>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</si>
  <si>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</si>
  <si>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</si>
  <si>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</si>
  <si>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</si>
  <si>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</si>
  <si>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</si>
  <si>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</si>
  <si>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</si>
  <si>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</si>
  <si>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</si>
  <si>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</si>
  <si>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</si>
  <si>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</si>
  <si>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</si>
  <si>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</si>
  <si>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</si>
  <si>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</si>
  <si>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</si>
  <si>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</si>
  <si>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</si>
  <si>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</si>
  <si>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</si>
  <si>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</si>
  <si>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</si>
  <si>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</si>
  <si>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</si>
  <si>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</si>
  <si>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</si>
  <si>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</si>
  <si>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</si>
  <si>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</si>
  <si>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</si>
  <si>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</si>
  <si>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</si>
  <si>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</si>
  <si>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</si>
  <si>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</si>
  <si>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</si>
  <si>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</si>
  <si>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</si>
  <si>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</si>
  <si>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</si>
  <si>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</si>
  <si>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</si>
  <si>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</si>
  <si>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</si>
  <si>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</si>
  <si>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</si>
  <si>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</si>
  <si>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</si>
  <si>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</si>
  <si>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</si>
  <si>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</si>
  <si>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</si>
  <si>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</si>
  <si>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</si>
  <si>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</si>
  <si>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</si>
  <si>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</si>
  <si>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</si>
  <si>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</si>
  <si>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</si>
  <si>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</si>
  <si>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</si>
  <si>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</si>
  <si>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</si>
  <si>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</si>
  <si>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</si>
  <si>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</si>
  <si>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</si>
  <si>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</si>
  <si>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</si>
  <si>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</si>
  <si>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</si>
  <si>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</si>
  <si>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</si>
  <si>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</si>
  <si>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</si>
  <si>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</si>
  <si>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</si>
  <si>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</si>
  <si>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</si>
  <si>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</si>
  <si>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</si>
  <si>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</si>
  <si>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</si>
  <si>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</si>
  <si>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</si>
  <si>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</si>
  <si>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</si>
  <si>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</si>
  <si>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</si>
  <si>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</si>
  <si>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</si>
  <si>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</si>
  <si>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</si>
  <si>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</si>
  <si>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</si>
  <si>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</si>
  <si>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</si>
  <si>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</si>
  <si>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</si>
  <si>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</si>
  <si>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</si>
  <si>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</si>
  <si>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</si>
  <si>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</si>
  <si>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</si>
  <si>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</si>
  <si>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</si>
  <si>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</si>
  <si>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</si>
  <si>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</si>
  <si>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</si>
  <si>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</si>
  <si>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</si>
  <si>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</si>
  <si>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</si>
  <si>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</si>
  <si>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</si>
  <si>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</si>
  <si>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</si>
  <si>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</si>
  <si>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</si>
  <si>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</si>
  <si>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</si>
  <si>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</si>
  <si>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</si>
  <si>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</si>
  <si>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</si>
  <si>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</si>
  <si>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</si>
  <si>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</si>
  <si>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</si>
  <si>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</si>
  <si>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</si>
  <si>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</si>
  <si>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</si>
  <si>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</si>
  <si>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</si>
  <si>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</si>
  <si>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</si>
  <si>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</si>
  <si>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</si>
  <si>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</si>
  <si>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</si>
  <si>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</si>
  <si>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</si>
  <si>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</si>
  <si>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</si>
  <si>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</si>
  <si>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</si>
  <si>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</si>
  <si>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</si>
  <si>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</si>
  <si>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</si>
  <si>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</si>
  <si>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</si>
  <si>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</si>
  <si>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</si>
  <si>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</si>
  <si>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</si>
  <si>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</si>
  <si>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</si>
  <si>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</si>
  <si>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</si>
  <si>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</si>
  <si>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</si>
  <si>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</si>
  <si>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</si>
  <si>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</si>
  <si>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</si>
  <si>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</si>
  <si>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</si>
  <si>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</si>
  <si>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</si>
  <si>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</si>
  <si>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</si>
  <si>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</si>
  <si>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</si>
  <si>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</si>
  <si>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</si>
  <si>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</si>
  <si>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</si>
  <si>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</si>
  <si>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</si>
  <si>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</si>
  <si>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</si>
  <si>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</si>
  <si>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</si>
  <si>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</si>
  <si>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</si>
  <si>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</si>
  <si>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</si>
  <si>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</si>
  <si>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</si>
  <si>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</si>
  <si>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</si>
  <si>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</si>
  <si>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</si>
  <si>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</si>
  <si>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</si>
  <si>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</si>
  <si>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</si>
  <si>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</si>
  <si>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</si>
  <si>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</si>
  <si>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</si>
  <si>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</si>
  <si>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</si>
  <si>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</si>
  <si>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</si>
  <si>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</si>
  <si>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</si>
  <si>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</si>
  <si>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</si>
  <si>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</si>
  <si>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</si>
  <si>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</si>
  <si>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</si>
  <si>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</si>
  <si>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</si>
  <si>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</si>
  <si>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</si>
  <si>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</si>
  <si>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</si>
  <si>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</si>
  <si>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</si>
  <si>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</si>
  <si>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</si>
  <si>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</si>
  <si>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</si>
  <si>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</si>
  <si>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</si>
  <si>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</si>
  <si>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</si>
  <si>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</si>
  <si>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</si>
  <si>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</si>
  <si>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</si>
  <si>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</si>
  <si>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</si>
  <si>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</si>
  <si>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</si>
  <si>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</si>
  <si>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</si>
  <si>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</si>
  <si>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</si>
  <si>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</si>
  <si>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</si>
  <si>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</si>
  <si>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</si>
  <si>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</si>
  <si>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</si>
  <si>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</si>
  <si>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</si>
  <si>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</si>
  <si>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</si>
  <si>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</si>
  <si>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</si>
  <si>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</si>
  <si>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</si>
  <si>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</si>
  <si>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</si>
  <si>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</si>
  <si>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</si>
  <si>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</si>
  <si>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</si>
  <si>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</si>
  <si>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</si>
  <si>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</si>
  <si>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</si>
  <si>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</si>
  <si>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</si>
  <si>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</si>
  <si>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</si>
  <si>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</si>
  <si>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</si>
  <si>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</si>
  <si>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</si>
  <si>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</si>
  <si>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</si>
  <si>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</si>
  <si>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</si>
  <si>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</si>
  <si>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</si>
  <si>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</si>
  <si>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</si>
  <si>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</si>
  <si>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</si>
  <si>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</si>
  <si>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</si>
  <si>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</si>
  <si>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</si>
  <si>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</si>
  <si>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</si>
  <si>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</si>
  <si>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</si>
  <si>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</si>
  <si>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</si>
  <si>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</si>
  <si>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</si>
  <si>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</si>
  <si>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</si>
  <si>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</si>
  <si>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</si>
  <si>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</si>
  <si>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</si>
  <si>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</si>
  <si>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</si>
  <si>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</si>
  <si>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</si>
  <si>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</si>
  <si>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</si>
  <si>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</si>
  <si>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</si>
  <si>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</si>
  <si>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</si>
  <si>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</si>
  <si>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</si>
  <si>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</si>
  <si>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</si>
  <si>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</si>
  <si>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</si>
  <si>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</si>
  <si>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</si>
  <si>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</si>
  <si>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</si>
  <si>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</si>
  <si>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</si>
  <si>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</si>
  <si>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</si>
  <si>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</si>
  <si>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</si>
  <si>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</si>
  <si>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</si>
  <si>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</si>
  <si>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</si>
  <si>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</si>
  <si>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</si>
  <si>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</si>
  <si>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</si>
  <si>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</si>
  <si>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</si>
  <si>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</si>
  <si>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</si>
  <si>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</si>
  <si>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</si>
  <si>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</si>
  <si>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</si>
  <si>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</si>
  <si>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</si>
  <si>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</si>
  <si>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</si>
  <si>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</si>
  <si>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</si>
  <si>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</si>
  <si>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</si>
  <si>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</si>
  <si>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</si>
  <si>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</si>
  <si>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</si>
  <si>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</si>
  <si>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</si>
  <si>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</si>
  <si>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</si>
  <si>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</si>
  <si>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</si>
  <si>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</si>
  <si>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</si>
  <si>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</si>
  <si>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</si>
  <si>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</si>
  <si>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</si>
  <si>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</si>
  <si>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</si>
  <si>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</si>
  <si>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</si>
  <si>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</si>
  <si>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</si>
  <si>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</si>
  <si>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</si>
  <si>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</si>
  <si>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</si>
  <si>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</si>
  <si>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</si>
  <si>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</si>
  <si>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</si>
  <si>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</si>
  <si>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</si>
  <si>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</si>
  <si>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</si>
  <si>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</si>
  <si>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</si>
  <si>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</si>
  <si>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</si>
  <si>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</si>
  <si>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</si>
  <si>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</si>
  <si>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</si>
  <si>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</si>
  <si>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</si>
  <si>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</si>
  <si>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</si>
  <si>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</si>
  <si>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</si>
  <si>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</si>
  <si>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</si>
  <si>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</si>
  <si>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</si>
  <si>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</si>
  <si>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</si>
  <si>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</si>
  <si>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</si>
  <si>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</si>
  <si>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</si>
  <si>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</si>
  <si>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</si>
  <si>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</si>
  <si>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</si>
  <si>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</si>
  <si>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</si>
  <si>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</si>
  <si>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</si>
  <si>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</si>
  <si>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</si>
  <si>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</si>
  <si>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</si>
  <si>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</si>
  <si>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</si>
  <si>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</si>
  <si>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</si>
  <si>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</si>
  <si>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</si>
  <si>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</si>
  <si>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</si>
  <si>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</si>
  <si>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</si>
  <si>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</si>
  <si>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</si>
  <si>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</si>
  <si>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</si>
  <si>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</si>
  <si>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</si>
  <si>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</si>
  <si>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</si>
  <si>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</si>
  <si>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</si>
  <si>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</si>
  <si>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</si>
  <si>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</si>
  <si>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</si>
  <si>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</si>
  <si>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</si>
  <si>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</si>
  <si>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</si>
  <si>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</si>
  <si>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</si>
  <si>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</si>
  <si>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</si>
  <si>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</si>
  <si>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</si>
  <si>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</si>
  <si>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</si>
  <si>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</si>
  <si>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</si>
  <si>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</si>
  <si>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</si>
  <si>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</si>
  <si>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</si>
  <si>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</si>
  <si>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</si>
  <si>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</si>
  <si>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</si>
  <si>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</si>
  <si>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</si>
  <si>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</si>
  <si>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</si>
  <si>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</si>
  <si>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</si>
  <si>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</si>
  <si>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</si>
  <si>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</si>
  <si>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</si>
  <si>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</si>
  <si>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</si>
  <si>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</si>
  <si>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</si>
  <si>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</si>
  <si>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Cerraj. Muixara</t>
  </si>
  <si>
    <t>35007 - Techo vista</t>
  </si>
  <si>
    <t>35037 - 60 Kgrs</t>
  </si>
  <si>
    <t>35054 - CAVE adhesivo</t>
  </si>
  <si>
    <t>Jessica</t>
  </si>
  <si>
    <t>1000x2330 mm</t>
  </si>
  <si>
    <t>35040 - 60 Kgrs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</si>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</sst>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661148</xdr:colOff>
      <xdr:row>13</xdr:row>
      <xdr:rowOff>33618</xdr:rowOff>
    </xdr:from>
    <xdr:to>
      <xdr:col>5</xdr:col>
      <xdr:colOff>68412</xdr:colOff>
      <xdr:row>24</xdr:row>
      <xdr:rowOff>98118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292F1C-2392-A3D5-DC64-E537E9291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0030" y="2655794"/>
          <a:ext cx="2399235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topLeftCell="A10" zoomScaleNormal="95" zoomScaleSheetLayoutView="100" workbookViewId="0">
      <selection activeCell="E21" sqref="E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20250042</v>
      </c>
      <c r="G7" s="8">
        <f ca="1">TODAY()</f>
        <v>45712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1451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141</v>
      </c>
      <c r="C13" s="77" t="str">
        <f>IFERROR(VLOOKUP($B13,Tarifa_all_20240711!$A$2:$G$660,2,FALSE()),"-")</f>
        <v>GUIA SUP TECHO PLUS LAC.BLANCO MATE 9003-2 MTS</v>
      </c>
      <c r="D13" s="77"/>
      <c r="E13" s="17">
        <v>1</v>
      </c>
      <c r="F13" s="18">
        <f>IFERROR(VLOOKUP($B13,Tarifa_all_20240711!$A$2:$G$660,5,FALSE()),"-")</f>
        <v>43.462500000000006</v>
      </c>
      <c r="G13" s="18">
        <f t="shared" ref="G13:G30" si="0">IFERROR(E13*F13,"-")</f>
        <v>43.462500000000006</v>
      </c>
      <c r="H13" s="1"/>
    </row>
    <row r="14" spans="1:12" x14ac:dyDescent="0.25">
      <c r="A14" t="s">
        <v>15</v>
      </c>
      <c r="B14" s="16" t="s">
        <v>1437</v>
      </c>
      <c r="C14" s="77" t="str">
        <f>IFERROR(VLOOKUP($B14,Tarifa_all_20240711!$A$2:$G$660,2,FALSE()),"-")</f>
        <v>TAPETA LAT. GUIA TECHO BLANCO</v>
      </c>
      <c r="D14" s="77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77" t="str">
        <f>IFERROR(VLOOKUP($B15,Tarifa_all_20240711!$A$2:$G$660,2,FALSE()),"-")</f>
        <v>-</v>
      </c>
      <c r="D15" s="77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77" t="str">
        <f>IFERROR(VLOOKUP($B16,Tarifa_all_20240711!$A$2:$G$660,2,FALSE()),"-")</f>
        <v>KIT AMORTIGUADOR SKY BIDIRECCIONAL 60KG</v>
      </c>
      <c r="D16" s="77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125</v>
      </c>
      <c r="C17" s="77" t="str">
        <f>IFERROR(VLOOKUP($B17,Tarifa_all_20240711!$A$2:$G$660,2,FALSE()),"-")</f>
        <v>KIT PUERTA PA CORREDERA LAC.BLANCO MATE 9003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77" t="str">
        <f>IFERROR(VLOOKUP($B18,Tarifa_all_20240711!$A$2:$G$660,2,FALSE()),"-")</f>
        <v>CARRO SKY MADERA 60KG</v>
      </c>
      <c r="D18" s="77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371</v>
      </c>
      <c r="C19" s="77" t="str">
        <f>IFERROR(VLOOKUP($B19,Tarifa_all_20240711!$A$2:$G$660,2,FALSE()),"-")</f>
        <v>TIRADOR RECT.ADH CAVE LAC.BLANCO MATE 9003: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318</v>
      </c>
      <c r="C20" s="77" t="str">
        <f>IFERROR(VLOOKUP($B20,Tarifa_all_20240711!$A$2:$G$660,2,FALSE()),"-")</f>
        <v>GUIADOR FIJO PA LAC.BLANCO MATE 9003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7" t="str">
        <f>IFERROR(VLOOKUP($B21,Tarifa_all_20240711!$A$2:$G$660,2,FALSE()),"-")</f>
        <v>-</v>
      </c>
      <c r="D21" s="77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395.05500000000001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topLeftCell="A12" zoomScale="85" zoomScaleNormal="85" zoomScaleSheetLayoutView="85" workbookViewId="0">
      <selection activeCell="G18" sqref="G1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Cerraj. Muixara</v>
      </c>
      <c r="C9" s="86"/>
      <c r="D9" s="86"/>
      <c r="F9" s="3" t="s">
        <v>81</v>
      </c>
      <c r="G9" s="44">
        <f ca="1">TODAY()</f>
        <v>45712</v>
      </c>
    </row>
    <row r="10" spans="1:7" x14ac:dyDescent="0.25">
      <c r="A10" s="3" t="s">
        <v>82</v>
      </c>
      <c r="B10" s="11" t="str">
        <f>'DESPIECE (MATANALYSIS)'!C9</f>
        <v>Jessica</v>
      </c>
      <c r="C10" s="45"/>
      <c r="D10" s="45"/>
      <c r="E10" s="46"/>
      <c r="F10" s="47" t="s">
        <v>83</v>
      </c>
      <c r="G10" s="7">
        <f>'DESPIECE (MATANALYSIS)'!C7</f>
        <v>20250042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1452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1448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1453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1449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1450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91</v>
      </c>
      <c r="C39" s="55"/>
      <c r="D39" s="55"/>
      <c r="E39" s="55"/>
      <c r="F39" s="55"/>
      <c r="G39" s="55"/>
    </row>
    <row r="40" spans="1:7" x14ac:dyDescent="0.25">
      <c r="A40" s="56" t="s">
        <v>92</v>
      </c>
      <c r="B40" s="55" t="s">
        <v>1454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95</v>
      </c>
      <c r="B47" s="82"/>
      <c r="C47" s="59"/>
      <c r="D47" s="59"/>
      <c r="E47" s="59"/>
      <c r="F47" s="83">
        <f>'DESPIECE (MATANALYSIS)'!G31</f>
        <v>395.05500000000001</v>
      </c>
      <c r="G47" s="83"/>
    </row>
    <row r="48" spans="1:7" s="1" customFormat="1" ht="22.7" customHeight="1" x14ac:dyDescent="0.25">
      <c r="A48" s="84" t="s">
        <v>96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2025-02-24T09:51:27Z</dcterms:modified>
  <dc:language>es-ES</dc:language>
</cp:coreProperties>
</file>