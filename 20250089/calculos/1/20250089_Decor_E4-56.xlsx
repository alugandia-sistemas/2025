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89\calculos\1\"/>
    </mc:Choice>
  </mc:AlternateContent>
  <xr:revisionPtr revIDLastSave="0" documentId="13_ncr:1_{5CBFC226-6E81-4AC4-B5B2-D84FA2EBE6B2}" xr6:coauthVersionLast="47" xr6:coauthVersionMax="47" xr10:uidLastSave="{00000000-0000-0000-0000-000000000000}"/>
  <bookViews>
    <workbookView xWindow="-289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0" l="1"/>
  <c r="K26" i="10"/>
  <c r="K20" i="10"/>
  <c r="K21" i="10"/>
  <c r="K22" i="10"/>
  <c r="K23" i="10"/>
  <c r="K24" i="10"/>
  <c r="K19" i="10"/>
  <c r="I26" i="10"/>
  <c r="I29" i="10"/>
  <c r="I30" i="10"/>
  <c r="I25" i="10"/>
  <c r="I14" i="10"/>
  <c r="I15" i="10"/>
  <c r="I16" i="10"/>
  <c r="I17" i="10"/>
  <c r="I18" i="10"/>
  <c r="I13" i="10"/>
  <c r="I20" i="10"/>
  <c r="I21" i="10"/>
  <c r="I22" i="10"/>
  <c r="I23" i="10"/>
  <c r="I24" i="10"/>
  <c r="I19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I27" i="10" s="1"/>
  <c r="I31" i="10" s="1"/>
  <c r="G28" i="10"/>
  <c r="I28" i="10" s="1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<sst xmlns="http://schemas.openxmlformats.org/spreadsheetml/2006/main" count="5405" uniqueCount="1452">
  <si>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</si>
  <si>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</si>
  <si>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</si>
  <si>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</si>
  <si>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</si>
  <si>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</si>
  <si>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</si>
  <si>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</si>
  <si>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</si>
  <si>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</si>
  <si>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</si>
  <si>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</si>
  <si>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</si>
  <si>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</si>
  <si>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</si>
  <si>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</si>
  <si>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</si>
  <si>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</si>
  <si>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</si>
  <si>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</si>
  <si>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</si>
  <si>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</si>
  <si>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</si>
  <si>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</si>
  <si>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</si>
  <si>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</si>
  <si>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</si>
  <si>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</si>
  <si>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</si>
  <si>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</si>
  <si>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</si>
  <si>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</si>
  <si>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</si>
  <si>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</si>
  <si>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</si>
  <si>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</si>
  <si>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</si>
  <si>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</si>
  <si>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</si>
  <si>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</si>
  <si>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</si>
  <si>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</si>
  <si>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</si>
  <si>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</si>
  <si>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</si>
  <si>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</si>
  <si>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</si>
  <si>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</si>
  <si>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</si>
  <si>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</si>
  <si>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</si>
  <si>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</si>
  <si>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</si>
  <si>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</si>
  <si>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</si>
  <si>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</si>
  <si>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</si>
  <si>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</si>
  <si>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</si>
  <si>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</si>
  <si>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</si>
  <si>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</si>
  <si>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</si>
  <si>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</si>
  <si>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</si>
  <si>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</si>
  <si>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</si>
  <si>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</si>
  <si>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</si>
  <si>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</si>
  <si>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</si>
  <si>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</si>
  <si>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</si>
  <si>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</si>
  <si>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</si>
  <si>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</si>
  <si>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</si>
  <si>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</si>
  <si>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</si>
  <si>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</si>
  <si>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</si>
  <si>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</si>
  <si>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</si>
  <si>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</si>
  <si>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</si>
  <si>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</si>
  <si>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</si>
  <si>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</si>
  <si>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</si>
  <si>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</si>
  <si>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</si>
  <si>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</si>
  <si>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</si>
  <si>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</si>
  <si>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</si>
  <si>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</si>
  <si>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</si>
  <si>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</si>
  <si>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</si>
  <si>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</si>
  <si>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</si>
  <si>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</si>
  <si>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</si>
  <si>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</si>
  <si>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</si>
  <si>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</si>
  <si>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</si>
  <si>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</si>
  <si>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</si>
  <si>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</si>
  <si>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</si>
  <si>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</si>
  <si>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</si>
  <si>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</si>
  <si>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</si>
  <si>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</si>
  <si>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</si>
  <si>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</si>
  <si>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</si>
  <si>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</si>
  <si>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</si>
  <si>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</si>
  <si>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</si>
  <si>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</si>
  <si>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</si>
  <si>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</si>
  <si>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</si>
  <si>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</si>
  <si>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</si>
  <si>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</si>
  <si>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</si>
  <si>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</si>
  <si>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</si>
  <si>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</si>
  <si>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</si>
  <si>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</si>
  <si>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</si>
  <si>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</si>
  <si>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</si>
  <si>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</si>
  <si>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</si>
  <si>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</si>
  <si>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</si>
  <si>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</si>
  <si>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</si>
  <si>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</si>
  <si>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</si>
  <si>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</si>
  <si>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</si>
  <si>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</si>
  <si>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</si>
  <si>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</si>
  <si>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</si>
  <si>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</si>
  <si>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</si>
  <si>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</si>
  <si>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</si>
  <si>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</si>
  <si>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</si>
  <si>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</si>
  <si>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</si>
  <si>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</si>
  <si>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</si>
  <si>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</si>
  <si>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</si>
  <si>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</si>
  <si>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</si>
  <si>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</si>
  <si>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</si>
  <si>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</si>
  <si>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</si>
  <si>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</si>
  <si>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</si>
  <si>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</si>
  <si>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</si>
  <si>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</si>
  <si>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</si>
  <si>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</si>
  <si>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</si>
  <si>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</si>
  <si>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</si>
  <si>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</si>
  <si>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</si>
  <si>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</si>
  <si>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</si>
  <si>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</si>
  <si>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</si>
  <si>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</si>
  <si>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</si>
  <si>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</si>
  <si>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</si>
  <si>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</si>
  <si>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</si>
  <si>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</si>
  <si>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</si>
  <si>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</si>
  <si>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</si>
  <si>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</si>
  <si>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</si>
  <si>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</si>
  <si>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</si>
  <si>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</si>
  <si>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</si>
  <si>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</si>
  <si>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</si>
  <si>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</si>
  <si>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</si>
  <si>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</si>
  <si>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</si>
  <si>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</si>
  <si>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</si>
  <si>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</si>
  <si>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</si>
  <si>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</si>
  <si>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</si>
  <si>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</si>
  <si>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</si>
  <si>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</si>
  <si>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</si>
  <si>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</si>
  <si>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</si>
  <si>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</si>
  <si>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</si>
  <si>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</si>
  <si>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</si>
  <si>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</si>
  <si>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</si>
  <si>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</si>
  <si>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</si>
  <si>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</si>
  <si>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</si>
  <si>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</si>
  <si>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</si>
  <si>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</si>
  <si>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</si>
  <si>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</si>
  <si>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</si>
  <si>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</si>
  <si>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</si>
  <si>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</si>
  <si>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</si>
  <si>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</si>
  <si>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</si>
  <si>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</si>
  <si>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</si>
  <si>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</si>
  <si>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</si>
  <si>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</si>
  <si>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</si>
  <si>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</si>
  <si>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</si>
  <si>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</si>
  <si>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</si>
  <si>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</si>
  <si>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</si>
  <si>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</si>
  <si>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</si>
  <si>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</si>
  <si>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</si>
  <si>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</si>
  <si>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</si>
  <si>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</si>
  <si>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</si>
  <si>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</si>
  <si>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</si>
  <si>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</si>
  <si>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</si>
  <si>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</si>
  <si>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</si>
  <si>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</si>
  <si>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</si>
  <si>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</si>
  <si>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</si>
  <si>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</si>
  <si>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</si>
  <si>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</si>
  <si>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</si>
  <si>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</si>
  <si>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</si>
  <si>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</si>
  <si>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</si>
  <si>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</si>
  <si>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</si>
  <si>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</si>
  <si>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</si>
  <si>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</si>
  <si>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</si>
  <si>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</si>
  <si>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</si>
  <si>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</si>
  <si>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</si>
  <si>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</si>
  <si>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</si>
  <si>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</si>
  <si>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</si>
  <si>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</si>
  <si>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</si>
  <si>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</si>
  <si>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</si>
  <si>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</si>
  <si>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</si>
  <si>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</si>
  <si>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</si>
  <si>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</si>
  <si>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</si>
  <si>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</si>
  <si>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</si>
  <si>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</si>
  <si>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</si>
  <si>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</si>
  <si>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</si>
  <si>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</si>
  <si>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</si>
  <si>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</si>
  <si>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</si>
  <si>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</si>
  <si>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</si>
  <si>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</si>
  <si>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</si>
  <si>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</si>
  <si>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</si>
  <si>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</si>
  <si>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</si>
  <si>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</si>
  <si>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</si>
  <si>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</si>
  <si>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</si>
  <si>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</si>
  <si>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</si>
  <si>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</si>
  <si>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</si>
  <si>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</si>
  <si>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</si>
  <si>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</si>
  <si>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</si>
  <si>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</si>
  <si>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</si>
  <si>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</si>
  <si>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</si>
  <si>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</si>
  <si>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</si>
  <si>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</si>
  <si>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</si>
  <si>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</si>
  <si>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</si>
  <si>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</si>
  <si>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</si>
  <si>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</si>
  <si>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</si>
  <si>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</si>
  <si>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</si>
  <si>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</si>
  <si>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</si>
  <si>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</si>
  <si>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</si>
  <si>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</si>
  <si>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</si>
  <si>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</si>
  <si>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</si>
  <si>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</si>
  <si>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</si>
  <si>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</si>
  <si>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</si>
  <si>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</si>
  <si>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</si>
  <si>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</si>
  <si>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</si>
  <si>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</si>
  <si>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</si>
  <si>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</si>
  <si>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</si>
  <si>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</si>
  <si>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</si>
  <si>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</si>
  <si>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</si>
  <si>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</si>
  <si>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</si>
  <si>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</si>
  <si>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</si>
  <si>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</si>
  <si>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</si>
  <si>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</si>
  <si>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</si>
  <si>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</si>
  <si>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</si>
  <si>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</si>
  <si>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</si>
  <si>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</si>
  <si>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</si>
  <si>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</si>
  <si>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</si>
  <si>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</si>
  <si>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</si>
  <si>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</si>
  <si>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</si>
  <si>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</si>
  <si>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</si>
  <si>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</si>
  <si>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</si>
  <si>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</si>
  <si>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</si>
  <si>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</si>
  <si>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</si>
  <si>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</si>
  <si>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</si>
  <si>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</si>
  <si>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</si>
  <si>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</si>
  <si>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</si>
  <si>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</si>
  <si>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</si>
  <si>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</si>
  <si>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</si>
  <si>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</si>
  <si>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</si>
  <si>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</si>
  <si>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</si>
  <si>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</si>
  <si>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</si>
  <si>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</si>
  <si>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</si>
  <si>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</si>
  <si>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</si>
  <si>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</si>
  <si>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</si>
  <si>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</si>
  <si>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</si>
  <si>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</si>
  <si>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</si>
  <si>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</si>
  <si>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</si>
  <si>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</si>
  <si>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</si>
  <si>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</si>
  <si>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</si>
  <si>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</si>
  <si>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</si>
  <si>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</si>
  <si>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</si>
  <si>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</si>
  <si>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</si>
  <si>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</si>
  <si>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</si>
  <si>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</si>
  <si>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</si>
  <si>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</si>
  <si>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</si>
  <si>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</si>
  <si>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</si>
  <si>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</si>
  <si>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</si>
  <si>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</si>
  <si>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</si>
  <si>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</si>
  <si>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</si>
  <si>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</si>
  <si>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</si>
  <si>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</si>
  <si>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</si>
  <si>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</si>
  <si>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</si>
  <si>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</si>
  <si>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</si>
  <si>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</si>
  <si>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</si>
  <si>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</si>
  <si>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</si>
  <si>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</si>
  <si>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</si>
  <si>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</si>
  <si>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</si>
  <si>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</si>
  <si>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</si>
  <si>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</si>
  <si>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</si>
  <si>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</si>
  <si>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</si>
  <si>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</si>
  <si>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</si>
  <si>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</si>
  <si>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</si>
  <si>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</si>
  <si>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</si>
  <si>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</si>
  <si>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</si>
  <si>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</si>
  <si>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</si>
  <si>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</si>
  <si>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</si>
  <si>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</si>
  <si>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</si>
  <si>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</si>
  <si>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</si>
  <si>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</si>
  <si>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</si>
  <si>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</si>
  <si>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</si>
  <si>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</si>
  <si>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</si>
  <si>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</si>
  <si>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</si>
  <si>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</si>
  <si>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</si>
  <si>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</si>
  <si>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</si>
  <si>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</si>
  <si>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</si>
  <si>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</si>
  <si>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</si>
  <si>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</si>
  <si>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</si>
  <si>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</si>
  <si>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</si>
  <si>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</si>
  <si>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</si>
  <si>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</si>
  <si>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</si>
  <si>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</si>
  <si>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</si>
  <si>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</si>
  <si>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</si>
  <si>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</si>
  <si>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</si>
  <si>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</si>
  <si>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</si>
  <si>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</si>
  <si>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</si>
  <si>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</si>
  <si>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</si>
  <si>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</si>
  <si>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</si>
  <si>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</si>
  <si>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</si>
  <si>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</si>
  <si>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</si>
  <si>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</si>
  <si>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</si>
  <si>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</si>
  <si>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</si>
  <si>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</si>
  <si>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</si>
  <si>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</si>
  <si>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</si>
  <si>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</si>
  <si>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</si>
  <si>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</si>
  <si>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</si>
  <si>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</si>
  <si>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</si>
  <si>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</si>
  <si>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</si>
  <si>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</si>
  <si>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</si>
  <si>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</si>
  <si>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</si>
  <si>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</si>
  <si>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</si>
  <si>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</si>
  <si>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</si>
  <si>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</si>
  <si>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</si>
  <si>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</si>
  <si>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</si>
  <si>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</si>
  <si>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</si>
  <si>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</si>
  <si>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</si>
  <si>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</si>
  <si>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</si>
  <si>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</si>
  <si>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</si>
  <si>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</si>
  <si>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</si>
  <si>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</si>
  <si>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</si>
  <si>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</si>
  <si>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</si>
  <si>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</si>
  <si>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</si>
  <si>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</si>
  <si>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</si>
  <si>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</si>
  <si>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</si>
  <si>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</si>
  <si>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</si>
  <si>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</si>
  <si>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</si>
  <si>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</si>
  <si>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</si>
  <si>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</si>
  <si>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</si>
  <si>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</si>
  <si>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</si>
  <si>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</si>
  <si>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</si>
  <si>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</si>
  <si>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</si>
  <si>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</si>
  <si>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</si>
  <si>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</si>
  <si>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</si>
  <si>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</si>
  <si>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</si>
  <si>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</si>
  <si>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</si>
  <si>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</si>
  <si>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</si>
  <si>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</si>
  <si>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</si>
  <si>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</si>
  <si>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</si>
  <si>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</si>
  <si>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</si>
  <si>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</si>
  <si>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</si>
  <si>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</si>
  <si>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</si>
  <si>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</si>
  <si>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</si>
  <si>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</si>
  <si>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</si>
  <si>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</si>
  <si>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</si>
  <si>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</si>
  <si>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</si>
  <si>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</si>
  <si>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</si>
  <si>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</si>
  <si>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</si>
  <si>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</si>
  <si>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</si>
  <si>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</si>
  <si>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</si>
  <si>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</si>
  <si>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</si>
  <si>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</si>
  <si>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</si>
  <si>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</si>
  <si>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</si>
  <si>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</si>
  <si>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</si>
  <si>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</si>
  <si>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</si>
  <si>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</si>
  <si>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</si>
  <si>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</si>
  <si>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</si>
  <si>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</si>
  <si>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</si>
  <si>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</si>
  <si>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</si>
  <si>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</si>
  <si>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</si>
  <si>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</si>
  <si>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</si>
  <si>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</si>
  <si>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</si>
  <si>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</si>
  <si>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</si>
  <si>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</si>
  <si>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</si>
  <si>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</si>
  <si>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</si>
  <si>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</si>
  <si>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</si>
  <si>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</si>
  <si>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</si>
  <si>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</si>
  <si>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</si>
  <si>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</si>
  <si>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</si>
  <si>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</si>
  <si>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</si>
  <si>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</si>
  <si>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</si>
  <si>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</si>
  <si>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</si>
  <si>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</si>
  <si>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</si>
  <si>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</si>
  <si>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</si>
  <si>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</si>
  <si>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</si>
  <si>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</si>
  <si>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</si>
  <si>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</si>
  <si>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</si>
  <si>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</si>
  <si>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</si>
  <si>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</si>
  <si>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</si>
  <si>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</si>
  <si>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</si>
  <si>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</si>
  <si>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</si>
  <si>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</si>
  <si>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</si>
  <si>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</si>
  <si>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</si>
  <si>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</si>
  <si>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</si>
  <si>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</si>
  <si>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</si>
  <si>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</si>
  <si>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</si>
  <si>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</si>
  <si>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</si>
  <si>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</si>
  <si>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</si>
  <si>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</si>
  <si>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</si>
  <si>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</si>
  <si>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</si>
  <si>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</si>
  <si>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</si>
  <si>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</si>
  <si>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</si>
  <si>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</si>
  <si>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</si>
  <si>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</si>
  <si>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</si>
  <si>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</si>
  <si>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</si>
  <si>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</si>
  <si>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</si>
  <si>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</si>
  <si>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</si>
  <si>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</si>
  <si>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</si>
  <si>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</si>
  <si>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</si>
  <si>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</si>
  <si>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</si>
  <si>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</si>
  <si>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</si>
  <si>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</si>
  <si>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</si>
  <si>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</si>
  <si>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</si>
  <si>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</si>
  <si>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</si>
  <si>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</si>
  <si>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</si>
  <si>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</si>
  <si>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</si>
  <si>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</si>
  <si>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</si>
  <si>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</si>
  <si>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</si>
  <si>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</si>
  <si>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</si>
  <si>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</si>
  <si>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</si>
  <si>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</si>
  <si>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</si>
  <si>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</si>
  <si>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</si>
  <si>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</si>
  <si>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</si>
  <si>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</si>
  <si>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</si>
  <si>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</si>
  <si>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</si>
  <si>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</si>
  <si>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</si>
  <si>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</si>
  <si>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</si>
  <si>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</si>
  <si>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</si>
  <si>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</si>
  <si>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</si>
  <si>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</si>
  <si>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</si>
  <si>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</si>
  <si>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</si>
  <si>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</si>
  <si>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</si>
  <si>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</si>
  <si>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</si>
  <si>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</si>
  <si>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</si>
  <si>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</si>
  <si>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</si>
  <si>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</si>
  <si>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</si>
  <si>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</si>
  <si>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</si>
  <si>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</si>
  <si>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</si>
  <si>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</si>
  <si>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</si>
  <si>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</si>
  <si>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</si>
  <si>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</si>
  <si>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</si>
  <si>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</si>
  <si>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</si>
  <si>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</si>
  <si>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</si>
  <si>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</si>
  <si>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</si>
  <si>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</si>
  <si>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</si>
  <si>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</si>
  <si>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</si>
  <si>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</si>
  <si>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</si>
  <si>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</si>
  <si>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</si>
  <si>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</si>
  <si>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</si>
  <si>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</si>
  <si>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</si>
  <si>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</si>
  <si>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</si>
  <si>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</si>
  <si>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</si>
  <si>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</si>
  <si>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</si>
  <si>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</si>
  <si>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</si>
  <si>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</si>
  <si>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</si>
  <si>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</si>
  <si>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</si>
  <si>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</si>
  <si>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</si>
  <si>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</si>
  <si>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</si>
  <si>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</si>
  <si>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</si>
  <si>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</si>
  <si>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</si>
  <si>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</si>
  <si>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</si>
  <si>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</si>
  <si>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</si>
  <si>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</si>
  <si>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</si>
  <si>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</si>
  <si>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</si>
  <si>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</si>
  <si>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</si>
  <si>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</si>
  <si>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</si>
  <si>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</si>
  <si>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</si>
  <si>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</si>
  <si>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</si>
  <si>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</si>
  <si>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</si>
  <si>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</si>
  <si>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</si>
  <si>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</si>
  <si>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</si>
  <si>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</si>
  <si>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</si>
  <si>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</si>
  <si>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</si>
  <si>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</si>
  <si>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</si>
  <si>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</si>
  <si>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</si>
  <si>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</si>
  <si>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</si>
  <si>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</si>
  <si>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</si>
  <si>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</si>
  <si>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</si>
  <si>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</si>
  <si>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</si>
  <si>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</si>
  <si>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</si>
  <si>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</si>
  <si>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</si>
  <si>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</si>
  <si>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</si>
  <si>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</si>
  <si>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</si>
  <si>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</si>
  <si>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</si>
  <si>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</si>
  <si>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</si>
  <si>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</si>
  <si>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</si>
  <si>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</si>
  <si>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</si>
  <si>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</si>
  <si>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</si>
  <si>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</si>
  <si>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</si>
  <si>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</si>
  <si>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</si>
  <si>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</si>
  <si>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</si>
  <si>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</si>
  <si>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</si>
  <si>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</si>
  <si>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</si>
  <si>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</si>
  <si>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</si>
  <si>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</si>
  <si>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</si>
  <si>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</si>
  <si>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</si>
  <si>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</si>
  <si>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</si>
  <si>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</si>
  <si>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</si>
  <si>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</si>
  <si>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</si>
  <si>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</si>
  <si>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</si>
  <si>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</si>
  <si>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</si>
  <si>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</si>
  <si>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</si>
  <si>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</si>
  <si>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</si>
  <si>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</si>
  <si>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</si>
  <si>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</si>
  <si>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</si>
  <si>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</si>
  <si>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</si>
  <si>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</si>
  <si>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</si>
  <si>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</si>
  <si>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</si>
  <si>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</si>
  <si>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</si>
  <si>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</si>
  <si>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</si>
  <si>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</si>
  <si>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</si>
  <si>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</si>
  <si>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</si>
  <si>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</si>
  <si>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</si>
  <si>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</si>
  <si>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</si>
  <si>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</si>
  <si>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</si>
  <si>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</si>
  <si>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</si>
  <si>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</si>
  <si>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</si>
  <si>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</si>
  <si>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</si>
  <si>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</si>
  <si>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</si>
  <si>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</si>
  <si>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</si>
  <si>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</si>
  <si>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</si>
  <si>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</si>
  <si>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</si>
  <si>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</si>
  <si>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</si>
  <si>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</si>
  <si>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</si>
  <si>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</si>
  <si>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</si>
  <si>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</si>
  <si>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</si>
  <si>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</si>
  <si>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</si>
  <si>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</si>
  <si>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</si>
  <si>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</si>
  <si>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</si>
  <si>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</si>
  <si>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</si>
  <si>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</si>
  <si>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</si>
  <si>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</si>
  <si>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</si>
  <si>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</si>
  <si>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</si>
  <si>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</si>
  <si>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</si>
  <si>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</si>
  <si>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</si>
  <si>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</si>
  <si>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</si>
  <si>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</si>
  <si>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</si>
  <si>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</si>
  <si>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</si>
  <si>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</si>
  <si>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</si>
  <si>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</si>
  <si>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</si>
  <si>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</si>
  <si>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</si>
  <si>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</si>
  <si>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</si>
  <si>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</si>
  <si>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</si>
  <si>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</si>
  <si>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</si>
  <si>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</si>
  <si>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</si>
  <si>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</si>
  <si>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</si>
  <si>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</si>
  <si>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</si>
  <si>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</si>
  <si>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</si>
  <si>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</si>
  <si>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</si>
  <si>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</si>
  <si>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</si>
  <si>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</si>
  <si>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</si>
  <si>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</si>
  <si>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</si>
  <si>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</si>
  <si>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</si>
  <si>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</si>
  <si>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</si>
  <si>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</si>
  <si>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</si>
  <si>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</si>
  <si>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</si>
  <si>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</si>
  <si>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</si>
  <si>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</si>
  <si>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</si>
  <si>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</si>
  <si>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</si>
  <si>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</si>
  <si>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</si>
  <si>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</si>
  <si>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</si>
  <si>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</si>
  <si>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</si>
  <si>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</si>
  <si>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</si>
  <si>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</si>
  <si>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</si>
  <si>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</si>
  <si>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</si>
  <si>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</si>
  <si>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</si>
  <si>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</si>
  <si>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</si>
  <si>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</si>
  <si>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</si>
  <si>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</si>
  <si>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</si>
  <si>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</si>
  <si>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</si>
  <si>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</si>
  <si>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</si>
  <si>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</si>
  <si>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</si>
  <si>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</si>
  <si>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</si>
  <si>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</si>
  <si>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</si>
  <si>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</si>
  <si>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</si>
  <si>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</si>
  <si>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</si>
  <si>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</si>
  <si>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</si>
  <si>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</si>
  <si>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</si>
  <si>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</si>
  <si>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</si>
  <si>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</si>
  <si>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</si>
  <si>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</si>
  <si>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</si>
  <si>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</si>
  <si>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</si>
  <si>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</si>
  <si>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</si>
  <si>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</si>
  <si>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</si>
  <si>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</si>
  <si>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</si>
  <si>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</si>
  <si>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</si>
  <si>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</si>
  <si>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</si>
  <si>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</si>
  <si>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</si>
  <si>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</si>
  <si>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</si>
  <si>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</si>
  <si>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</si>
  <si>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</si>
  <si>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</si>
  <si>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</si>
  <si>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</si>
  <si>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</si>
  <si>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</si>
  <si>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</si>
  <si>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</si>
  <si>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</si>
  <si>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</si>
  <si>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</si>
  <si>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</si>
  <si>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</si>
  <si>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</si>
  <si>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</si>
  <si>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</si>
  <si>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</si>
  <si>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</si>
  <si>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</si>
  <si>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</si>
  <si>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</si>
  <si>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</si>
  <si>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</si>
  <si>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</si>
  <si>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</si>
  <si>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</si>
  <si>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</si>
  <si>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</si>
  <si>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</si>
  <si>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</si>
  <si>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</si>
  <si>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</si>
  <si>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</si>
  <si>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</si>
  <si>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</si>
  <si>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</si>
  <si>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</si>
  <si>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</si>
  <si>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</si>
  <si>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</si>
  <si>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</si>
  <si>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</si>
  <si>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</si>
  <si>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</si>
  <si>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</si>
  <si>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</si>
  <si>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</si>
  <si>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</si>
  <si>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</si>
  <si>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</si>
  <si>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</si>
  <si>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</si>
  <si>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</si>
  <si>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</si>
  <si>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</si>
  <si>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</si>
  <si>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</si>
  <si>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</si>
  <si>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</si>
  <si>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</si>
  <si>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</si>
  <si>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</si>
  <si>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</si>
  <si>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</si>
  <si>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</si>
  <si>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</si>
  <si>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</si>
  <si>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</si>
  <si>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</si>
  <si>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</si>
  <si>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</si>
  <si>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</si>
  <si>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</si>
  <si>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</si>
  <si>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</si>
  <si>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</si>
  <si>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</si>
  <si>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</si>
  <si>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</si>
  <si>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</si>
  <si>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</si>
  <si>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</si>
  <si>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</si>
  <si>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</si>
  <si>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</si>
  <si>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</si>
  <si>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</si>
  <si>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</si>
  <si>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</si>
  <si>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</si>
  <si>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</si>
  <si>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</si>
  <si>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</si>
  <si>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</si>
  <si>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</si>
  <si>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</si>
  <si>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</si>
  <si>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</si>
  <si>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</si>
  <si>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</si>
  <si>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</si>
  <si>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</si>
  <si>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</si>
  <si>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</si>
  <si>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</si>
  <si>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</si>
  <si>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</si>
  <si>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</si>
  <si>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</si>
  <si>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</si>
  <si>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</si>
  <si>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</si>
  <si>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</si>
  <si>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</si>
  <si>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</si>
  <si>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</si>
  <si>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</si>
  <si>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</si>
  <si>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</si>
  <si>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</si>
  <si>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</si>
  <si>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</si>
  <si>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</si>
  <si>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</si>
  <si>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</si>
  <si>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</si>
  <si>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</si>
  <si>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</si>
  <si>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</si>
  <si>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</si>
  <si>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</si>
  <si>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</si>
  <si>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</si>
  <si>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</si>
  <si>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</si>
  <si>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</si>
  <si>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</si>
  <si>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</si>
  <si>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</si>
  <si>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</si>
  <si>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</si>
  <si>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</si>
  <si>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</si>
  <si>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</si>
  <si>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</si>
  <si>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</si>
  <si>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</si>
  <si>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</si>
  <si>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</si>
  <si>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</si>
  <si>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</si>
  <si>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</si>
  <si>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</si>
  <si>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</si>
  <si>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</si>
  <si>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</si>
  <si>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</si>
  <si>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</si>
  <si>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</si>
  <si>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</si>
  <si>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</si>
  <si>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</si>
  <si>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</si>
  <si>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</si>
  <si>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</si>
  <si>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</si>
  <si>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</si>
  <si>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</si>
  <si>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</si>
  <si>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</si>
  <si>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</si>
  <si>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</si>
  <si>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</si>
  <si>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</si>
  <si>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</si>
  <si>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</si>
  <si>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</si>
  <si>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</si>
  <si>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</si>
  <si>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</si>
  <si>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</si>
  <si>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</si>
  <si>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</si>
  <si>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</si>
  <si>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</si>
  <si>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</si>
  <si>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</si>
  <si>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</si>
  <si>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</si>
  <si>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</si>
  <si>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</si>
  <si>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</si>
  <si>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</si>
  <si>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</si>
  <si>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</si>
  <si>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</si>
  <si>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</si>
  <si>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</si>
  <si>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</si>
  <si>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</si>
  <si>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</si>
  <si>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</si>
  <si>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</si>
  <si>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</si>
  <si>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</si>
  <si>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</si>
  <si>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</si>
  <si>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</si>
  <si>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</si>
  <si>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</si>
  <si>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</si>
  <si>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</si>
  <si>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</si>
  <si>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</si>
  <si>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</si>
  <si>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</si>
  <si>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</si>
  <si>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</si>
  <si>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</si>
  <si>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</si>
  <si>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</si>
  <si>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</si>
  <si>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</si>
  <si>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</si>
  <si>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</si>
  <si>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</si>
  <si>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</si>
  <si>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</si>
  <si>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</si>
  <si>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</si>
  <si>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</si>
  <si>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</si>
  <si>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</si>
  <si>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</si>
  <si>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</si>
  <si>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</si>
  <si>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</si>
  <si>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</si>
  <si>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</si>
  <si>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</si>
  <si>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</si>
  <si>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</si>
  <si>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</si>
  <si>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</si>
  <si>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</si>
  <si>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</si>
  <si>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</si>
  <si>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</si>
  <si>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</si>
  <si>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</si>
  <si>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</si>
  <si>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</si>
  <si>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</si>
  <si>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</si>
  <si>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</si>
  <si>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</si>
  <si>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</si>
  <si>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</si>
  <si>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</si>
  <si>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</si>
  <si>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</si>
  <si>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</si>
  <si>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</si>
  <si>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</si>
  <si>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</si>
  <si>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</si>
  <si>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</si>
  <si>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</si>
  <si>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</si>
  <si>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</si>
  <si>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</si>
  <si>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</si>
  <si>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</si>
  <si>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</si>
  <si>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</si>
  <si>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</si>
  <si>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</si>
  <si>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</si>
  <si>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</si>
  <si>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</si>
  <si>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</si>
  <si>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</si>
  <si>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</si>
  <si>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</si>
  <si>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</si>
  <si>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</si>
  <si>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</si>
  <si>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</si>
  <si>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</si>
  <si>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</si>
  <si>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</si>
  <si>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</si>
  <si>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</si>
  <si>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</si>
  <si>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</si>
  <si>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</si>
  <si>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</si>
  <si>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</si>
  <si>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</si>
  <si>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</si>
  <si>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</si>
  <si>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</si>
  <si>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</si>
  <si>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</si>
  <si>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</si>
  <si>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</si>
  <si>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</si>
  <si>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</si>
  <si>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</si>
  <si>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</si>
  <si>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</si>
  <si>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</si>
  <si>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</si>
  <si>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</si>
  <si>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</si>
  <si>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</si>
  <si>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</si>
  <si>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</si>
  <si>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</si>
  <si>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</si>
  <si>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</si>
  <si>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</si>
  <si>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</si>
  <si>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</si>
  <si>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</si>
  <si>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</si>
  <si>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</si>
  <si>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</si>
  <si>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</si>
  <si>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</si>
  <si>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</si>
  <si>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</si>
  <si>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</si>
  <si>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</si>
  <si>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</si>
  <si>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</si>
  <si>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</si>
  <si>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</si>
  <si>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</si>
  <si>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</si>
  <si>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</si>
  <si>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</si>
  <si>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</si>
  <si>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</si>
  <si>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</si>
  <si>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</si>
  <si>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</si>
  <si>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</si>
  <si>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</si>
  <si>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</si>
  <si>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</si>
  <si>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</si>
  <si>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</si>
  <si>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</si>
  <si>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</si>
  <si>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E4-56</t>
  </si>
  <si>
    <t>PVP Mars</t>
  </si>
  <si>
    <t>LAC. RAL 7035</t>
  </si>
  <si>
    <t>€/m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</si>
</sst>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  <numFmt numFmtId="167" formatCode="_-* #,##0.00\ [$€-C0A]_-;\-* #,##0.00\ [$€-C0A]_-;_-* &quot;-&quot;??\ [$€-C0A]_-;_-@_-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0"/>
        <bgColor rgb="FFDDDDDD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165" fontId="16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vertical="top" wrapText="1"/>
    </xf>
    <xf numFmtId="0" fontId="16" fillId="0" borderId="6" xfId="0" applyFont="1" applyBorder="1" applyAlignment="1">
      <alignment horizontal="right" vertical="center"/>
    </xf>
    <xf numFmtId="0" fontId="0" fillId="0" borderId="6" xfId="0" applyBorder="1"/>
    <xf numFmtId="167" fontId="0" fillId="0" borderId="6" xfId="0" applyNumberFormat="1" applyBorder="1" applyAlignment="1">
      <alignment vertical="center"/>
    </xf>
    <xf numFmtId="167" fontId="16" fillId="0" borderId="6" xfId="0" applyNumberFormat="1" applyFont="1" applyBorder="1" applyAlignment="1">
      <alignment vertical="center"/>
    </xf>
    <xf numFmtId="167" fontId="16" fillId="0" borderId="6" xfId="0" applyNumberFormat="1" applyFont="1" applyBorder="1"/>
    <xf numFmtId="165" fontId="0" fillId="0" borderId="6" xfId="0" applyNumberFormat="1" applyBorder="1"/>
    <xf numFmtId="167" fontId="0" fillId="0" borderId="6" xfId="0" applyNumberFormat="1" applyBorder="1"/>
    <xf numFmtId="165" fontId="15" fillId="0" borderId="6" xfId="1" applyNumberFormat="1" applyFont="1" applyBorder="1"/>
    <xf numFmtId="165" fontId="0" fillId="14" borderId="6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7" fontId="0" fillId="0" borderId="0" xfId="0" applyNumberForma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topLeftCell="C1" zoomScale="85" zoomScaleNormal="85" zoomScaleSheetLayoutView="115" workbookViewId="0">
      <selection activeCell="E28" sqref="E2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91" t="s">
        <v>1</v>
      </c>
      <c r="F3" s="91"/>
      <c r="G3" s="91"/>
      <c r="H3" s="92"/>
      <c r="I3" s="92"/>
      <c r="J3" s="92"/>
      <c r="K3" s="92"/>
      <c r="L3" s="92"/>
    </row>
    <row r="5" spans="1:12" ht="18.75" x14ac:dyDescent="0.25">
      <c r="B5" s="93" t="s">
        <v>2</v>
      </c>
      <c r="C5" s="9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20250089</v>
      </c>
      <c r="G7" s="8">
        <f ca="1">TODAY()</f>
        <v>45771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80" t="s">
        <v>1449</v>
      </c>
      <c r="I12" s="81"/>
      <c r="K12" s="7" t="s">
        <v>1451</v>
      </c>
    </row>
    <row r="13" spans="1:12" x14ac:dyDescent="0.25">
      <c r="A13" t="s">
        <v>1433</v>
      </c>
      <c r="B13" s="16" t="s">
        <v>743</v>
      </c>
      <c r="C13" s="90" t="str">
        <f>IFERROR(VLOOKUP($B13,Tarifa_all_20240711!$A$2:$G$660,2,FALSE()),"-")</f>
        <v>MARCO PA MAGNET LACADO 6 ESP. 2</v>
      </c>
      <c r="D13" s="90"/>
      <c r="E13" s="17">
        <v>1</v>
      </c>
      <c r="F13" s="18">
        <f>IFERROR(VLOOKUP($B13,Tarifa_all_20240711!$A$2:$G$660,5,FALSE()),"-")</f>
        <v>237.0975</v>
      </c>
      <c r="G13" s="18">
        <f t="shared" ref="G13:G30" si="0">IFERROR(E13*F13,"-")</f>
        <v>237.0975</v>
      </c>
      <c r="H13" s="82"/>
      <c r="I13" s="88">
        <f>G13</f>
        <v>237.0975</v>
      </c>
    </row>
    <row r="14" spans="1:12" x14ac:dyDescent="0.25">
      <c r="A14" t="s">
        <v>1434</v>
      </c>
      <c r="B14" s="16" t="s">
        <v>771</v>
      </c>
      <c r="C14" s="90" t="str">
        <f>IFERROR(VLOOKUP($B14,Tarifa_all_20240711!$A$2:$G$660,2,FALSE()),"-")</f>
        <v>KIT PA PIVOTANTE MAGNET LACADO 6 ESP. 2</v>
      </c>
      <c r="D14" s="90"/>
      <c r="E14" s="17">
        <v>1</v>
      </c>
      <c r="F14" s="18">
        <f>IFERROR(VLOOKUP($B14,Tarifa_all_20240711!$A$2:$G$660,5,FALSE()),"-")</f>
        <v>237.21750000000003</v>
      </c>
      <c r="G14" s="18">
        <f t="shared" si="0"/>
        <v>237.21750000000003</v>
      </c>
      <c r="H14" s="82"/>
      <c r="I14" s="88">
        <f t="shared" ref="I14:I18" si="1">G14</f>
        <v>237.21750000000003</v>
      </c>
    </row>
    <row r="15" spans="1:12" x14ac:dyDescent="0.25">
      <c r="A15" t="s">
        <v>1435</v>
      </c>
      <c r="B15" s="16"/>
      <c r="C15" s="90" t="str">
        <f>IFERROR(VLOOKUP($B15,Tarifa_all_20240711!$A$2:$G$660,2,FALSE()),"-")</f>
        <v>-</v>
      </c>
      <c r="D15" s="9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82"/>
      <c r="I15" s="88" t="str">
        <f t="shared" si="1"/>
        <v>-</v>
      </c>
    </row>
    <row r="16" spans="1:12" x14ac:dyDescent="0.25">
      <c r="A16" t="s">
        <v>1436</v>
      </c>
      <c r="B16" s="16" t="s">
        <v>1175</v>
      </c>
      <c r="C16" s="90" t="str">
        <f>IFERROR(VLOOKUP($B16,Tarifa_all_20240711!$A$2:$G$660,2,FALSE()),"-")</f>
        <v>TIRADOR L 30X180 LACACADO 6 ESP. 2: 2 UDS</v>
      </c>
      <c r="D16" s="90"/>
      <c r="E16" s="17">
        <v>1</v>
      </c>
      <c r="F16" s="18">
        <f>IFERROR(VLOOKUP($B16,Tarifa_all_20240711!$A$2:$G$660,5,FALSE()),"-")</f>
        <v>57.202500000000001</v>
      </c>
      <c r="G16" s="18">
        <f t="shared" si="0"/>
        <v>57.202500000000001</v>
      </c>
      <c r="H16" s="82"/>
      <c r="I16" s="88">
        <f t="shared" si="1"/>
        <v>57.202500000000001</v>
      </c>
    </row>
    <row r="17" spans="1:11" x14ac:dyDescent="0.25">
      <c r="A17" t="s">
        <v>28</v>
      </c>
      <c r="B17" s="16"/>
      <c r="C17" s="90" t="str">
        <f>IFERROR(VLOOKUP($B17,Tarifa_all_20240711!$A$2:$G$660,2,FALSE()),"-")</f>
        <v>-</v>
      </c>
      <c r="D17" s="9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82"/>
      <c r="I17" s="88" t="str">
        <f t="shared" si="1"/>
        <v>-</v>
      </c>
    </row>
    <row r="18" spans="1:11" x14ac:dyDescent="0.25">
      <c r="A18" t="s">
        <v>14</v>
      </c>
      <c r="B18" s="16"/>
      <c r="C18" s="90" t="str">
        <f>IFERROR(VLOOKUP($B18,Tarifa_all_20240711!$A$2:$G$660,2,FALSE()),"-")</f>
        <v>-</v>
      </c>
      <c r="D18" s="9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82"/>
      <c r="I18" s="88" t="str">
        <f t="shared" si="1"/>
        <v>-</v>
      </c>
    </row>
    <row r="19" spans="1:11" x14ac:dyDescent="0.25">
      <c r="B19" s="77" t="s">
        <v>443</v>
      </c>
      <c r="C19" s="90" t="str">
        <f>IFERROR(VLOOKUP($B19,Tarifa_all_20240711!$A$2:$G$660,2,FALSE()),"-")</f>
        <v>MARCO FIJOS 35MM D-DECOR FIJO CRUDO 6,5 MTS</v>
      </c>
      <c r="D19" s="90"/>
      <c r="E19" s="17">
        <v>1</v>
      </c>
      <c r="F19" s="78">
        <f>IFERROR(VLOOKUP($B19,Tarifa_all_20240711!$A$2:$G$660,5,FALSE()),"-")</f>
        <v>48.179999999999993</v>
      </c>
      <c r="G19" s="18">
        <f t="shared" si="0"/>
        <v>48.179999999999993</v>
      </c>
      <c r="H19" s="83">
        <v>62.8</v>
      </c>
      <c r="I19" s="84">
        <f>E19*H19</f>
        <v>62.8</v>
      </c>
      <c r="J19">
        <v>6.5</v>
      </c>
      <c r="K19" s="100">
        <f>H19/J19</f>
        <v>9.661538461538461</v>
      </c>
    </row>
    <row r="20" spans="1:11" x14ac:dyDescent="0.25">
      <c r="B20" s="77" t="s">
        <v>423</v>
      </c>
      <c r="C20" s="90" t="str">
        <f>IFERROR(VLOOKUP($B20,Tarifa_all_20240711!$A$2:$G$660,2,FALSE()),"-")</f>
        <v>ANCLAJE TAPA 35MM D-DECOR FIJO CRUDO 6,5 MTS</v>
      </c>
      <c r="D20" s="90"/>
      <c r="E20" s="17">
        <v>1</v>
      </c>
      <c r="F20" s="78">
        <f>IFERROR(VLOOKUP($B20,Tarifa_all_20240711!$A$2:$G$660,5,FALSE()),"-")</f>
        <v>23.009999999999998</v>
      </c>
      <c r="G20" s="18">
        <f t="shared" si="0"/>
        <v>23.009999999999998</v>
      </c>
      <c r="H20" s="83">
        <v>30.47</v>
      </c>
      <c r="I20" s="84">
        <f t="shared" ref="I20:I24" si="2">E20*H20</f>
        <v>30.47</v>
      </c>
      <c r="J20">
        <v>6.5</v>
      </c>
      <c r="K20" s="100">
        <f t="shared" ref="K20:K27" si="3">H20/J20</f>
        <v>4.6876923076923074</v>
      </c>
    </row>
    <row r="21" spans="1:11" x14ac:dyDescent="0.25">
      <c r="B21" s="77" t="s">
        <v>463</v>
      </c>
      <c r="C21" s="90" t="str">
        <f>IFERROR(VLOOKUP($B21,Tarifa_all_20240711!$A$2:$G$660,2,FALSE()),"-")</f>
        <v>TAPA MARCO 35MM D-DECOR FIJO CRUDO 6,5 MTS</v>
      </c>
      <c r="D21" s="90"/>
      <c r="E21" s="17">
        <v>1</v>
      </c>
      <c r="F21" s="78">
        <f>IFERROR(VLOOKUP($B21,Tarifa_all_20240711!$A$2:$G$660,5,FALSE()),"-")</f>
        <v>19.2225</v>
      </c>
      <c r="G21" s="18">
        <f t="shared" si="0"/>
        <v>19.2225</v>
      </c>
      <c r="H21" s="83">
        <v>25.71</v>
      </c>
      <c r="I21" s="84">
        <f t="shared" si="2"/>
        <v>25.71</v>
      </c>
      <c r="J21">
        <v>6.5</v>
      </c>
      <c r="K21" s="100">
        <f t="shared" si="3"/>
        <v>3.9553846153846157</v>
      </c>
    </row>
    <row r="22" spans="1:11" x14ac:dyDescent="0.25">
      <c r="B22" s="77" t="s">
        <v>441</v>
      </c>
      <c r="C22" s="90" t="str">
        <f>IFERROR(VLOOKUP($B22,Tarifa_all_20240711!$A$2:$G$660,2,FALSE()),"-")</f>
        <v>MARCO FIJOS 35MM D-DECOR FIJO CRUDO 3 MTS</v>
      </c>
      <c r="D22" s="90"/>
      <c r="E22" s="17">
        <v>1</v>
      </c>
      <c r="F22" s="78">
        <f>IFERROR(VLOOKUP($B22,Tarifa_all_20240711!$A$2:$G$660,5,FALSE()),"-")</f>
        <v>22.245000000000001</v>
      </c>
      <c r="G22" s="18">
        <f t="shared" si="0"/>
        <v>22.245000000000001</v>
      </c>
      <c r="H22" s="83">
        <v>28.98</v>
      </c>
      <c r="I22" s="84">
        <f t="shared" si="2"/>
        <v>28.98</v>
      </c>
      <c r="J22">
        <v>3</v>
      </c>
      <c r="K22" s="100">
        <f t="shared" si="3"/>
        <v>9.66</v>
      </c>
    </row>
    <row r="23" spans="1:11" x14ac:dyDescent="0.25">
      <c r="B23" s="77" t="s">
        <v>421</v>
      </c>
      <c r="C23" s="90" t="str">
        <f>IFERROR(VLOOKUP($B23,Tarifa_all_20240711!$A$2:$G$660,2,FALSE()),"-")</f>
        <v>ANCLAJE TAPA 35MM D-DECOR FIJO CRUDO 3 MTS</v>
      </c>
      <c r="D23" s="90"/>
      <c r="E23" s="17">
        <v>1</v>
      </c>
      <c r="F23" s="78">
        <f>IFERROR(VLOOKUP($B23,Tarifa_all_20240711!$A$2:$G$660,5,FALSE()),"-")</f>
        <v>10.620000000000001</v>
      </c>
      <c r="G23" s="18">
        <f t="shared" si="0"/>
        <v>10.620000000000001</v>
      </c>
      <c r="H23" s="83">
        <v>14.07</v>
      </c>
      <c r="I23" s="84">
        <f t="shared" si="2"/>
        <v>14.07</v>
      </c>
      <c r="J23">
        <v>3</v>
      </c>
      <c r="K23" s="100">
        <f t="shared" si="3"/>
        <v>4.6900000000000004</v>
      </c>
    </row>
    <row r="24" spans="1:11" x14ac:dyDescent="0.25">
      <c r="B24" s="77" t="s">
        <v>461</v>
      </c>
      <c r="C24" s="90" t="str">
        <f>IFERROR(VLOOKUP($B24,Tarifa_all_20240711!$A$2:$G$660,2,FALSE()),"-")</f>
        <v>TAPA MARCO 35MM D-DECOR FIJO CRUDO 3 MTS</v>
      </c>
      <c r="D24" s="90"/>
      <c r="E24" s="17">
        <v>1</v>
      </c>
      <c r="F24" s="78">
        <f>IFERROR(VLOOKUP($B24,Tarifa_all_20240711!$A$2:$G$660,5,FALSE()),"-")</f>
        <v>8.879999999999999</v>
      </c>
      <c r="G24" s="18">
        <f t="shared" si="0"/>
        <v>8.879999999999999</v>
      </c>
      <c r="H24" s="83">
        <v>11.87</v>
      </c>
      <c r="I24" s="84">
        <f t="shared" si="2"/>
        <v>11.87</v>
      </c>
      <c r="J24">
        <v>3</v>
      </c>
      <c r="K24" s="100">
        <f t="shared" si="3"/>
        <v>3.9566666666666666</v>
      </c>
    </row>
    <row r="25" spans="1:11" x14ac:dyDescent="0.25">
      <c r="B25" s="16" t="s">
        <v>283</v>
      </c>
      <c r="C25" s="90" t="str">
        <f>IFERROR(VLOOKUP($B25,Tarifa_all_20240711!$A$2:$G$660,2,FALSE()),"-")</f>
        <v>Tope Domo Decor</v>
      </c>
      <c r="D25" s="90"/>
      <c r="E25" s="17">
        <v>8</v>
      </c>
      <c r="F25" s="18">
        <f>IFERROR(VLOOKUP($B25,Tarifa_all_20240711!$A$2:$G$660,5,FALSE()),"-")</f>
        <v>1.4175</v>
      </c>
      <c r="G25" s="18">
        <f t="shared" si="0"/>
        <v>11.34</v>
      </c>
      <c r="H25" s="82"/>
      <c r="I25" s="85">
        <f>G25</f>
        <v>11.34</v>
      </c>
      <c r="K25" s="100"/>
    </row>
    <row r="26" spans="1:11" x14ac:dyDescent="0.25">
      <c r="B26" s="16" t="s">
        <v>285</v>
      </c>
      <c r="C26" s="90" t="str">
        <f>IFERROR(VLOOKUP($B26,Tarifa_all_20240711!$A$2:$G$660,2,FALSE()),"-")</f>
        <v>PERFIL 3 MTS REDUCTOR PARA VIDRIO 6mm</v>
      </c>
      <c r="D26" s="90"/>
      <c r="E26" s="17">
        <v>4</v>
      </c>
      <c r="F26" s="18">
        <f>IFERROR(VLOOKUP($B26,Tarifa_all_20240711!$A$2:$G$660,5,FALSE()),"-")</f>
        <v>3.4275000000000002</v>
      </c>
      <c r="G26" s="18">
        <f t="shared" si="0"/>
        <v>13.71</v>
      </c>
      <c r="H26" s="82"/>
      <c r="I26" s="85">
        <f t="shared" ref="I26:I30" si="4">G26</f>
        <v>13.71</v>
      </c>
      <c r="J26">
        <v>3</v>
      </c>
      <c r="K26" s="100">
        <f>G26/J26</f>
        <v>4.57</v>
      </c>
    </row>
    <row r="27" spans="1:11" x14ac:dyDescent="0.25">
      <c r="B27" s="16">
        <v>31229</v>
      </c>
      <c r="C27" s="90" t="str">
        <f>IFERROR(VLOOKUP($B27,Tarifa_all_20240711!$A$2:$G$660,2,FALSE()),"-")</f>
        <v>COMPLEMENTO FIJACION DOMO DECOR: BARRAS 3 MTS</v>
      </c>
      <c r="D27" s="90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82"/>
      <c r="I27" s="85">
        <f t="shared" si="4"/>
        <v>45.269999999999996</v>
      </c>
      <c r="J27">
        <v>3</v>
      </c>
      <c r="K27" s="100">
        <f>G27/J27</f>
        <v>15.089999999999998</v>
      </c>
    </row>
    <row r="28" spans="1:11" x14ac:dyDescent="0.25">
      <c r="B28" s="16" t="s">
        <v>803</v>
      </c>
      <c r="C28" s="90" t="str">
        <f>IFERROR(VLOOKUP($B28,Tarifa_all_20240711!$A$2:$G$660,2,FALSE()),"-")</f>
        <v>PERFIL EMBELL.HORIZ. ADH LACADO 6 ESP. 2</v>
      </c>
      <c r="D28" s="90"/>
      <c r="E28" s="17">
        <v>8</v>
      </c>
      <c r="F28" s="18">
        <f>IFERROR(VLOOKUP($B28,Tarifa_all_20240711!$A$2:$G$660,5,FALSE()),"-")</f>
        <v>23.977499999999999</v>
      </c>
      <c r="G28" s="18">
        <f t="shared" si="0"/>
        <v>191.82</v>
      </c>
      <c r="H28" s="82"/>
      <c r="I28" s="85">
        <f t="shared" si="4"/>
        <v>191.82</v>
      </c>
    </row>
    <row r="29" spans="1:11" x14ac:dyDescent="0.25">
      <c r="B29" s="16"/>
      <c r="C29" s="90" t="str">
        <f>IFERROR(VLOOKUP($B29,Tarifa_all_20240711!$A$2:$G$660,2,FALSE()),"-")</f>
        <v>-</v>
      </c>
      <c r="D29" s="9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82"/>
      <c r="I29" s="85" t="str">
        <f t="shared" si="4"/>
        <v>-</v>
      </c>
    </row>
    <row r="30" spans="1:11" x14ac:dyDescent="0.25">
      <c r="B30" s="16"/>
      <c r="C30" s="90" t="str">
        <f>IFERROR(VLOOKUP($B30,Tarifa_all_20240711!$A$2:$G$660,2,FALSE()),"-")</f>
        <v>-</v>
      </c>
      <c r="D30" s="9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82"/>
      <c r="I30" s="85" t="str">
        <f t="shared" si="4"/>
        <v>-</v>
      </c>
    </row>
    <row r="31" spans="1:11" x14ac:dyDescent="0.25">
      <c r="B31" s="19"/>
      <c r="C31" s="19"/>
      <c r="D31" s="19"/>
      <c r="E31" s="19"/>
      <c r="F31" s="20"/>
      <c r="G31" s="21">
        <f>SUM(G13:G30)</f>
        <v>925.81500000000005</v>
      </c>
      <c r="H31" s="86"/>
      <c r="I31" s="87">
        <f>SUM(I13:I30)</f>
        <v>967.55750000000012</v>
      </c>
    </row>
    <row r="32" spans="1:11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79" t="s">
        <v>1450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9"/>
      <c r="E52" s="89"/>
      <c r="F52" s="89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5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B9" sqref="B9:D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91" t="s">
        <v>70</v>
      </c>
      <c r="F2" s="91"/>
      <c r="G2" s="91"/>
    </row>
    <row r="3" spans="1:7" ht="18" customHeight="1" x14ac:dyDescent="0.35">
      <c r="E3" s="91" t="s">
        <v>1</v>
      </c>
      <c r="F3" s="91"/>
      <c r="G3" s="9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8" t="s">
        <v>71</v>
      </c>
      <c r="B6" s="98"/>
      <c r="C6" s="9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9" t="str">
        <f>'DESPIECE (MATANALYSIS)'!C8</f>
        <v>Cristalum Gandia</v>
      </c>
      <c r="C9" s="99"/>
      <c r="D9" s="99"/>
      <c r="F9" s="3" t="s">
        <v>73</v>
      </c>
      <c r="G9" s="44">
        <f ca="1">TODAY()</f>
        <v>45771</v>
      </c>
    </row>
    <row r="10" spans="1:7" x14ac:dyDescent="0.25">
      <c r="A10" s="3" t="s">
        <v>74</v>
      </c>
      <c r="B10" s="11" t="str">
        <f>'DESPIECE (MATANALYSIS)'!C9</f>
        <v>E4-56</v>
      </c>
      <c r="C10" s="45"/>
      <c r="D10" s="45"/>
      <c r="E10" s="46"/>
      <c r="F10" s="47" t="s">
        <v>75</v>
      </c>
      <c r="G10" s="7">
        <f>'DESPIECE (MATANALYSIS)'!C7</f>
        <v>20250089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RAL 7035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925.81500000000005</v>
      </c>
    </row>
    <row r="45" spans="1:7" ht="22.7" customHeight="1" x14ac:dyDescent="0.25">
      <c r="A45" s="94" t="s">
        <v>1445</v>
      </c>
      <c r="B45" s="94"/>
      <c r="C45" s="72"/>
      <c r="D45" s="72"/>
      <c r="E45" s="72"/>
      <c r="F45" s="73">
        <v>-0.1</v>
      </c>
      <c r="G45" s="74">
        <f>G44*(1+F45)</f>
        <v>833.23350000000005</v>
      </c>
    </row>
    <row r="46" spans="1:7" ht="22.7" customHeight="1" x14ac:dyDescent="0.25">
      <c r="A46" s="95" t="s">
        <v>84</v>
      </c>
      <c r="B46" s="95"/>
      <c r="C46" s="59"/>
      <c r="D46" s="59"/>
      <c r="E46" s="59"/>
      <c r="F46" s="96">
        <f>G45</f>
        <v>833.23350000000005</v>
      </c>
      <c r="G46" s="96"/>
    </row>
    <row r="47" spans="1:7" s="1" customFormat="1" ht="22.7" customHeight="1" x14ac:dyDescent="0.25">
      <c r="A47" s="97" t="s">
        <v>85</v>
      </c>
      <c r="B47" s="97"/>
      <c r="C47" s="97"/>
      <c r="D47" s="97"/>
      <c r="E47" s="97"/>
      <c r="F47" s="97"/>
      <c r="G47" s="97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2025-04-24T06:43:55Z</cp:lastPrinted>
  <dcterms:created xsi:type="dcterms:W3CDTF">2024-04-15T12:43:19Z</dcterms:created>
  <dcterms:modified xsi:type="dcterms:W3CDTF">2025-04-24T07:13:35Z</dcterms:modified>
  <dc:language>es-ES</dc:language>
</cp:coreProperties>
</file>