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gom\Desktop\"/>
    </mc:Choice>
  </mc:AlternateContent>
  <xr:revisionPtr revIDLastSave="0" documentId="13_ncr:11_{BF5E3B3A-A7BD-48AE-A0A9-DF1E90F1B774}" xr6:coauthVersionLast="47" xr6:coauthVersionMax="47" xr10:uidLastSave="{00000000-0000-0000-0000-000000000000}"/>
  <bookViews>
    <workbookView xWindow="-14505" yWindow="0" windowWidth="14610" windowHeight="1558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<sst xmlns="http://schemas.openxmlformats.org/spreadsheetml/2006/main" count="5404" uniqueCount="1454">
  <si>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</si>
  <si>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</si>
  <si>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</si>
  <si>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</si>
  <si>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</si>
  <si>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</si>
  <si>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</si>
  <si>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</si>
  <si>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</si>
  <si>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</si>
  <si>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</si>
  <si>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</si>
  <si>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</si>
  <si>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</si>
  <si>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</si>
  <si>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</si>
  <si>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</si>
  <si>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</si>
  <si>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</si>
  <si>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</si>
  <si>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</si>
  <si>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</si>
  <si>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</si>
  <si>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</si>
  <si>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</si>
  <si>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</si>
  <si>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</si>
  <si>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</si>
  <si>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</si>
  <si>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</si>
  <si>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</si>
  <si>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</si>
  <si>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</si>
  <si>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</si>
  <si>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</si>
  <si>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</si>
  <si>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</si>
  <si>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</si>
  <si>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</si>
  <si>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</si>
  <si>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</si>
  <si>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</si>
  <si>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</si>
  <si>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</si>
  <si>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</si>
  <si>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</si>
  <si>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</si>
  <si>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</si>
  <si>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</si>
  <si>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</si>
  <si>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</si>
  <si>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</si>
  <si>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</si>
  <si>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</si>
  <si>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</si>
  <si>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</si>
  <si>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</si>
  <si>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</si>
  <si>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</si>
  <si>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</si>
  <si>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</si>
  <si>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</si>
  <si>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</si>
  <si>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</si>
  <si>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</si>
  <si>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</si>
  <si>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</si>
  <si>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</si>
  <si>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</si>
  <si>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</si>
  <si>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</si>
  <si>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</si>
  <si>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</si>
  <si>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</si>
  <si>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</si>
  <si>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</si>
  <si>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</si>
  <si>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</si>
  <si>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</si>
  <si>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</si>
  <si>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</si>
  <si>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</si>
  <si>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</si>
  <si>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</si>
  <si>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</si>
  <si>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</si>
  <si>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</si>
  <si>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</si>
  <si>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</si>
  <si>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</si>
  <si>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</si>
  <si>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</si>
  <si>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</si>
  <si>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</si>
  <si>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</si>
  <si>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</si>
  <si>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</si>
  <si>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</si>
  <si>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</si>
  <si>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</si>
  <si>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</si>
  <si>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</si>
  <si>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</si>
  <si>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</si>
  <si>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</si>
  <si>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</si>
  <si>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</si>
  <si>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</si>
  <si>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</si>
  <si>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</si>
  <si>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</si>
  <si>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</si>
  <si>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</si>
  <si>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</si>
  <si>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</si>
  <si>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</si>
  <si>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</si>
  <si>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</si>
  <si>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</si>
  <si>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</si>
  <si>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</si>
  <si>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</si>
  <si>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</si>
  <si>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</si>
  <si>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</si>
  <si>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</si>
  <si>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</si>
  <si>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</si>
  <si>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</si>
  <si>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</si>
  <si>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</si>
  <si>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</si>
  <si>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</si>
  <si>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</si>
  <si>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</si>
  <si>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</si>
  <si>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</si>
  <si>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</si>
  <si>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</si>
  <si>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</si>
  <si>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</si>
  <si>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</si>
  <si>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</si>
  <si>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</si>
  <si>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</si>
  <si>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</si>
  <si>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</si>
  <si>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</si>
  <si>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</si>
  <si>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</si>
  <si>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</si>
  <si>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</si>
  <si>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</si>
  <si>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</si>
  <si>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</si>
  <si>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</si>
  <si>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</si>
  <si>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</si>
  <si>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</si>
  <si>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</si>
  <si>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</si>
  <si>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</si>
  <si>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</si>
  <si>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</si>
  <si>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</si>
  <si>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</si>
  <si>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</si>
  <si>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</si>
  <si>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</si>
  <si>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</si>
  <si>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</si>
  <si>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</si>
  <si>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</si>
  <si>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</si>
  <si>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</si>
  <si>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</si>
  <si>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</si>
  <si>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</si>
  <si>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</si>
  <si>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</si>
  <si>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</si>
  <si>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</si>
  <si>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</si>
  <si>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</si>
  <si>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</si>
  <si>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</si>
  <si>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</si>
  <si>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</si>
  <si>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</si>
  <si>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</si>
  <si>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</si>
  <si>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</si>
  <si>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</si>
  <si>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</si>
  <si>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</si>
  <si>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</si>
  <si>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</si>
  <si>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</si>
  <si>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</si>
  <si>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</si>
  <si>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</si>
  <si>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</si>
  <si>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</si>
  <si>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</si>
  <si>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</si>
  <si>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</si>
  <si>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</si>
  <si>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</si>
  <si>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</si>
  <si>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</si>
  <si>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</si>
  <si>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</si>
  <si>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</si>
  <si>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</si>
  <si>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</si>
  <si>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</si>
  <si>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</si>
  <si>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</si>
  <si>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</si>
  <si>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</si>
  <si>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</si>
  <si>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</si>
  <si>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</si>
  <si>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</si>
  <si>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</si>
  <si>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</si>
  <si>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</si>
  <si>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</si>
  <si>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</si>
  <si>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</si>
  <si>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</si>
  <si>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</si>
  <si>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</si>
  <si>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</si>
  <si>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</si>
  <si>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</si>
  <si>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</si>
  <si>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</si>
  <si>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</si>
  <si>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</si>
  <si>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</si>
  <si>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</si>
  <si>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</si>
  <si>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</si>
  <si>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</si>
  <si>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</si>
  <si>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</si>
  <si>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</si>
  <si>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</si>
  <si>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</si>
  <si>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</si>
  <si>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</si>
  <si>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</si>
  <si>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</si>
  <si>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</si>
  <si>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</si>
  <si>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</si>
  <si>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</si>
  <si>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</si>
  <si>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</si>
  <si>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</si>
  <si>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</si>
  <si>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</si>
  <si>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</si>
  <si>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</si>
  <si>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</si>
  <si>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</si>
  <si>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</si>
  <si>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</si>
  <si>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</si>
  <si>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</si>
  <si>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</si>
  <si>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</si>
  <si>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</si>
  <si>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</si>
  <si>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</si>
  <si>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</si>
  <si>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</si>
  <si>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</si>
  <si>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</si>
  <si>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</si>
  <si>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</si>
  <si>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</si>
  <si>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</si>
  <si>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</si>
  <si>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</si>
  <si>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</si>
  <si>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</si>
  <si>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</si>
  <si>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</si>
  <si>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</si>
  <si>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</si>
  <si>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</si>
  <si>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</si>
  <si>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</si>
  <si>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</si>
  <si>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</si>
  <si>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</si>
  <si>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</si>
  <si>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</si>
  <si>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</si>
  <si>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</si>
  <si>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</si>
  <si>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</si>
  <si>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</si>
  <si>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</si>
  <si>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</si>
  <si>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</si>
  <si>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</si>
  <si>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</si>
  <si>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</si>
  <si>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</si>
  <si>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</si>
  <si>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</si>
  <si>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</si>
  <si>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</si>
  <si>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</si>
  <si>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</si>
  <si>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</si>
  <si>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</si>
  <si>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</si>
  <si>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</si>
  <si>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</si>
  <si>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</si>
  <si>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</si>
  <si>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</si>
  <si>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</si>
  <si>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</si>
  <si>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</si>
  <si>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</si>
  <si>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</si>
  <si>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</si>
  <si>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</si>
  <si>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</si>
  <si>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</si>
  <si>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</si>
  <si>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</si>
  <si>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</si>
  <si>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</si>
  <si>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</si>
  <si>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</si>
  <si>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</si>
  <si>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</si>
  <si>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</si>
  <si>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</si>
  <si>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</si>
  <si>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</si>
  <si>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</si>
  <si>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</si>
  <si>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</si>
  <si>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</si>
  <si>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</si>
  <si>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</si>
  <si>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</si>
  <si>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</si>
  <si>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</si>
  <si>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</si>
  <si>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</si>
  <si>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</si>
  <si>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</si>
  <si>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</si>
  <si>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</si>
  <si>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</si>
  <si>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</si>
  <si>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</si>
  <si>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</si>
  <si>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</si>
  <si>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</si>
  <si>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</si>
  <si>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</si>
  <si>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</si>
  <si>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</si>
  <si>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</si>
  <si>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</si>
  <si>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</si>
  <si>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</si>
  <si>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</si>
  <si>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</si>
  <si>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</si>
  <si>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</si>
  <si>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</si>
  <si>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</si>
  <si>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</si>
  <si>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</si>
  <si>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</si>
  <si>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</si>
  <si>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</si>
  <si>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</si>
  <si>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</si>
  <si>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</si>
  <si>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</si>
  <si>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</si>
  <si>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</si>
  <si>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</si>
  <si>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</si>
  <si>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</si>
  <si>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</si>
  <si>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</si>
  <si>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</si>
  <si>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</si>
  <si>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</si>
  <si>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</si>
  <si>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</si>
  <si>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</si>
  <si>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</si>
  <si>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</si>
  <si>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</si>
  <si>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</si>
  <si>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</si>
  <si>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</si>
  <si>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</si>
  <si>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</si>
  <si>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</si>
  <si>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</si>
  <si>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</si>
  <si>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</si>
  <si>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</si>
  <si>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</si>
  <si>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</si>
  <si>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</si>
  <si>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</si>
  <si>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</si>
  <si>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</si>
  <si>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</si>
  <si>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</si>
  <si>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</si>
  <si>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</si>
  <si>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</si>
  <si>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</si>
  <si>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</si>
  <si>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</si>
  <si>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</si>
  <si>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</si>
  <si>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</si>
  <si>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</si>
  <si>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</si>
  <si>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</si>
  <si>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</si>
  <si>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</si>
  <si>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</si>
  <si>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</si>
  <si>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</si>
  <si>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</si>
  <si>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</si>
  <si>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</si>
  <si>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</si>
  <si>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</si>
  <si>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</si>
  <si>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</si>
  <si>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</si>
  <si>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</si>
  <si>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</si>
  <si>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</si>
  <si>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</si>
  <si>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</si>
  <si>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</si>
  <si>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</si>
  <si>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</si>
  <si>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</si>
  <si>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</si>
  <si>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</si>
  <si>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</si>
  <si>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</si>
  <si>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</si>
  <si>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</si>
  <si>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</si>
  <si>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</si>
  <si>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</si>
  <si>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</si>
  <si>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</si>
  <si>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</si>
  <si>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</si>
  <si>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</si>
  <si>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</si>
  <si>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</si>
  <si>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</si>
  <si>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</si>
  <si>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</si>
  <si>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</si>
  <si>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</si>
  <si>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</si>
  <si>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</si>
  <si>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</si>
  <si>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</si>
  <si>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</si>
  <si>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</si>
  <si>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</si>
  <si>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</si>
  <si>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</si>
  <si>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</si>
  <si>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</si>
  <si>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</si>
  <si>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</si>
  <si>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</si>
  <si>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</si>
  <si>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</si>
  <si>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</si>
  <si>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</si>
  <si>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</si>
  <si>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</si>
  <si>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</si>
  <si>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</si>
  <si>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</si>
  <si>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</si>
  <si>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</si>
  <si>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</si>
  <si>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</si>
  <si>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</si>
  <si>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</si>
  <si>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</si>
  <si>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</si>
  <si>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</si>
  <si>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</si>
  <si>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</si>
  <si>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</si>
  <si>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</si>
  <si>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</si>
  <si>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</si>
  <si>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</si>
  <si>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</si>
  <si>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</si>
  <si>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</si>
  <si>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</si>
  <si>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</si>
  <si>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</si>
  <si>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</si>
  <si>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</si>
  <si>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</si>
  <si>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</si>
  <si>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</si>
  <si>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</si>
  <si>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</si>
  <si>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</si>
  <si>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</si>
  <si>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</si>
  <si>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</si>
  <si>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</si>
  <si>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</si>
  <si>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</si>
  <si>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</si>
  <si>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</si>
  <si>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</si>
  <si>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</si>
  <si>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</si>
  <si>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</si>
  <si>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</si>
  <si>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</si>
  <si>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</si>
  <si>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</si>
  <si>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</si>
  <si>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</si>
  <si>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</si>
  <si>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</si>
  <si>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</si>
  <si>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</si>
  <si>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</si>
  <si>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</si>
  <si>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</si>
  <si>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</si>
  <si>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</si>
  <si>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</si>
  <si>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</si>
  <si>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</si>
  <si>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</si>
  <si>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</si>
  <si>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</si>
  <si>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</si>
  <si>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</si>
  <si>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</si>
  <si>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</si>
  <si>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</si>
  <si>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</si>
  <si>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</si>
  <si>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</si>
  <si>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</si>
  <si>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</si>
  <si>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</si>
  <si>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</si>
  <si>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</si>
  <si>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</si>
  <si>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</si>
  <si>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</si>
  <si>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</si>
  <si>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</si>
  <si>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</si>
  <si>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</si>
  <si>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</si>
  <si>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</si>
  <si>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</si>
  <si>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</si>
  <si>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</si>
  <si>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</si>
  <si>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</si>
  <si>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</si>
  <si>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</si>
  <si>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</si>
  <si>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</si>
  <si>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</si>
  <si>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</si>
  <si>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</si>
  <si>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</si>
  <si>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</si>
  <si>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</si>
  <si>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</si>
  <si>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</si>
  <si>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</si>
  <si>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</si>
  <si>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</si>
  <si>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</si>
  <si>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</si>
  <si>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</si>
  <si>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</si>
  <si>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</si>
  <si>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</si>
  <si>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</si>
  <si>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</si>
  <si>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</si>
  <si>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</si>
  <si>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</si>
  <si>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</si>
  <si>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</si>
  <si>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</si>
  <si>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</si>
  <si>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</si>
  <si>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</si>
  <si>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</si>
  <si>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</si>
  <si>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</si>
  <si>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</si>
  <si>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</si>
  <si>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</si>
  <si>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</si>
  <si>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</si>
  <si>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</si>
  <si>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</si>
  <si>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</si>
  <si>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</si>
  <si>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</si>
  <si>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</si>
  <si>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</si>
  <si>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</si>
  <si>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</si>
  <si>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</si>
  <si>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</si>
  <si>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</si>
  <si>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</si>
  <si>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</si>
  <si>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</si>
  <si>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</si>
  <si>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</si>
  <si>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</si>
  <si>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</si>
  <si>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</si>
  <si>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</si>
  <si>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</si>
  <si>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</si>
  <si>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</si>
  <si>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</si>
  <si>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</si>
  <si>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</si>
  <si>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</si>
  <si>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</si>
  <si>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</si>
  <si>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</si>
  <si>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</si>
  <si>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</si>
  <si>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</si>
  <si>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</si>
  <si>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</si>
  <si>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</si>
  <si>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</si>
  <si>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</si>
  <si>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</si>
  <si>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</si>
  <si>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</si>
  <si>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</si>
  <si>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</si>
  <si>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</si>
  <si>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</si>
  <si>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</si>
  <si>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</si>
  <si>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</si>
  <si>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</si>
  <si>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</si>
  <si>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</si>
  <si>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</si>
  <si>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</si>
  <si>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</si>
  <si>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</si>
  <si>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</si>
  <si>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</si>
  <si>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</si>
  <si>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</si>
  <si>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</si>
  <si>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</si>
  <si>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</si>
  <si>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</si>
  <si>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</si>
  <si>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</si>
  <si>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</si>
  <si>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</si>
  <si>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</si>
  <si>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</si>
  <si>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</si>
  <si>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</si>
  <si>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</si>
  <si>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</si>
  <si>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</si>
  <si>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</si>
  <si>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</si>
  <si>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</si>
  <si>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</si>
  <si>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</si>
  <si>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</si>
  <si>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</si>
  <si>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</si>
  <si>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</si>
  <si>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</si>
  <si>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</si>
  <si>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</si>
  <si>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</si>
  <si>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</si>
  <si>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</si>
  <si>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</si>
  <si>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</si>
  <si>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</si>
  <si>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</si>
  <si>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</si>
  <si>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</si>
  <si>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</si>
  <si>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</si>
  <si>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</si>
  <si>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</si>
  <si>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</si>
  <si>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</si>
  <si>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</si>
  <si>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</si>
  <si>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</si>
  <si>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</si>
  <si>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</si>
  <si>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</si>
  <si>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</si>
  <si>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</si>
  <si>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</si>
  <si>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</si>
  <si>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</si>
  <si>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</si>
  <si>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</si>
  <si>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</si>
  <si>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</si>
  <si>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</si>
  <si>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</si>
  <si>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</si>
  <si>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</si>
  <si>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</si>
  <si>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</si>
  <si>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</si>
  <si>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</si>
  <si>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</si>
  <si>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</si>
  <si>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</si>
  <si>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</si>
  <si>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</si>
  <si>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</si>
  <si>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</si>
  <si>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</si>
  <si>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</si>
  <si>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</si>
  <si>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</si>
  <si>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</si>
  <si>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</si>
  <si>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</si>
  <si>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</si>
  <si>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</si>
  <si>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</si>
  <si>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</si>
  <si>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</si>
  <si>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</si>
  <si>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</si>
  <si>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</si>
  <si>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</si>
  <si>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</si>
  <si>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</si>
  <si>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</si>
  <si>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</si>
  <si>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</si>
  <si>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</si>
  <si>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</si>
  <si>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</si>
  <si>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</si>
  <si>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</si>
  <si>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</si>
  <si>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</si>
  <si>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</si>
  <si>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</si>
  <si>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</si>
  <si>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</si>
  <si>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</si>
  <si>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</si>
  <si>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</si>
  <si>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</si>
  <si>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</si>
  <si>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</si>
  <si>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</si>
  <si>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</si>
  <si>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</si>
  <si>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</si>
  <si>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</si>
  <si>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</si>
  <si>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</si>
  <si>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</si>
  <si>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</si>
  <si>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</si>
  <si>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</si>
  <si>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</si>
  <si>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</si>
  <si>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</si>
  <si>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</si>
  <si>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</si>
  <si>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</si>
  <si>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</si>
  <si>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</si>
  <si>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</si>
  <si>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</si>
  <si>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</si>
  <si>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</si>
  <si>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</si>
  <si>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</si>
  <si>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</si>
  <si>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</si>
  <si>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</si>
  <si>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</si>
  <si>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</si>
  <si>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</si>
  <si>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</si>
  <si>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</si>
  <si>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</si>
  <si>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</si>
  <si>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</si>
  <si>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</si>
  <si>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</si>
  <si>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</si>
  <si>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</si>
  <si>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</si>
  <si>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</si>
  <si>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</si>
  <si>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</si>
  <si>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</si>
  <si>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</si>
  <si>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</si>
  <si>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</si>
  <si>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</si>
  <si>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</si>
  <si>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</si>
  <si>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</si>
  <si>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</si>
  <si>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</si>
  <si>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</si>
  <si>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</si>
  <si>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</si>
  <si>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</si>
  <si>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</si>
  <si>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</si>
  <si>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</si>
  <si>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</si>
  <si>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</si>
  <si>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</si>
  <si>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</si>
  <si>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</si>
  <si>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</si>
  <si>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</si>
  <si>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</si>
  <si>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</si>
  <si>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</si>
  <si>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</si>
  <si>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</si>
  <si>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</si>
  <si>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</si>
  <si>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</si>
  <si>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</si>
  <si>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</si>
  <si>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</si>
  <si>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</si>
  <si>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</si>
  <si>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</si>
  <si>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</si>
  <si>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</si>
  <si>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</si>
  <si>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</si>
  <si>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</si>
  <si>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</si>
  <si>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</si>
  <si>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</si>
  <si>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</si>
  <si>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</si>
  <si>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</si>
  <si>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</si>
  <si>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</si>
  <si>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</si>
  <si>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</si>
  <si>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</si>
  <si>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</si>
  <si>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</si>
  <si>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</si>
  <si>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</si>
  <si>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</si>
  <si>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</si>
  <si>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</si>
  <si>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</si>
  <si>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</si>
  <si>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</si>
  <si>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</si>
  <si>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</si>
  <si>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</si>
  <si>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</si>
  <si>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</si>
  <si>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</si>
  <si>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</si>
  <si>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</si>
  <si>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</si>
  <si>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</si>
  <si>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</si>
  <si>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</si>
  <si>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</si>
  <si>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</si>
  <si>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</si>
  <si>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</si>
  <si>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</si>
  <si>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</si>
  <si>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</si>
  <si>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</si>
  <si>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</si>
  <si>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</si>
  <si>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</si>
  <si>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</si>
  <si>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</si>
  <si>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</si>
  <si>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</si>
  <si>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</si>
  <si>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</si>
  <si>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</si>
  <si>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</si>
  <si>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</si>
  <si>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</si>
  <si>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</si>
  <si>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</si>
  <si>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</si>
  <si>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</si>
  <si>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</si>
  <si>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</si>
  <si>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</si>
  <si>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</si>
  <si>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</si>
  <si>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</si>
  <si>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</si>
  <si>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</si>
  <si>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</si>
  <si>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</si>
  <si>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</si>
  <si>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</si>
  <si>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</si>
  <si>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</si>
  <si>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</si>
  <si>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</si>
  <si>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</si>
  <si>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</si>
  <si>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</si>
  <si>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</si>
  <si>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</si>
  <si>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</si>
  <si>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</si>
  <si>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</si>
  <si>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</si>
  <si>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</si>
  <si>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</si>
  <si>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</si>
  <si>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</si>
  <si>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</si>
  <si>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</si>
  <si>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</si>
  <si>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</si>
  <si>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</si>
  <si>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</si>
  <si>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</si>
  <si>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</si>
  <si>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</si>
  <si>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</si>
  <si>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</si>
  <si>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</si>
  <si>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</si>
  <si>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</si>
  <si>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</si>
  <si>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</si>
  <si>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</si>
  <si>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</si>
  <si>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</si>
  <si>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</si>
  <si>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</si>
  <si>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</si>
  <si>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</si>
  <si>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</si>
  <si>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</si>
  <si>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</si>
  <si>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</si>
  <si>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</si>
  <si>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</si>
  <si>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</si>
  <si>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</si>
  <si>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</si>
  <si>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</si>
  <si>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</si>
  <si>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</si>
  <si>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</si>
  <si>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</si>
  <si>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</si>
  <si>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</si>
  <si>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</si>
  <si>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</si>
  <si>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</si>
  <si>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</si>
  <si>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</si>
  <si>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</si>
  <si>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</si>
  <si>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</si>
  <si>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</si>
  <si>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</si>
  <si>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</si>
  <si>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</si>
  <si>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</si>
  <si>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</si>
  <si>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</si>
  <si>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</si>
  <si>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</si>
  <si>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</si>
  <si>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</si>
  <si>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</si>
  <si>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</si>
  <si>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</si>
  <si>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</si>
  <si>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</si>
  <si>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</si>
  <si>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</si>
  <si>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</si>
  <si>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</si>
  <si>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</si>
  <si>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</si>
  <si>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</si>
  <si>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</si>
  <si>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</si>
  <si>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</si>
  <si>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</si>
  <si>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</si>
  <si>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</si>
  <si>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</si>
  <si>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</si>
  <si>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</si>
  <si>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</si>
  <si>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</si>
  <si>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</si>
  <si>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</si>
  <si>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</si>
  <si>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</si>
  <si>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</si>
  <si>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</si>
  <si>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</si>
  <si>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</si>
  <si>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</si>
  <si>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</si>
  <si>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</si>
  <si>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</si>
  <si>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</si>
  <si>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</si>
  <si>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</si>
  <si>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</si>
  <si>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</si>
  <si>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</si>
  <si>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</si>
  <si>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</si>
  <si>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</si>
  <si>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</si>
  <si>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</si>
  <si>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</si>
  <si>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</si>
  <si>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</si>
  <si>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</si>
  <si>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</si>
  <si>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</si>
  <si>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</si>
  <si>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</si>
  <si>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</si>
  <si>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</si>
  <si>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</si>
  <si>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</si>
  <si>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</si>
  <si>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</si>
  <si>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</si>
  <si>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</si>
  <si>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</si>
  <si>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</si>
  <si>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</si>
  <si>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</si>
  <si>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</si>
  <si>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</si>
  <si>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</si>
  <si>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</si>
  <si>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</si>
  <si>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</si>
  <si>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</si>
  <si>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</si>
  <si>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</si>
  <si>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</si>
  <si>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</si>
  <si>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</si>
  <si>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</si>
  <si>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</si>
  <si>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</si>
  <si>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</si>
  <si>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</si>
  <si>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</si>
  <si>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</si>
  <si>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</si>
  <si>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</si>
  <si>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</si>
  <si>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</si>
  <si>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</si>
  <si>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</si>
  <si>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</si>
  <si>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</si>
  <si>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</si>
  <si>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</si>
  <si>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</si>
  <si>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</si>
  <si>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</si>
  <si>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</si>
  <si>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</si>
  <si>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</si>
  <si>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</si>
  <si>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</si>
  <si>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</si>
  <si>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</si>
  <si>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</si>
  <si>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</si>
  <si>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</si>
  <si>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</si>
  <si>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</si>
  <si>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</si>
  <si>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</si>
  <si>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</si>
  <si>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</si>
  <si>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</si>
  <si>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</si>
  <si>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</si>
  <si>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</si>
  <si>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</si>
  <si>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</si>
  <si>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</si>
  <si>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</si>
  <si>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</si>
  <si>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</si>
  <si>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</si>
  <si>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</si>
  <si>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</si>
  <si>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</si>
  <si>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</si>
  <si>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</si>
  <si>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</si>
  <si>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</si>
  <si>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</si>
  <si>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</si>
  <si>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</si>
  <si>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</si>
  <si>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</si>
  <si>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</si>
  <si>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</si>
  <si>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</si>
  <si>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</si>
  <si>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</si>
  <si>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</si>
  <si>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</si>
  <si>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</si>
  <si>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</si>
  <si>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</si>
  <si>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</si>
  <si>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</si>
  <si>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</si>
  <si>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</si>
  <si>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</si>
  <si>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</si>
  <si>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</si>
  <si>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</si>
  <si>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</si>
  <si>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</si>
  <si>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</si>
  <si>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</si>
  <si>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</si>
  <si>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</si>
  <si>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</si>
  <si>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</si>
  <si>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</si>
  <si>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</si>
  <si>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</si>
  <si>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</si>
  <si>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</si>
  <si>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</si>
  <si>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</si>
  <si>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</si>
  <si>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</si>
  <si>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</si>
  <si>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</si>
  <si>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</si>
  <si>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</si>
  <si>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</si>
  <si>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</si>
  <si>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</si>
  <si>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</si>
  <si>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</si>
  <si>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</si>
  <si>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</si>
  <si>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</si>
  <si>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</si>
  <si>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</si>
  <si>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</si>
  <si>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</si>
  <si>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</si>
  <si>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</si>
  <si>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</si>
  <si>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</si>
  <si>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</si>
  <si>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</si>
  <si>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</si>
  <si>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</si>
  <si>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</si>
  <si>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</si>
  <si>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</si>
  <si>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</si>
  <si>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</si>
  <si>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</si>
  <si>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</si>
  <si>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</si>
  <si>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</si>
  <si>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</si>
  <si>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</si>
  <si>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</si>
  <si>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</si>
  <si>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</si>
  <si>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</si>
  <si>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</si>
  <si>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</si>
  <si>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</si>
  <si>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</si>
  <si>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</si>
  <si>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</si>
  <si>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</si>
  <si>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</si>
  <si>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</si>
  <si>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</si>
  <si>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</si>
  <si>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</si>
  <si>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</si>
  <si>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</si>
  <si>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</si>
  <si>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</si>
  <si>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</si>
  <si>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</si>
  <si>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</si>
  <si>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</si>
  <si>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</si>
  <si>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</si>
  <si>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</si>
  <si>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</si>
  <si>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</si>
  <si>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</si>
  <si>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</si>
  <si>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</si>
  <si>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</si>
  <si>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</si>
  <si>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</si>
  <si>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</si>
  <si>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</si>
  <si>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</si>
  <si>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</si>
  <si>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</si>
  <si>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</si>
  <si>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</si>
  <si>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</si>
  <si>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</si>
  <si>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</si>
  <si>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</si>
  <si>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</si>
  <si>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</si>
  <si>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</si>
  <si>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</si>
  <si>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</si>
  <si>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</si>
  <si>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</si>
  <si>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</si>
  <si>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</si>
  <si>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</si>
  <si>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</si>
  <si>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</si>
  <si>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</si>
  <si>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</si>
  <si>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</si>
  <si>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</si>
  <si>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</si>
  <si>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</si>
  <si>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</si>
  <si>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</si>
  <si>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</si>
  <si>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</si>
  <si>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</si>
  <si>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</si>
  <si>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</si>
  <si>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</si>
  <si>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</si>
  <si>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</si>
  <si>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</si>
  <si>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</si>
  <si>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</si>
  <si>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</si>
  <si>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</si>
  <si>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</si>
  <si>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</si>
  <si>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</si>
  <si>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</si>
  <si>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</si>
  <si>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</si>
  <si>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</si>
  <si>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</si>
  <si>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</si>
  <si>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</si>
  <si>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</si>
  <si>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</si>
  <si>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</si>
  <si>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</si>
  <si>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</si>
  <si>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</si>
  <si>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</si>
  <si>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</si>
  <si>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</si>
  <si>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</si>
  <si>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</si>
  <si>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</si>
  <si>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</si>
  <si>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</si>
  <si>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</si>
  <si>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</si>
  <si>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</si>
  <si>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</si>
  <si>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</si>
  <si>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</si>
  <si>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</si>
  <si>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</si>
  <si>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</si>
  <si>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</si>
  <si>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</si>
  <si>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</si>
  <si>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</si>
  <si>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</si>
  <si>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</si>
  <si>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</si>
  <si>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</si>
  <si>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</si>
  <si>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</si>
  <si>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</si>
  <si>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</si>
  <si>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</si>
  <si>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</si>
  <si>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</si>
  <si>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</si>
  <si>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</si>
  <si>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</si>
  <si>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</si>
  <si>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</si>
  <si>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</si>
  <si>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</si>
  <si>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</si>
  <si>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</si>
  <si>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</si>
  <si>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</si>
  <si>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</si>
  <si>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</si>
  <si>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</si>
  <si>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</si>
  <si>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</si>
  <si>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</si>
  <si>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</si>
  <si>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</si>
  <si>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</si>
  <si>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</si>
  <si>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</si>
  <si>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</si>
  <si>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</si>
  <si>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</si>
  <si>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</si>
  <si>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</si>
  <si>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</si>
  <si>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</si>
  <si>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</si>
  <si>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</si>
  <si>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</si>
  <si>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</si>
  <si>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</si>
  <si>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</si>
  <si>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</si>
  <si>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</si>
  <si>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</si>
  <si>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</si>
  <si>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</si>
  <si>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</si>
  <si>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</si>
  <si>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</si>
  <si>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</si>
  <si>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</si>
  <si>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</si>
  <si>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</si>
  <si>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</si>
  <si>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</si>
  <si>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</si>
  <si>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</si>
  <si>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</si>
  <si>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</si>
  <si>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</si>
  <si>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</si>
  <si>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</si>
  <si>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</si>
  <si>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</si>
  <si>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</si>
  <si>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</si>
  <si>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</si>
  <si>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</si>
  <si>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</si>
  <si>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</si>
  <si>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</si>
  <si>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</si>
  <si>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</si>
  <si>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</si>
  <si>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</si>
  <si>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</si>
  <si>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</si>
  <si>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</si>
  <si>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</si>
  <si>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</si>
  <si>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</si>
  <si>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</si>
  <si>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</si>
  <si>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</si>
  <si>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</si>
  <si>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</si>
  <si>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</si>
  <si>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</si>
  <si>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Cristalum Gandia</t>
  </si>
  <si>
    <t>Quatretonda</t>
  </si>
  <si>
    <t>CHAPA 2000x1000x3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</si>
</sst>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9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theme="5"/>
      <name val="Calibri"/>
      <family val="2"/>
    </font>
    <font>
      <sz val="11"/>
      <color theme="5"/>
      <name val="Calibri"/>
      <family val="2"/>
    </font>
    <font>
      <b/>
      <sz val="11"/>
      <color theme="6"/>
      <name val="Calibri"/>
      <family val="2"/>
    </font>
    <font>
      <sz val="11"/>
      <color theme="6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5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0" fillId="0" borderId="0" xfId="0" applyAlignment="1">
      <alignment horizontal="center"/>
    </xf>
    <xf numFmtId="0" fontId="0" fillId="2" borderId="0" xfId="0" applyFill="1" applyAlignment="1">
      <alignment horizontal="lef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0" fontId="17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165" fontId="18" fillId="2" borderId="0" xfId="0" applyNumberFormat="1" applyFont="1" applyFill="1" applyAlignment="1">
      <alignment horizontal="righ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zoomScale="95" zoomScaleNormal="95" workbookViewId="0">
      <selection activeCell="G23" sqref="G23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8" t="s">
        <v>1</v>
      </c>
      <c r="F3" s="78"/>
      <c r="G3" s="78"/>
      <c r="H3" s="79"/>
      <c r="I3" s="79"/>
      <c r="J3" s="79"/>
      <c r="K3" s="79"/>
      <c r="L3" s="79"/>
    </row>
    <row r="5" spans="1:12" ht="18.75" x14ac:dyDescent="0.25">
      <c r="B5" s="80" t="s">
        <v>2</v>
      </c>
      <c r="C5" s="80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20250094</v>
      </c>
      <c r="G7" s="8">
        <f ca="1">TODAY()</f>
        <v>45779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1018</v>
      </c>
      <c r="C13" s="77" t="str">
        <f>IFERROR(VLOOKUP($B13,Tarifa_all_20240711!$A$2:$G$660,2,FALSE()),"-")</f>
        <v>CARC.SIMPLE GUIA DESM.LAC.6 ESP.2-3 MTS</v>
      </c>
      <c r="D13" s="77"/>
      <c r="E13" s="17">
        <v>1</v>
      </c>
      <c r="F13" s="18">
        <f>IFERROR(VLOOKUP($B13,Tarifa_all_20240711!$A$2:$G$660,5,FALSE()),"-")</f>
        <v>96.045000000000002</v>
      </c>
      <c r="G13" s="18">
        <f t="shared" ref="G13:G30" si="0">IFERROR(E13*F13,"-")</f>
        <v>96.045000000000002</v>
      </c>
      <c r="H13" s="1"/>
    </row>
    <row r="14" spans="1:12" x14ac:dyDescent="0.25">
      <c r="A14" t="s">
        <v>15</v>
      </c>
      <c r="B14" s="16" t="s">
        <v>978</v>
      </c>
      <c r="C14" s="77" t="str">
        <f>IFERROR(VLOOKUP($B14,Tarifa_all_20240711!$A$2:$G$660,2,FALSE()),"-")</f>
        <v>GUIA SKY PLUS DESMONT.LAC.6 ESP.2-3 MTS</v>
      </c>
      <c r="D14" s="77"/>
      <c r="E14" s="17">
        <v>1</v>
      </c>
      <c r="F14" s="18">
        <f>IFERROR(VLOOKUP($B14,Tarifa_all_20240711!$A$2:$G$660,5,FALSE()),"-")</f>
        <v>71.857500000000002</v>
      </c>
      <c r="G14" s="18">
        <f t="shared" si="0"/>
        <v>71.857500000000002</v>
      </c>
      <c r="H14" s="1"/>
    </row>
    <row r="15" spans="1:12" x14ac:dyDescent="0.25">
      <c r="A15" t="s">
        <v>16</v>
      </c>
      <c r="B15" s="16" t="s">
        <v>297</v>
      </c>
      <c r="C15" s="77" t="str">
        <f>IFERROR(VLOOKUP($B15,Tarifa_all_20240711!$A$2:$G$660,2,FALSE()),"-")</f>
        <v>KIT ANCLAJE TECHO PARA GUIA PLADUR PLUS DEMONTABLE</v>
      </c>
      <c r="D15" s="77"/>
      <c r="E15" s="17">
        <v>6</v>
      </c>
      <c r="F15" s="18">
        <f>IFERROR(VLOOKUP($B15,Tarifa_all_20240711!$A$2:$G$660,5,FALSE()),"-")</f>
        <v>11.737500000000001</v>
      </c>
      <c r="G15" s="18">
        <f t="shared" si="0"/>
        <v>70.425000000000011</v>
      </c>
      <c r="H15" s="1"/>
    </row>
    <row r="16" spans="1:12" x14ac:dyDescent="0.25">
      <c r="A16" t="s">
        <v>17</v>
      </c>
      <c r="B16" s="16" t="s">
        <v>566</v>
      </c>
      <c r="C16" s="77" t="str">
        <f>IFERROR(VLOOKUP($B16,Tarifa_all_20240711!$A$2:$G$660,2,FALSE()),"-")</f>
        <v>KIT AMORTIGUADOR SKY GUIA DESMONT. BIDIRECCIONAL 60KG</v>
      </c>
      <c r="D16" s="77"/>
      <c r="E16" s="17">
        <v>2</v>
      </c>
      <c r="F16" s="18">
        <f>IFERROR(VLOOKUP($B16,Tarifa_all_20240711!$A$2:$G$660,5,FALSE()),"-")</f>
        <v>30.599999999999998</v>
      </c>
      <c r="G16" s="18">
        <f t="shared" si="0"/>
        <v>61.199999999999996</v>
      </c>
      <c r="H16" s="1"/>
    </row>
    <row r="17" spans="1:8" x14ac:dyDescent="0.25">
      <c r="A17" t="s">
        <v>18</v>
      </c>
      <c r="B17" s="16" t="s">
        <v>134</v>
      </c>
      <c r="C17" s="77" t="str">
        <f>IFERROR(VLOOKUP($B17,Tarifa_all_20240711!$A$2:$G$660,2,FALSE()),"-")</f>
        <v>KIT PUERTA PA CORREDERA LAC.NEGRO TEXTURADO</v>
      </c>
      <c r="D17" s="77"/>
      <c r="E17" s="17">
        <v>2</v>
      </c>
      <c r="F17" s="18">
        <f>IFERROR(VLOOKUP($B17,Tarifa_all_20240711!$A$2:$G$660,5,FALSE()),"-")</f>
        <v>215.65500000000003</v>
      </c>
      <c r="G17" s="18">
        <f t="shared" si="0"/>
        <v>431.31000000000006</v>
      </c>
      <c r="H17" s="1"/>
    </row>
    <row r="18" spans="1:8" x14ac:dyDescent="0.25">
      <c r="A18" t="s">
        <v>19</v>
      </c>
      <c r="B18" s="16" t="s">
        <v>335</v>
      </c>
      <c r="C18" s="77" t="str">
        <f>IFERROR(VLOOKUP($B18,Tarifa_all_20240711!$A$2:$G$660,2,FALSE()),"-")</f>
        <v>CARRO SKY MADERA 60KG</v>
      </c>
      <c r="D18" s="77"/>
      <c r="E18" s="17">
        <v>2</v>
      </c>
      <c r="F18" s="18">
        <f>IFERROR(VLOOKUP($B18,Tarifa_all_20240711!$A$2:$G$660,5,FALSE()),"-")</f>
        <v>16.634999999999998</v>
      </c>
      <c r="G18" s="18">
        <f t="shared" si="0"/>
        <v>33.269999999999996</v>
      </c>
      <c r="H18" s="1"/>
    </row>
    <row r="19" spans="1:8" x14ac:dyDescent="0.25">
      <c r="A19" t="s">
        <v>20</v>
      </c>
      <c r="B19" s="16" t="s">
        <v>515</v>
      </c>
      <c r="C19" s="77" t="str">
        <f>IFERROR(VLOOKUP($B19,Tarifa_all_20240711!$A$2:$G$660,2,FALSE()),"-")</f>
        <v>TIRADOR RECT.ADH CAVE LAC.NEGRO TEXTURADO: 2 UDS</v>
      </c>
      <c r="D19" s="77"/>
      <c r="E19" s="17">
        <v>2</v>
      </c>
      <c r="F19" s="18">
        <f>IFERROR(VLOOKUP($B19,Tarifa_all_20240711!$A$2:$G$660,5,FALSE()),"-")</f>
        <v>59.122500000000002</v>
      </c>
      <c r="G19" s="18">
        <f t="shared" si="0"/>
        <v>118.245</v>
      </c>
      <c r="H19" s="1"/>
    </row>
    <row r="20" spans="1:8" x14ac:dyDescent="0.25">
      <c r="A20" t="s">
        <v>21</v>
      </c>
      <c r="B20" s="16" t="s">
        <v>1136</v>
      </c>
      <c r="C20" s="77" t="str">
        <f>IFERROR(VLOOKUP($B20,Tarifa_all_20240711!$A$2:$G$660,2,FALSE()),"-")</f>
        <v>GUIADOR FIJO PA LAC.NEGRO TEXTURADO</v>
      </c>
      <c r="D20" s="77"/>
      <c r="E20" s="17">
        <v>2</v>
      </c>
      <c r="F20" s="18">
        <f>IFERROR(VLOOKUP($B20,Tarifa_all_20240711!$A$2:$G$660,5,FALSE()),"-")</f>
        <v>8.61</v>
      </c>
      <c r="G20" s="18">
        <f t="shared" si="0"/>
        <v>17.22</v>
      </c>
      <c r="H20" s="1"/>
    </row>
    <row r="21" spans="1:8" x14ac:dyDescent="0.25">
      <c r="A21" t="s">
        <v>22</v>
      </c>
      <c r="B21" s="87" t="s">
        <v>143</v>
      </c>
      <c r="C21" s="88" t="str">
        <f>IFERROR(VLOOKUP($B21,Tarifa_all_20240711!$A$2:$G$660,2,FALSE()),"-")</f>
        <v>PERFIL EMBELL.HORIZ. ADH LAC.NEGRO TEXTURADO</v>
      </c>
      <c r="D21" s="88"/>
      <c r="E21" s="89">
        <v>4</v>
      </c>
      <c r="F21" s="90">
        <f>IFERROR(VLOOKUP($B21,Tarifa_all_20240711!$A$2:$G$660,5,FALSE()),"-")</f>
        <v>21.794999999999998</v>
      </c>
      <c r="G21" s="90">
        <f t="shared" si="0"/>
        <v>87.179999999999993</v>
      </c>
      <c r="H21" s="1"/>
    </row>
    <row r="22" spans="1:8" x14ac:dyDescent="0.25">
      <c r="B22" s="91" t="s">
        <v>139</v>
      </c>
      <c r="C22" s="92" t="str">
        <f>IFERROR(VLOOKUP($B22,Tarifa_all_20240711!$A$2:$G$660,2,FALSE()),"-")</f>
        <v>KIT DIVISOR HORIZONTAL PA LAC. NEGRO TEXTURADO</v>
      </c>
      <c r="D22" s="92"/>
      <c r="E22" s="93">
        <v>2</v>
      </c>
      <c r="F22" s="94">
        <f>IFERROR(VLOOKUP($B22,Tarifa_all_20240711!$A$2:$G$660,5,FALSE()),"-")</f>
        <v>66.960000000000008</v>
      </c>
      <c r="G22" s="94">
        <f t="shared" si="0"/>
        <v>133.92000000000002</v>
      </c>
      <c r="H22" s="1"/>
    </row>
    <row r="23" spans="1:8" x14ac:dyDescent="0.25">
      <c r="B23" s="16"/>
      <c r="C23" s="77" t="s">
        <v>1453</v>
      </c>
      <c r="D23" s="77"/>
      <c r="E23" s="17">
        <v>1</v>
      </c>
      <c r="F23" s="18">
        <v>190</v>
      </c>
      <c r="G23" s="18">
        <f t="shared" si="0"/>
        <v>190</v>
      </c>
      <c r="H23" s="1"/>
    </row>
    <row r="24" spans="1:8" x14ac:dyDescent="0.25">
      <c r="B24" s="16"/>
      <c r="C24" s="77" t="str">
        <f>IFERROR(VLOOKUP($B24,Tarifa_all_20240711!$A$2:$G$660,2,FALSE()),"-")</f>
        <v>-</v>
      </c>
      <c r="D24" s="77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77" t="str">
        <f>IFERROR(VLOOKUP($B25,Tarifa_all_20240711!$A$2:$G$660,2,FALSE()),"-")</f>
        <v>-</v>
      </c>
      <c r="D25" s="77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77" t="str">
        <f>IFERROR(VLOOKUP($B26,Tarifa_all_20240711!$A$2:$G$660,2,FALSE()),"-")</f>
        <v>-</v>
      </c>
      <c r="D26" s="77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77" t="str">
        <f>IFERROR(VLOOKUP($B27,Tarifa_all_20240711!$A$2:$G$660,2,FALSE()),"-")</f>
        <v>-</v>
      </c>
      <c r="D27" s="77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77" t="str">
        <f>IFERROR(VLOOKUP($B28,Tarifa_all_20240711!$A$2:$G$660,2,FALSE()),"-")</f>
        <v>-</v>
      </c>
      <c r="D28" s="77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77" t="str">
        <f>IFERROR(VLOOKUP($B29,Tarifa_all_20240711!$A$2:$G$660,2,FALSE()),"-")</f>
        <v>-</v>
      </c>
      <c r="D29" s="77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77" t="str">
        <f>IFERROR(VLOOKUP($B30,Tarifa_all_20240711!$A$2:$G$660,2,FALSE()),"-")</f>
        <v>-</v>
      </c>
      <c r="D30" s="77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1310.6725000000001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76"/>
      <c r="E52" s="76"/>
      <c r="F52" s="76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E3:G3"/>
    <mergeCell ref="H3:L3"/>
    <mergeCell ref="B5:C5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8:D28"/>
    <mergeCell ref="C29:D29"/>
    <mergeCell ref="C30:D30"/>
    <mergeCell ref="D52:F52"/>
    <mergeCell ref="C22:D22"/>
    <mergeCell ref="C23:D23"/>
    <mergeCell ref="C24:D24"/>
    <mergeCell ref="C25:D25"/>
    <mergeCell ref="C26:D26"/>
    <mergeCell ref="C27:D27"/>
  </mergeCells>
  <pageMargins left="0.7" right="0.7" top="0.75" bottom="0.75" header="0.511811023622047" footer="0.511811023622047"/>
  <pageSetup paperSize="9" scale="80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8" t="s">
        <v>78</v>
      </c>
      <c r="F2" s="78"/>
      <c r="G2" s="78"/>
    </row>
    <row r="3" spans="1:7" ht="18" customHeight="1" x14ac:dyDescent="0.35">
      <c r="E3" s="78" t="s">
        <v>1</v>
      </c>
      <c r="F3" s="78"/>
      <c r="G3" s="78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Cristalum Gandia</v>
      </c>
      <c r="C9" s="86"/>
      <c r="D9" s="86"/>
      <c r="F9" s="3" t="s">
        <v>81</v>
      </c>
      <c r="G9" s="44">
        <f ca="1">TODAY()</f>
        <v>45779</v>
      </c>
    </row>
    <row r="10" spans="1:7" x14ac:dyDescent="0.25">
      <c r="A10" s="3" t="s">
        <v>82</v>
      </c>
      <c r="B10" s="11" t="str">
        <f>'DESPIECE (MATANALYSIS)'!C9</f>
        <v>Quatretonda</v>
      </c>
      <c r="C10" s="45"/>
      <c r="D10" s="45"/>
      <c r="E10" s="46"/>
      <c r="F10" s="47" t="s">
        <v>83</v>
      </c>
      <c r="G10" s="7">
        <f>'DESPIECE (MATANALYSIS)'!C7</f>
        <v>20250094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99</v>
      </c>
      <c r="B47" s="82"/>
      <c r="C47" s="59"/>
      <c r="D47" s="59"/>
      <c r="E47" s="59"/>
      <c r="F47" s="83">
        <f>'DESPIECE (MATANALYSIS)'!G31</f>
        <v>1310.6725000000001</v>
      </c>
      <c r="G47" s="83"/>
    </row>
    <row r="48" spans="1:7" s="1" customFormat="1" ht="22.7" customHeight="1" x14ac:dyDescent="0.25">
      <c r="A48" s="84" t="s">
        <v>100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2025-05-02T10:04:36Z</dcterms:modified>
  <dc:language>es-ES</dc:language>
</cp:coreProperties>
</file>