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ownloads\"/>
    </mc:Choice>
  </mc:AlternateContent>
  <xr:revisionPtr revIDLastSave="0" documentId="13_ncr:11_{55B50C1E-6FD9-437C-945B-F9BB52F20F70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<sst xmlns="http://schemas.openxmlformats.org/spreadsheetml/2006/main" count="5411" uniqueCount="1454">
  <si>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</si>
  <si>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</si>
  <si>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</si>
  <si>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</si>
  <si>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</si>
  <si>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</si>
  <si>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</si>
  <si>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</si>
  <si>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</si>
  <si>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</si>
  <si>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</si>
  <si>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</si>
  <si>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</si>
  <si>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</si>
  <si>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</si>
  <si>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</si>
  <si>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</si>
  <si>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</si>
  <si>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</si>
  <si>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</si>
  <si>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</si>
  <si>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</si>
  <si>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</si>
  <si>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</si>
  <si>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</si>
  <si>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</si>
  <si>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</si>
  <si>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</si>
  <si>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</si>
  <si>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</si>
  <si>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</si>
  <si>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</si>
  <si>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</si>
  <si>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</si>
  <si>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</si>
  <si>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</si>
  <si>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</si>
  <si>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</si>
  <si>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</si>
  <si>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</si>
  <si>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</si>
  <si>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</si>
  <si>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</si>
  <si>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</si>
  <si>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</si>
  <si>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</si>
  <si>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</si>
  <si>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</si>
  <si>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</si>
  <si>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</si>
  <si>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</si>
  <si>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</si>
  <si>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</si>
  <si>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</si>
  <si>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</si>
  <si>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</si>
  <si>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</si>
  <si>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</si>
  <si>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</si>
  <si>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</si>
  <si>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</si>
  <si>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</si>
  <si>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</si>
  <si>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</si>
  <si>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</si>
  <si>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</si>
  <si>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</si>
  <si>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</si>
  <si>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</si>
  <si>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</si>
  <si>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</si>
  <si>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</si>
  <si>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</si>
  <si>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</si>
  <si>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</si>
  <si>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</si>
  <si>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</si>
  <si>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</si>
  <si>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</si>
  <si>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</si>
  <si>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</si>
  <si>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</si>
  <si>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</si>
  <si>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</si>
  <si>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</si>
  <si>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</si>
  <si>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</si>
  <si>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</si>
  <si>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</si>
  <si>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</si>
  <si>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</si>
  <si>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</si>
  <si>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</si>
  <si>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</si>
  <si>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</si>
  <si>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</si>
  <si>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</si>
  <si>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</si>
  <si>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</si>
  <si>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</si>
  <si>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</si>
  <si>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</si>
  <si>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</si>
  <si>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</si>
  <si>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</si>
  <si>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</si>
  <si>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</si>
  <si>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</si>
  <si>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</si>
  <si>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</si>
  <si>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</si>
  <si>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</si>
  <si>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</si>
  <si>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</si>
  <si>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</si>
  <si>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</si>
  <si>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</si>
  <si>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</si>
  <si>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</si>
  <si>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</si>
  <si>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</si>
  <si>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</si>
  <si>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</si>
  <si>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</si>
  <si>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</si>
  <si>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</si>
  <si>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</si>
  <si>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</si>
  <si>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</si>
  <si>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</si>
  <si>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</si>
  <si>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</si>
  <si>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</si>
  <si>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</si>
  <si>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</si>
  <si>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</si>
  <si>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</si>
  <si>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</si>
  <si>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</si>
  <si>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</si>
  <si>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</si>
  <si>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</si>
  <si>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</si>
  <si>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</si>
  <si>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</si>
  <si>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</si>
  <si>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</si>
  <si>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</si>
  <si>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</si>
  <si>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</si>
  <si>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</si>
  <si>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</si>
  <si>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</si>
  <si>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</si>
  <si>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</si>
  <si>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</si>
  <si>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</si>
  <si>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</si>
  <si>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</si>
  <si>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</si>
  <si>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</si>
  <si>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</si>
  <si>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</si>
  <si>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</si>
  <si>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</si>
  <si>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</si>
  <si>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</si>
  <si>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</si>
  <si>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</si>
  <si>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</si>
  <si>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</si>
  <si>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</si>
  <si>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</si>
  <si>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</si>
  <si>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</si>
  <si>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</si>
  <si>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</si>
  <si>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</si>
  <si>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</si>
  <si>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</si>
  <si>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</si>
  <si>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</si>
  <si>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</si>
  <si>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</si>
  <si>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</si>
  <si>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</si>
  <si>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</si>
  <si>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</si>
  <si>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</si>
  <si>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</si>
  <si>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</si>
  <si>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</si>
  <si>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</si>
  <si>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</si>
  <si>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</si>
  <si>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</si>
  <si>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</si>
  <si>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</si>
  <si>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</si>
  <si>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</si>
  <si>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</si>
  <si>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</si>
  <si>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</si>
  <si>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</si>
  <si>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</si>
  <si>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</si>
  <si>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</si>
  <si>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</si>
  <si>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</si>
  <si>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</si>
  <si>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</si>
  <si>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</si>
  <si>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</si>
  <si>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</si>
  <si>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</si>
  <si>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</si>
  <si>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</si>
  <si>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</si>
  <si>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</si>
  <si>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</si>
  <si>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</si>
  <si>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</si>
  <si>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</si>
  <si>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</si>
  <si>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</si>
  <si>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</si>
  <si>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</si>
  <si>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</si>
  <si>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</si>
  <si>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</si>
  <si>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</si>
  <si>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</si>
  <si>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</si>
  <si>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</si>
  <si>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</si>
  <si>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</si>
  <si>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</si>
  <si>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</si>
  <si>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</si>
  <si>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</si>
  <si>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</si>
  <si>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</si>
  <si>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</si>
  <si>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</si>
  <si>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</si>
  <si>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</si>
  <si>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</si>
  <si>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</si>
  <si>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</si>
  <si>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</si>
  <si>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</si>
  <si>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</si>
  <si>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</si>
  <si>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</si>
  <si>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</si>
  <si>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</si>
  <si>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</si>
  <si>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</si>
  <si>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</si>
  <si>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</si>
  <si>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</si>
  <si>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</si>
  <si>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</si>
  <si>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</si>
  <si>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</si>
  <si>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</si>
  <si>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</si>
  <si>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</si>
  <si>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</si>
  <si>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</si>
  <si>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</si>
  <si>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</si>
  <si>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</si>
  <si>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</si>
  <si>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</si>
  <si>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</si>
  <si>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</si>
  <si>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</si>
  <si>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</si>
  <si>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</si>
  <si>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</si>
  <si>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</si>
  <si>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</si>
  <si>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</si>
  <si>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</si>
  <si>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</si>
  <si>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</si>
  <si>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</si>
  <si>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</si>
  <si>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</si>
  <si>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</si>
  <si>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</si>
  <si>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</si>
  <si>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</si>
  <si>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</si>
  <si>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</si>
  <si>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</si>
  <si>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</si>
  <si>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</si>
  <si>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</si>
  <si>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</si>
  <si>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</si>
  <si>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</si>
  <si>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</si>
  <si>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</si>
  <si>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</si>
  <si>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</si>
  <si>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</si>
  <si>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</si>
  <si>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</si>
  <si>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</si>
  <si>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</si>
  <si>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</si>
  <si>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</si>
  <si>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</si>
  <si>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</si>
  <si>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</si>
  <si>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</si>
  <si>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</si>
  <si>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</si>
  <si>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</si>
  <si>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</si>
  <si>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</si>
  <si>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</si>
  <si>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</si>
  <si>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</si>
  <si>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</si>
  <si>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</si>
  <si>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</si>
  <si>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</si>
  <si>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</si>
  <si>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</si>
  <si>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</si>
  <si>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</si>
  <si>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</si>
  <si>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</si>
  <si>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</si>
  <si>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</si>
  <si>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</si>
  <si>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</si>
  <si>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</si>
  <si>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</si>
  <si>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</si>
  <si>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</si>
  <si>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</si>
  <si>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</si>
  <si>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</si>
  <si>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</si>
  <si>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</si>
  <si>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</si>
  <si>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</si>
  <si>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</si>
  <si>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</si>
  <si>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</si>
  <si>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</si>
  <si>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</si>
  <si>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</si>
  <si>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</si>
  <si>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</si>
  <si>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</si>
  <si>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</si>
  <si>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</si>
  <si>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</si>
  <si>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</si>
  <si>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</si>
  <si>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</si>
  <si>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</si>
  <si>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</si>
  <si>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</si>
  <si>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</si>
  <si>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</si>
  <si>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</si>
  <si>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</si>
  <si>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</si>
  <si>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</si>
  <si>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</si>
  <si>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</si>
  <si>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</si>
  <si>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</si>
  <si>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</si>
  <si>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</si>
  <si>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</si>
  <si>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</si>
  <si>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</si>
  <si>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</si>
  <si>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</si>
  <si>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</si>
  <si>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</si>
  <si>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</si>
  <si>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</si>
  <si>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</si>
  <si>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</si>
  <si>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</si>
  <si>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</si>
  <si>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</si>
  <si>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</si>
  <si>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</si>
  <si>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</si>
  <si>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</si>
  <si>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</si>
  <si>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</si>
  <si>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</si>
  <si>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</si>
  <si>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</si>
  <si>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</si>
  <si>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</si>
  <si>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</si>
  <si>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</si>
  <si>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</si>
  <si>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</si>
  <si>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</si>
  <si>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</si>
  <si>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</si>
  <si>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</si>
  <si>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</si>
  <si>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</si>
  <si>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</si>
  <si>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</si>
  <si>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</si>
  <si>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</si>
  <si>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</si>
  <si>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</si>
  <si>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</si>
  <si>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</si>
  <si>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</si>
  <si>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</si>
  <si>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</si>
  <si>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</si>
  <si>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</si>
  <si>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</si>
  <si>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</si>
  <si>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</si>
  <si>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</si>
  <si>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</si>
  <si>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</si>
  <si>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</si>
  <si>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</si>
  <si>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</si>
  <si>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</si>
  <si>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</si>
  <si>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</si>
  <si>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</si>
  <si>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</si>
  <si>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</si>
  <si>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</si>
  <si>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</si>
  <si>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</si>
  <si>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</si>
  <si>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</si>
  <si>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</si>
  <si>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</si>
  <si>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</si>
  <si>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</si>
  <si>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</si>
  <si>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</si>
  <si>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</si>
  <si>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</si>
  <si>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</si>
  <si>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</si>
  <si>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</si>
  <si>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</si>
  <si>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</si>
  <si>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</si>
  <si>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</si>
  <si>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</si>
  <si>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</si>
  <si>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</si>
  <si>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</si>
  <si>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</si>
  <si>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</si>
  <si>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</si>
  <si>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</si>
  <si>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</si>
  <si>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</si>
  <si>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</si>
  <si>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</si>
  <si>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</si>
  <si>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</si>
  <si>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</si>
  <si>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</si>
  <si>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</si>
  <si>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</si>
  <si>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</si>
  <si>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</si>
  <si>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</si>
  <si>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</si>
  <si>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</si>
  <si>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</si>
  <si>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</si>
  <si>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</si>
  <si>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</si>
  <si>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</si>
  <si>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</si>
  <si>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</si>
  <si>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</si>
  <si>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</si>
  <si>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</si>
  <si>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</si>
  <si>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</si>
  <si>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</si>
  <si>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</si>
  <si>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</si>
  <si>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</si>
  <si>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</si>
  <si>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</si>
  <si>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</si>
  <si>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</si>
  <si>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</si>
  <si>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</si>
  <si>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</si>
  <si>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</si>
  <si>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</si>
  <si>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</si>
  <si>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</si>
  <si>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</si>
  <si>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</si>
  <si>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</si>
  <si>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</si>
  <si>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</si>
  <si>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</si>
  <si>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</si>
  <si>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</si>
  <si>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</si>
  <si>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</si>
  <si>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</si>
  <si>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</si>
  <si>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</si>
  <si>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</si>
  <si>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</si>
  <si>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</si>
  <si>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</si>
  <si>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</si>
  <si>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</si>
  <si>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</si>
  <si>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</si>
  <si>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</si>
  <si>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</si>
  <si>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</si>
  <si>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</si>
  <si>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</si>
  <si>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</si>
  <si>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</si>
  <si>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</si>
  <si>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</si>
  <si>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</si>
  <si>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</si>
  <si>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</si>
  <si>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</si>
  <si>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</si>
  <si>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</si>
  <si>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</si>
  <si>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</si>
  <si>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</si>
  <si>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</si>
  <si>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</si>
  <si>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</si>
  <si>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</si>
  <si>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</si>
  <si>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</si>
  <si>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</si>
  <si>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</si>
  <si>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</si>
  <si>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</si>
  <si>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</si>
  <si>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</si>
  <si>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</si>
  <si>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</si>
  <si>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</si>
  <si>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</si>
  <si>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</si>
  <si>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</si>
  <si>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</si>
  <si>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</si>
  <si>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</si>
  <si>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</si>
  <si>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</si>
  <si>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</si>
  <si>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</si>
  <si>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</si>
  <si>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</si>
  <si>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</si>
  <si>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</si>
  <si>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</si>
  <si>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</si>
  <si>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</si>
  <si>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</si>
  <si>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</si>
  <si>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</si>
  <si>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</si>
  <si>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</si>
  <si>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</si>
  <si>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</si>
  <si>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</si>
  <si>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</si>
  <si>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</si>
  <si>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</si>
  <si>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</si>
  <si>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</si>
  <si>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</si>
  <si>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</si>
  <si>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</si>
  <si>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</si>
  <si>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</si>
  <si>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</si>
  <si>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</si>
  <si>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</si>
  <si>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</si>
  <si>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</si>
  <si>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</si>
  <si>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</si>
  <si>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</si>
  <si>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</si>
  <si>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</si>
  <si>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</si>
  <si>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</si>
  <si>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</si>
  <si>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</si>
  <si>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</si>
  <si>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</si>
  <si>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</si>
  <si>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</si>
  <si>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</si>
  <si>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</si>
  <si>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</si>
  <si>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</si>
  <si>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</si>
  <si>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</si>
  <si>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</si>
  <si>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</si>
  <si>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</si>
  <si>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</si>
  <si>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</si>
  <si>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</si>
  <si>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</si>
  <si>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</si>
  <si>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</si>
  <si>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</si>
  <si>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</si>
  <si>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</si>
  <si>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</si>
  <si>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</si>
  <si>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</si>
  <si>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</si>
  <si>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</si>
  <si>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</si>
  <si>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</si>
  <si>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</si>
  <si>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</si>
  <si>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</si>
  <si>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</si>
  <si>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</si>
  <si>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</si>
  <si>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</si>
  <si>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</si>
  <si>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</si>
  <si>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</si>
  <si>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</si>
  <si>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</si>
  <si>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</si>
  <si>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</si>
  <si>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</si>
  <si>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</si>
  <si>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</si>
  <si>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</si>
  <si>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</si>
  <si>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</si>
  <si>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</si>
  <si>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</si>
  <si>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</si>
  <si>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</si>
  <si>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</si>
  <si>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</si>
  <si>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</si>
  <si>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</si>
  <si>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</si>
  <si>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</si>
  <si>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</si>
  <si>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</si>
  <si>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</si>
  <si>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</si>
  <si>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</si>
  <si>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</si>
  <si>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</si>
  <si>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</si>
  <si>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</si>
  <si>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</si>
  <si>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</si>
  <si>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</si>
  <si>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</si>
  <si>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</si>
  <si>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</si>
  <si>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</si>
  <si>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</si>
  <si>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</si>
  <si>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</si>
  <si>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</si>
  <si>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</si>
  <si>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</si>
  <si>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</si>
  <si>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</si>
  <si>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</si>
  <si>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</si>
  <si>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</si>
  <si>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</si>
  <si>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</si>
  <si>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</si>
  <si>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</si>
  <si>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</si>
  <si>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</si>
  <si>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</si>
  <si>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</si>
  <si>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</si>
  <si>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</si>
  <si>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</si>
  <si>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</si>
  <si>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</si>
  <si>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</si>
  <si>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</si>
  <si>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</si>
  <si>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</si>
  <si>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</si>
  <si>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</si>
  <si>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</si>
  <si>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</si>
  <si>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</si>
  <si>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</si>
  <si>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</si>
  <si>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</si>
  <si>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</si>
  <si>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</si>
  <si>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</si>
  <si>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</si>
  <si>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</si>
  <si>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</si>
  <si>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</si>
  <si>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</si>
  <si>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</si>
  <si>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</si>
  <si>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</si>
  <si>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</si>
  <si>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</si>
  <si>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</si>
  <si>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</si>
  <si>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</si>
  <si>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</si>
  <si>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</si>
  <si>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</si>
  <si>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</si>
  <si>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</si>
  <si>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</si>
  <si>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</si>
  <si>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</si>
  <si>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</si>
  <si>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</si>
  <si>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</si>
  <si>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</si>
  <si>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</si>
  <si>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</si>
  <si>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</si>
  <si>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</si>
  <si>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</si>
  <si>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</si>
  <si>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</si>
  <si>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</si>
  <si>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</si>
  <si>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</si>
  <si>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</si>
  <si>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</si>
  <si>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</si>
  <si>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</si>
  <si>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</si>
  <si>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</si>
  <si>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</si>
  <si>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</si>
  <si>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</si>
  <si>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</si>
  <si>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</si>
  <si>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</si>
  <si>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</si>
  <si>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</si>
  <si>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</si>
  <si>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</si>
  <si>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</si>
  <si>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</si>
  <si>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</si>
  <si>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</si>
  <si>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</si>
  <si>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</si>
  <si>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</si>
  <si>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</si>
  <si>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</si>
  <si>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</si>
  <si>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</si>
  <si>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</si>
  <si>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</si>
  <si>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</si>
  <si>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</si>
  <si>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</si>
  <si>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</si>
  <si>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</si>
  <si>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</si>
  <si>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</si>
  <si>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</si>
  <si>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</si>
  <si>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</si>
  <si>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</si>
  <si>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</si>
  <si>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</si>
  <si>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</si>
  <si>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</si>
  <si>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</si>
  <si>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</si>
  <si>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</si>
  <si>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</si>
  <si>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</si>
  <si>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</si>
  <si>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</si>
  <si>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</si>
  <si>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</si>
  <si>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</si>
  <si>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</si>
  <si>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</si>
  <si>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</si>
  <si>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</si>
  <si>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</si>
  <si>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</si>
  <si>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</si>
  <si>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</si>
  <si>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</si>
  <si>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</si>
  <si>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</si>
  <si>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</si>
  <si>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</si>
  <si>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</si>
  <si>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</si>
  <si>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</si>
  <si>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</si>
  <si>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</si>
  <si>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</si>
  <si>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</si>
  <si>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</si>
  <si>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</si>
  <si>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</si>
  <si>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</si>
  <si>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</si>
  <si>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</si>
  <si>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</si>
  <si>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</si>
  <si>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</si>
  <si>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</si>
  <si>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</si>
  <si>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</si>
  <si>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</si>
  <si>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</si>
  <si>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</si>
  <si>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</si>
  <si>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</si>
  <si>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</si>
  <si>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</si>
  <si>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</si>
  <si>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</si>
  <si>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</si>
  <si>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</si>
  <si>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</si>
  <si>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</si>
  <si>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</si>
  <si>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</si>
  <si>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</si>
  <si>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</si>
  <si>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</si>
  <si>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</si>
  <si>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</si>
  <si>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</si>
  <si>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</si>
  <si>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</si>
  <si>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</si>
  <si>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</si>
  <si>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</si>
  <si>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</si>
  <si>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</si>
  <si>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</si>
  <si>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</si>
  <si>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</si>
  <si>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</si>
  <si>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</si>
  <si>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</si>
  <si>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</si>
  <si>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</si>
  <si>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</si>
  <si>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</si>
  <si>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</si>
  <si>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</si>
  <si>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</si>
  <si>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</si>
  <si>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</si>
  <si>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</si>
  <si>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</si>
  <si>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</si>
  <si>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</si>
  <si>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</si>
  <si>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</si>
  <si>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</si>
  <si>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</si>
  <si>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</si>
  <si>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</si>
  <si>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</si>
  <si>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</si>
  <si>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</si>
  <si>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</si>
  <si>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</si>
  <si>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</si>
  <si>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</si>
  <si>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</si>
  <si>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</si>
  <si>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</si>
  <si>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</si>
  <si>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</si>
  <si>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</si>
  <si>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</si>
  <si>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</si>
  <si>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</si>
  <si>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</si>
  <si>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</si>
  <si>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</si>
  <si>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</si>
  <si>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</si>
  <si>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</si>
  <si>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</si>
  <si>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</si>
  <si>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</si>
  <si>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</si>
  <si>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</si>
  <si>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</si>
  <si>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</si>
  <si>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</si>
  <si>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</si>
  <si>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</si>
  <si>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</si>
  <si>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</si>
  <si>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</si>
  <si>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</si>
  <si>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</si>
  <si>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</si>
  <si>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</si>
  <si>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</si>
  <si>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</si>
  <si>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</si>
  <si>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</si>
  <si>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</si>
  <si>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</si>
  <si>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</si>
  <si>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</si>
  <si>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</si>
  <si>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</si>
  <si>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</si>
  <si>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</si>
  <si>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</si>
  <si>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</si>
  <si>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</si>
  <si>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</si>
  <si>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</si>
  <si>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</si>
  <si>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</si>
  <si>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</si>
  <si>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</si>
  <si>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</si>
  <si>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</si>
  <si>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</si>
  <si>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</si>
  <si>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</si>
  <si>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</si>
  <si>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</si>
  <si>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</si>
  <si>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</si>
  <si>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</si>
  <si>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</si>
  <si>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</si>
  <si>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</si>
  <si>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</si>
  <si>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</si>
  <si>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</si>
  <si>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</si>
  <si>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</si>
  <si>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</si>
  <si>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</si>
  <si>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</si>
  <si>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</si>
  <si>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</si>
  <si>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</si>
  <si>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</si>
  <si>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</si>
  <si>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</si>
  <si>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</si>
  <si>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</si>
  <si>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</si>
  <si>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</si>
  <si>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</si>
  <si>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</si>
  <si>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</si>
  <si>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</si>
  <si>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</si>
  <si>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</si>
  <si>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</si>
  <si>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</si>
  <si>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</si>
  <si>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</si>
  <si>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</si>
  <si>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</si>
  <si>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</si>
  <si>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</si>
  <si>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</si>
  <si>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</si>
  <si>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</si>
  <si>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</si>
  <si>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</si>
  <si>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</si>
  <si>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</si>
  <si>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</si>
  <si>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</si>
  <si>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</si>
  <si>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</si>
  <si>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</si>
  <si>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</si>
  <si>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</si>
  <si>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</si>
  <si>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</si>
  <si>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</si>
  <si>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</si>
  <si>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</si>
  <si>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</si>
  <si>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</si>
  <si>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</si>
  <si>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</si>
  <si>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</si>
  <si>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</si>
  <si>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</si>
  <si>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</si>
  <si>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</si>
  <si>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</si>
  <si>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</si>
  <si>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</si>
  <si>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</si>
  <si>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</si>
  <si>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</si>
  <si>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</si>
  <si>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</si>
  <si>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</si>
  <si>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</si>
  <si>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</si>
  <si>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</si>
  <si>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</si>
  <si>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</si>
  <si>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</si>
  <si>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</si>
  <si>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</si>
  <si>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</si>
  <si>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</si>
  <si>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</si>
  <si>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</si>
  <si>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</si>
  <si>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</si>
  <si>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</si>
  <si>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</si>
  <si>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</si>
  <si>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</si>
  <si>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</si>
  <si>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</si>
  <si>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</si>
  <si>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</si>
  <si>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</si>
  <si>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</si>
  <si>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</si>
  <si>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</si>
  <si>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</si>
  <si>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</si>
  <si>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</si>
  <si>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</si>
  <si>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</si>
  <si>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</si>
  <si>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</si>
  <si>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</si>
  <si>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</si>
  <si>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</si>
  <si>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</si>
  <si>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</si>
  <si>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</si>
  <si>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</si>
  <si>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</si>
  <si>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</si>
  <si>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</si>
  <si>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</si>
  <si>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</si>
  <si>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</si>
  <si>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</si>
  <si>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</si>
  <si>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</si>
  <si>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</si>
  <si>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</si>
  <si>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</si>
  <si>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</si>
  <si>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</si>
  <si>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</si>
  <si>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</si>
  <si>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</si>
  <si>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</si>
  <si>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</si>
  <si>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</si>
  <si>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</si>
  <si>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</si>
  <si>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</si>
  <si>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</si>
  <si>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</si>
  <si>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</si>
  <si>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</si>
  <si>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</si>
  <si>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</si>
  <si>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</si>
  <si>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</si>
  <si>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</si>
  <si>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</si>
  <si>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</si>
  <si>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</si>
  <si>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</si>
  <si>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</si>
  <si>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</si>
  <si>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</si>
  <si>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</si>
  <si>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</si>
  <si>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</si>
  <si>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</si>
  <si>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</si>
  <si>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</si>
  <si>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</si>
  <si>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</si>
  <si>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</si>
  <si>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</si>
  <si>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</si>
  <si>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</si>
  <si>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</si>
  <si>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</si>
  <si>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</si>
  <si>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</si>
  <si>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</si>
  <si>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</si>
  <si>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</si>
  <si>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</si>
  <si>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</si>
  <si>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</si>
  <si>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</si>
  <si>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</si>
  <si>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</si>
  <si>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</si>
  <si>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</si>
  <si>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</si>
  <si>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</si>
  <si>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</si>
  <si>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</si>
  <si>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</si>
  <si>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</si>
  <si>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</si>
  <si>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</si>
  <si>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</si>
  <si>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</si>
  <si>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</si>
  <si>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</si>
  <si>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</si>
  <si>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</si>
  <si>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</si>
  <si>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</si>
  <si>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</si>
  <si>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</si>
  <si>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</si>
  <si>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</si>
  <si>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</si>
  <si>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</si>
  <si>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</si>
  <si>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</si>
  <si>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</si>
  <si>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</si>
  <si>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</si>
  <si>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</si>
  <si>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</si>
  <si>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</si>
  <si>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</si>
  <si>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</si>
  <si>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</si>
  <si>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</si>
  <si>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</si>
  <si>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</si>
  <si>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</si>
  <si>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</si>
  <si>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</si>
  <si>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</si>
  <si>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</si>
  <si>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</si>
  <si>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</si>
  <si>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</si>
  <si>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</si>
  <si>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</si>
  <si>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</si>
  <si>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</si>
  <si>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</si>
  <si>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</si>
  <si>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</si>
  <si>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</si>
  <si>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</si>
  <si>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</si>
  <si>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</si>
  <si>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</si>
  <si>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</si>
  <si>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</si>
  <si>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</si>
  <si>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</si>
  <si>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</si>
  <si>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</si>
  <si>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</si>
  <si>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</si>
  <si>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</si>
  <si>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</si>
  <si>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</si>
  <si>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</si>
  <si>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</si>
  <si>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</si>
  <si>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</si>
  <si>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</si>
  <si>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</si>
  <si>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</si>
  <si>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</si>
  <si>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</si>
  <si>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</si>
  <si>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</si>
  <si>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</si>
  <si>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</si>
  <si>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</si>
  <si>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</si>
  <si>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</si>
  <si>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</si>
  <si>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</si>
  <si>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</si>
  <si>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</si>
  <si>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</si>
  <si>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</si>
  <si>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</si>
  <si>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</si>
  <si>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</si>
  <si>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</si>
  <si>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</si>
  <si>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</si>
  <si>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</si>
  <si>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</si>
  <si>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</si>
  <si>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</si>
  <si>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</si>
  <si>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</si>
  <si>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</si>
  <si>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</si>
  <si>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</si>
  <si>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</si>
  <si>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</si>
  <si>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</si>
  <si>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</si>
  <si>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</si>
  <si>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</si>
  <si>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</si>
  <si>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</si>
  <si>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</si>
  <si>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</si>
  <si>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</si>
  <si>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</si>
  <si>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</si>
  <si>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</si>
  <si>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</si>
  <si>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</si>
  <si>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</si>
  <si>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</si>
  <si>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</si>
  <si>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</si>
  <si>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</si>
  <si>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</si>
  <si>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</si>
  <si>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</si>
  <si>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</si>
  <si>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</si>
  <si>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</si>
  <si>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</si>
  <si>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</si>
  <si>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</si>
  <si>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</si>
  <si>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</si>
  <si>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</si>
  <si>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</si>
  <si>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</si>
  <si>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</si>
  <si>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</si>
  <si>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</si>
  <si>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</si>
  <si>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</si>
  <si>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</si>
  <si>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</si>
  <si>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</si>
  <si>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</si>
  <si>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</si>
  <si>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</si>
  <si>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</si>
  <si>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</si>
  <si>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</si>
  <si>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</si>
  <si>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</si>
  <si>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</si>
  <si>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</si>
  <si>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</si>
  <si>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</si>
  <si>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</si>
  <si>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</si>
  <si>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</si>
  <si>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</si>
  <si>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</si>
  <si>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</si>
  <si>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</si>
  <si>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</si>
  <si>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</si>
  <si>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</si>
  <si>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</si>
  <si>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</si>
  <si>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</si>
  <si>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</si>
  <si>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</si>
  <si>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</si>
  <si>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</si>
  <si>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</si>
  <si>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</si>
  <si>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</si>
  <si>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</si>
  <si>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</si>
  <si>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</si>
  <si>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</si>
  <si>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</si>
  <si>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</si>
  <si>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</si>
  <si>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</si>
  <si>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</si>
  <si>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</si>
  <si>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</si>
  <si>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</si>
  <si>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</si>
  <si>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</si>
  <si>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</si>
  <si>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</si>
  <si>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</si>
  <si>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</si>
  <si>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</si>
  <si>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</si>
  <si>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</si>
  <si>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</si>
  <si>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</si>
  <si>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</si>
  <si>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</si>
  <si>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</si>
  <si>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</si>
  <si>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</si>
  <si>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</si>
  <si>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</si>
  <si>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</si>
  <si>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</si>
  <si>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</si>
  <si>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</si>
  <si>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</si>
  <si>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</si>
  <si>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</si>
  <si>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</si>
  <si>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</si>
  <si>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</si>
  <si>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</si>
  <si>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</si>
  <si>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</si>
  <si>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</si>
  <si>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</si>
  <si>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</si>
  <si>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</si>
  <si>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</si>
  <si>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</si>
  <si>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</si>
  <si>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</si>
  <si>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</si>
  <si>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</si>
  <si>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</si>
  <si>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</si>
  <si>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</si>
  <si>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</si>
  <si>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</si>
  <si>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</si>
  <si>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</si>
  <si>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</si>
  <si>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</si>
  <si>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</si>
  <si>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</si>
  <si>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</si>
  <si>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</si>
  <si>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</si>
  <si>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</si>
  <si>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</si>
  <si>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</si>
  <si>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</si>
  <si>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</si>
  <si>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</si>
  <si>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</si>
  <si>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</si>
  <si>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</si>
  <si>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</si>
  <si>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</si>
  <si>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</si>
  <si>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</si>
  <si>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</si>
  <si>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</si>
  <si>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</si>
  <si>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</si>
  <si>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</si>
  <si>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</si>
  <si>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</si>
  <si>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</si>
  <si>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</si>
  <si>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</si>
  <si>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</si>
  <si>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</si>
  <si>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</si>
  <si>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</si>
  <si>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</si>
  <si>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</si>
  <si>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</si>
  <si>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</si>
  <si>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</si>
  <si>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</si>
  <si>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</si>
  <si>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</si>
  <si>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</si>
  <si>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</si>
  <si>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</si>
  <si>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</si>
  <si>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</si>
  <si>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</si>
  <si>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</si>
  <si>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</si>
  <si>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</si>
  <si>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</si>
  <si>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</si>
  <si>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</si>
  <si>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</si>
  <si>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</si>
  <si>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</si>
  <si>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</si>
  <si>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</si>
  <si>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Duritia Bany</t>
  </si>
  <si>
    <t>2H1F</t>
  </si>
  <si>
    <t>DURITIA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</si>
</sst>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6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F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9" fontId="0" fillId="0" borderId="0" xfId="0" applyNumberFormat="1"/>
    <xf numFmtId="165" fontId="0" fillId="0" borderId="0" xfId="0" applyNumberFormat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view="pageBreakPreview" topLeftCell="B1" zoomScale="60" zoomScaleNormal="90" workbookViewId="0">
      <selection activeCell="I30" sqref="I3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9" max="9" width="20.5703125" bestFit="1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20250150</v>
      </c>
      <c r="G7" s="8">
        <f ca="1">TODAY()</f>
        <v>45860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1058</v>
      </c>
      <c r="C13" s="77" t="str">
        <f>IFERROR(VLOOKUP($B13,Tarifa_all_20240711!$A$2:$G$660,2,FALSE()),"-")</f>
        <v>CASC.DOBLE GUIA DESM.LAC.6 ESP.2-3 MTS</v>
      </c>
      <c r="D13" s="77"/>
      <c r="E13" s="17">
        <v>1</v>
      </c>
      <c r="F13" s="18">
        <f>IFERROR(VLOOKUP($B13,Tarifa_all_20240711!$A$2:$G$660,5,FALSE()),"-")</f>
        <v>190.47</v>
      </c>
      <c r="G13" s="18">
        <f t="shared" ref="G13:G30" si="0">IFERROR(E13*F13,"-")</f>
        <v>190.47</v>
      </c>
      <c r="H13" s="1"/>
    </row>
    <row r="14" spans="1:12" x14ac:dyDescent="0.25">
      <c r="A14" t="s">
        <v>15</v>
      </c>
      <c r="B14" s="16" t="s">
        <v>978</v>
      </c>
      <c r="C14" s="77" t="str">
        <f>IFERROR(VLOOKUP($B14,Tarifa_all_20240711!$A$2:$G$660,2,FALSE()),"-")</f>
        <v>GUIA SKY PLUS DESMONT.LAC.6 ESP.2-3 MTS</v>
      </c>
      <c r="D14" s="77"/>
      <c r="E14" s="17">
        <v>2</v>
      </c>
      <c r="F14" s="18">
        <f>IFERROR(VLOOKUP($B14,Tarifa_all_20240711!$A$2:$G$660,5,FALSE()),"-")</f>
        <v>71.857500000000002</v>
      </c>
      <c r="G14" s="18">
        <f t="shared" si="0"/>
        <v>143.715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7</v>
      </c>
      <c r="F15" s="18">
        <f>IFERROR(VLOOKUP($B15,Tarifa_all_20240711!$A$2:$G$660,5,FALSE()),"-")</f>
        <v>11.737500000000001</v>
      </c>
      <c r="G15" s="18">
        <f t="shared" si="0"/>
        <v>82.162500000000009</v>
      </c>
      <c r="H15" s="1"/>
    </row>
    <row r="16" spans="1:12" x14ac:dyDescent="0.25">
      <c r="A16" t="s">
        <v>17</v>
      </c>
      <c r="B16" s="16" t="s">
        <v>341</v>
      </c>
      <c r="C16" s="77" t="str">
        <f>IFERROR(VLOOKUP($B16,Tarifa_all_20240711!$A$2:$G$660,2,FALSE()),"-")</f>
        <v>KIT AMORTIGUADOR SKY BIDIRECCIONAL 60KG</v>
      </c>
      <c r="D16" s="77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9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9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9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8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9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9" x14ac:dyDescent="0.25">
      <c r="A21" t="s">
        <v>22</v>
      </c>
      <c r="B21" s="16" t="s">
        <v>333</v>
      </c>
      <c r="C21" s="77" t="str">
        <f>IFERROR(VLOOKUP($B21,Tarifa_all_20240711!$A$2:$G$660,2,FALSE()),"-")</f>
        <v>ARRASTRE PUERTA PA IZQ LAC.NEGRO MATE</v>
      </c>
      <c r="D21" s="77"/>
      <c r="E21" s="17">
        <v>1</v>
      </c>
      <c r="F21" s="18">
        <f>IFERROR(VLOOKUP($B21,Tarifa_all_20240711!$A$2:$G$660,5,FALSE()),"-")</f>
        <v>13.86</v>
      </c>
      <c r="G21" s="18">
        <f t="shared" si="0"/>
        <v>13.86</v>
      </c>
      <c r="H21" s="1"/>
    </row>
    <row r="22" spans="1:9" x14ac:dyDescent="0.25">
      <c r="B22" s="16" t="s">
        <v>328</v>
      </c>
      <c r="C22" s="77" t="str">
        <f>IFERROR(VLOOKUP($B22,Tarifa_all_20240711!$A$2:$G$660,2,FALSE()),"-")</f>
        <v>ARRASTRE PUERTA PA DCHA LAC.NEGRO MATE</v>
      </c>
      <c r="D22" s="77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9" x14ac:dyDescent="0.25">
      <c r="B23" s="16" t="s">
        <v>143</v>
      </c>
      <c r="C23" s="77" t="str">
        <f>IFERROR(VLOOKUP($B23,Tarifa_all_20240711!$A$2:$G$660,2,FALSE()),"-")</f>
        <v>PERFIL EMBELL.HORIZ. ADH LAC.NEGRO TEXTURADO</v>
      </c>
      <c r="D23" s="77"/>
      <c r="E23" s="17">
        <v>4</v>
      </c>
      <c r="F23" s="18">
        <f>IFERROR(VLOOKUP($B23,Tarifa_all_20240711!$A$2:$G$660,5,FALSE()),"-")</f>
        <v>21.794999999999998</v>
      </c>
      <c r="G23" s="18">
        <f t="shared" si="0"/>
        <v>87.179999999999993</v>
      </c>
      <c r="H23" s="1"/>
    </row>
    <row r="24" spans="1:9" x14ac:dyDescent="0.25">
      <c r="B24" s="16" t="s">
        <v>460</v>
      </c>
      <c r="C24" s="77" t="str">
        <f>IFERROR(VLOOKUP($B24,Tarifa_all_20240711!$A$2:$G$660,2,FALSE()),"-")</f>
        <v>MARCO FIJOS 35MM D-DECOR FIJO NEGRO TEXT 3 MTS</v>
      </c>
      <c r="D24" s="77"/>
      <c r="E24" s="17">
        <v>2</v>
      </c>
      <c r="F24" s="18">
        <f>IFERROR(VLOOKUP($B24,Tarifa_all_20240711!$A$2:$G$660,5,FALSE()),"-")</f>
        <v>27.712500000000002</v>
      </c>
      <c r="G24" s="18">
        <f t="shared" si="0"/>
        <v>55.425000000000004</v>
      </c>
      <c r="H24" s="1"/>
    </row>
    <row r="25" spans="1:9" x14ac:dyDescent="0.25">
      <c r="B25" s="16" t="s">
        <v>440</v>
      </c>
      <c r="C25" s="77" t="str">
        <f>IFERROR(VLOOKUP($B25,Tarifa_all_20240711!$A$2:$G$660,2,FALSE()),"-")</f>
        <v>ANCLAJE TAPA 35MM D-DECOR FIJO NEGRO TEXT 3 MTS</v>
      </c>
      <c r="D25" s="77"/>
      <c r="E25" s="17">
        <v>2</v>
      </c>
      <c r="F25" s="18">
        <f>IFERROR(VLOOKUP($B25,Tarifa_all_20240711!$A$2:$G$660,5,FALSE()),"-")</f>
        <v>13.4175</v>
      </c>
      <c r="G25" s="18">
        <f t="shared" si="0"/>
        <v>26.835000000000001</v>
      </c>
      <c r="H25" s="1"/>
    </row>
    <row r="26" spans="1:9" x14ac:dyDescent="0.25">
      <c r="B26" s="16" t="s">
        <v>480</v>
      </c>
      <c r="C26" s="77" t="str">
        <f>IFERROR(VLOOKUP($B26,Tarifa_all_20240711!$A$2:$G$660,2,FALSE()),"-")</f>
        <v>TAPA MARCO 35MM D-DECOR FIJO NEGRO TEXT 3 MTS</v>
      </c>
      <c r="D26" s="77"/>
      <c r="E26" s="17">
        <v>2</v>
      </c>
      <c r="F26" s="18">
        <f>IFERROR(VLOOKUP($B26,Tarifa_all_20240711!$A$2:$G$660,5,FALSE()),"-")</f>
        <v>11.3025</v>
      </c>
      <c r="G26" s="18">
        <f t="shared" si="0"/>
        <v>22.605</v>
      </c>
      <c r="H26" s="1"/>
    </row>
    <row r="27" spans="1:9" x14ac:dyDescent="0.25">
      <c r="B27" s="16" t="s">
        <v>450</v>
      </c>
      <c r="C27" s="77" t="str">
        <f>IFERROR(VLOOKUP($B27,Tarifa_all_20240711!$A$2:$G$660,2,FALSE()),"-")</f>
        <v>PERFIL MINIMALISTA D-DECOR FIJO NEGRO TEXT 3 MTS</v>
      </c>
      <c r="D27" s="77"/>
      <c r="E27" s="17">
        <v>1</v>
      </c>
      <c r="F27" s="18">
        <f>IFERROR(VLOOKUP($B27,Tarifa_all_20240711!$A$2:$G$660,5,FALSE()),"-")</f>
        <v>36.72</v>
      </c>
      <c r="G27" s="18">
        <f t="shared" si="0"/>
        <v>36.72</v>
      </c>
      <c r="H27" s="1"/>
    </row>
    <row r="28" spans="1:9" x14ac:dyDescent="0.25">
      <c r="B28" s="16" t="s">
        <v>298</v>
      </c>
      <c r="C28" s="77" t="str">
        <f>IFERROR(VLOOKUP($B28,Tarifa_all_20240711!$A$2:$G$660,2,FALSE()),"-")</f>
        <v>Tope Domo Decor</v>
      </c>
      <c r="D28" s="77"/>
      <c r="E28" s="17">
        <v>4</v>
      </c>
      <c r="F28" s="18">
        <f>IFERROR(VLOOKUP($B28,Tarifa_all_20240711!$A$2:$G$660,5,FALSE()),"-")</f>
        <v>1.4175</v>
      </c>
      <c r="G28" s="18">
        <f t="shared" si="0"/>
        <v>5.67</v>
      </c>
      <c r="H28" s="1"/>
    </row>
    <row r="29" spans="1:9" x14ac:dyDescent="0.25">
      <c r="B29" s="16" t="s">
        <v>300</v>
      </c>
      <c r="C29" s="77" t="str">
        <f>IFERROR(VLOOKUP($B29,Tarifa_all_20240711!$A$2:$G$660,2,FALSE()),"-")</f>
        <v>PERFIL 3 MTS REDUCTOR PARA VIDRIO 6mm</v>
      </c>
      <c r="D29" s="77"/>
      <c r="E29" s="17">
        <v>3</v>
      </c>
      <c r="F29" s="18">
        <f>IFERROR(VLOOKUP($B29,Tarifa_all_20240711!$A$2:$G$660,5,FALSE()),"-")</f>
        <v>3.4275000000000002</v>
      </c>
      <c r="G29" s="18">
        <f t="shared" si="0"/>
        <v>10.282500000000001</v>
      </c>
      <c r="H29" s="1"/>
    </row>
    <row r="30" spans="1:9" x14ac:dyDescent="0.25">
      <c r="B30" s="16">
        <v>31229</v>
      </c>
      <c r="C30" s="77" t="str">
        <f>IFERROR(VLOOKUP($B30,Tarifa_all_20240711!$A$2:$G$660,2,FALSE()),"-")</f>
        <v>COMPLEMENTO FIJACION DOMO DECOR: BARRAS 3 MTS</v>
      </c>
      <c r="D30" s="77"/>
      <c r="E30" s="17">
        <v>3</v>
      </c>
      <c r="F30" s="18">
        <f>IFERROR(VLOOKUP($B30,Tarifa_all_20240711!$A$2:$G$660,5,FALSE()),"-")</f>
        <v>11.317499999999999</v>
      </c>
      <c r="G30" s="18">
        <f t="shared" si="0"/>
        <v>33.952500000000001</v>
      </c>
      <c r="H30" s="1"/>
      <c r="I30" t="s">
        <v>1453</v>
      </c>
    </row>
    <row r="31" spans="1:9" x14ac:dyDescent="0.25">
      <c r="B31" s="19"/>
      <c r="C31" s="19"/>
      <c r="D31" s="19"/>
      <c r="E31" s="19"/>
      <c r="F31" s="20"/>
      <c r="G31" s="21">
        <f>SUM(G13:G30)</f>
        <v>1324.8600000000001</v>
      </c>
      <c r="H31" s="88">
        <v>0.05</v>
      </c>
      <c r="I31" s="89">
        <f>G31*(1+H31)</f>
        <v>1391.1030000000003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6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Duritia Bany</v>
      </c>
      <c r="C9" s="86"/>
      <c r="D9" s="86"/>
      <c r="F9" s="3" t="s">
        <v>81</v>
      </c>
      <c r="G9" s="44">
        <f ca="1">TODAY()</f>
        <v>45860</v>
      </c>
    </row>
    <row r="10" spans="1:7" x14ac:dyDescent="0.25">
      <c r="A10" s="3" t="s">
        <v>82</v>
      </c>
      <c r="B10" s="11" t="str">
        <f>'DESPIECE (MATANALYSIS)'!C9</f>
        <v>2H1F</v>
      </c>
      <c r="C10" s="45"/>
      <c r="D10" s="45"/>
      <c r="E10" s="46"/>
      <c r="F10" s="47" t="s">
        <v>83</v>
      </c>
      <c r="G10" s="7">
        <f>'DESPIECE (MATANALYSIS)'!C7</f>
        <v>20250150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1324.8600000000001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2025-07-22T06:38:36Z</cp:lastPrinted>
  <dcterms:created xsi:type="dcterms:W3CDTF">2024-04-15T12:43:19Z</dcterms:created>
  <dcterms:modified xsi:type="dcterms:W3CDTF">2025-07-22T06:38:51Z</dcterms:modified>
  <dc:language>es-ES</dc:language>
</cp:coreProperties>
</file>