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1\calculos\1\"/>
    </mc:Choice>
  </mc:AlternateContent>
  <xr:revisionPtr revIDLastSave="0" documentId="13_ncr:1_{987B84E7-6E3F-4E5F-BF55-694DF61318D2}" xr6:coauthVersionLast="47" xr6:coauthVersionMax="47" xr10:uidLastSave="{00000000-0000-0000-0000-000000000000}"/>
  <bookViews>
    <workbookView xWindow="1429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externalReferences>
    <externalReference r:id="rId6"/>
  </externalReference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28" i="10" l="1"/>
  <c r="H21" i="10"/>
  <c r="G31" i="10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<sst xmlns="http://schemas.openxmlformats.org/spreadsheetml/2006/main" count="5411" uniqueCount="1456">
  <si>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</si>
  <si>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</si>
  <si>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</si>
  <si>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</si>
  <si>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</si>
  <si>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</si>
  <si>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</si>
  <si>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</si>
  <si>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</si>
  <si>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</si>
  <si>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</si>
  <si>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</si>
  <si>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</si>
  <si>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</si>
  <si>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</si>
  <si>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</si>
  <si>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</si>
  <si>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</si>
  <si>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</si>
  <si>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</si>
  <si>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</si>
  <si>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</si>
  <si>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</si>
  <si>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</si>
  <si>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</si>
  <si>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</si>
  <si>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</si>
  <si>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</si>
  <si>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</si>
  <si>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</si>
  <si>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</si>
  <si>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</si>
  <si>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</si>
  <si>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</si>
  <si>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</si>
  <si>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</si>
  <si>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</si>
  <si>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</si>
  <si>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</si>
  <si>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</si>
  <si>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</si>
  <si>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</si>
  <si>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</si>
  <si>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</si>
  <si>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</si>
  <si>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</si>
  <si>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</si>
  <si>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</si>
  <si>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</si>
  <si>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</si>
  <si>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</si>
  <si>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</si>
  <si>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</si>
  <si>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</si>
  <si>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</si>
  <si>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</si>
  <si>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</si>
  <si>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</si>
  <si>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</si>
  <si>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</si>
  <si>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</si>
  <si>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</si>
  <si>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</si>
  <si>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</si>
  <si>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</si>
  <si>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</si>
  <si>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</si>
  <si>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</si>
  <si>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</si>
  <si>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</si>
  <si>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</si>
  <si>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</si>
  <si>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</si>
  <si>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</si>
  <si>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</si>
  <si>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</si>
  <si>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</si>
  <si>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</si>
  <si>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</si>
  <si>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</si>
  <si>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</si>
  <si>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</si>
  <si>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</si>
  <si>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</si>
  <si>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</si>
  <si>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</si>
  <si>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</si>
  <si>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</si>
  <si>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</si>
  <si>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</si>
  <si>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</si>
  <si>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</si>
  <si>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</si>
  <si>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</si>
  <si>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</si>
  <si>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</si>
  <si>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</si>
  <si>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</si>
  <si>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</si>
  <si>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</si>
  <si>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</si>
  <si>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</si>
  <si>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</si>
  <si>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</si>
  <si>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</si>
  <si>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</si>
  <si>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</si>
  <si>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</si>
  <si>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</si>
  <si>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</si>
  <si>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</si>
  <si>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</si>
  <si>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</si>
  <si>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</si>
  <si>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</si>
  <si>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</si>
  <si>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</si>
  <si>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</si>
  <si>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</si>
  <si>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</si>
  <si>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</si>
  <si>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</si>
  <si>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</si>
  <si>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</si>
  <si>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</si>
  <si>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</si>
  <si>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</si>
  <si>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</si>
  <si>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</si>
  <si>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</si>
  <si>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</si>
  <si>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</si>
  <si>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</si>
  <si>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</si>
  <si>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</si>
  <si>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</si>
  <si>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</si>
  <si>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</si>
  <si>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</si>
  <si>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</si>
  <si>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</si>
  <si>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</si>
  <si>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</si>
  <si>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</si>
  <si>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</si>
  <si>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</si>
  <si>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</si>
  <si>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</si>
  <si>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</si>
  <si>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</si>
  <si>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</si>
  <si>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</si>
  <si>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</si>
  <si>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</si>
  <si>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</si>
  <si>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</si>
  <si>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</si>
  <si>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</si>
  <si>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</si>
  <si>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</si>
  <si>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</si>
  <si>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</si>
  <si>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</si>
  <si>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</si>
  <si>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</si>
  <si>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</si>
  <si>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</si>
  <si>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</si>
  <si>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</si>
  <si>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</si>
  <si>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</si>
  <si>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</si>
  <si>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</si>
  <si>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</si>
  <si>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</si>
  <si>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</si>
  <si>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</si>
  <si>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</si>
  <si>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</si>
  <si>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</si>
  <si>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</si>
  <si>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</si>
  <si>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</si>
  <si>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</si>
  <si>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</si>
  <si>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</si>
  <si>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</si>
  <si>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</si>
  <si>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</si>
  <si>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</si>
  <si>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</si>
  <si>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</si>
  <si>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</si>
  <si>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</si>
  <si>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</si>
  <si>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</si>
  <si>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</si>
  <si>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</si>
  <si>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</si>
  <si>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</si>
  <si>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</si>
  <si>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</si>
  <si>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</si>
  <si>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</si>
  <si>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</si>
  <si>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</si>
  <si>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</si>
  <si>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</si>
  <si>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</si>
  <si>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</si>
  <si>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</si>
  <si>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</si>
  <si>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</si>
  <si>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</si>
  <si>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</si>
  <si>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</si>
  <si>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</si>
  <si>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</si>
  <si>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</si>
  <si>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</si>
  <si>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</si>
  <si>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</si>
  <si>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</si>
  <si>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</si>
  <si>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</si>
  <si>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</si>
  <si>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</si>
  <si>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</si>
  <si>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</si>
  <si>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</si>
  <si>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</si>
  <si>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</si>
  <si>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</si>
  <si>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</si>
  <si>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</si>
  <si>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</si>
  <si>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</si>
  <si>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</si>
  <si>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</si>
  <si>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</si>
  <si>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</si>
  <si>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</si>
  <si>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</si>
  <si>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</si>
  <si>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</si>
  <si>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</si>
  <si>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</si>
  <si>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</si>
  <si>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</si>
  <si>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</si>
  <si>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</si>
  <si>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</si>
  <si>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</si>
  <si>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</si>
  <si>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</si>
  <si>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</si>
  <si>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</si>
  <si>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</si>
  <si>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</si>
  <si>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</si>
  <si>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</si>
  <si>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</si>
  <si>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</si>
  <si>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</si>
  <si>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</si>
  <si>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</si>
  <si>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</si>
  <si>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</si>
  <si>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</si>
  <si>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</si>
  <si>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</si>
  <si>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</si>
  <si>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</si>
  <si>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</si>
  <si>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</si>
  <si>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</si>
  <si>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</si>
  <si>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</si>
  <si>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</si>
  <si>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</si>
  <si>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</si>
  <si>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</si>
  <si>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</si>
  <si>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</si>
  <si>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</si>
  <si>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</si>
  <si>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</si>
  <si>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</si>
  <si>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</si>
  <si>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</si>
  <si>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</si>
  <si>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</si>
  <si>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</si>
  <si>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</si>
  <si>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</si>
  <si>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</si>
  <si>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</si>
  <si>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</si>
  <si>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</si>
  <si>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</si>
  <si>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</si>
  <si>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</si>
  <si>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</si>
  <si>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</si>
  <si>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</si>
  <si>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</si>
  <si>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</si>
  <si>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</si>
  <si>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</si>
  <si>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</si>
  <si>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</si>
  <si>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</si>
  <si>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</si>
  <si>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</si>
  <si>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</si>
  <si>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</si>
  <si>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</si>
  <si>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</si>
  <si>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</si>
  <si>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</si>
  <si>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</si>
  <si>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</si>
  <si>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</si>
  <si>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</si>
  <si>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</si>
  <si>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</si>
  <si>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</si>
  <si>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</si>
  <si>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</si>
  <si>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</si>
  <si>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</si>
  <si>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</si>
  <si>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</si>
  <si>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</si>
  <si>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</si>
  <si>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</si>
  <si>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</si>
  <si>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</si>
  <si>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</si>
  <si>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</si>
  <si>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</si>
  <si>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</si>
  <si>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</si>
  <si>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</si>
  <si>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</si>
  <si>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</si>
  <si>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</si>
  <si>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</si>
  <si>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</si>
  <si>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</si>
  <si>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</si>
  <si>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</si>
  <si>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</si>
  <si>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</si>
  <si>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</si>
  <si>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</si>
  <si>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</si>
  <si>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</si>
  <si>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</si>
  <si>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</si>
  <si>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</si>
  <si>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</si>
  <si>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</si>
  <si>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</si>
  <si>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</si>
  <si>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</si>
  <si>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</si>
  <si>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</si>
  <si>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</si>
  <si>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</si>
  <si>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</si>
  <si>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</si>
  <si>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</si>
  <si>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</si>
  <si>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</si>
  <si>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</si>
  <si>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</si>
  <si>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</si>
  <si>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</si>
  <si>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</si>
  <si>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</si>
  <si>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</si>
  <si>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</si>
  <si>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</si>
  <si>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</si>
  <si>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</si>
  <si>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</si>
  <si>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</si>
  <si>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</si>
  <si>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</si>
  <si>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</si>
  <si>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</si>
  <si>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</si>
  <si>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</si>
  <si>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</si>
  <si>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</si>
  <si>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</si>
  <si>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</si>
  <si>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</si>
  <si>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</si>
  <si>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</si>
  <si>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</si>
  <si>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</si>
  <si>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</si>
  <si>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</si>
  <si>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</si>
  <si>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</si>
  <si>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</si>
  <si>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</si>
  <si>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</si>
  <si>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</si>
  <si>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</si>
  <si>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</si>
  <si>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</si>
  <si>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</si>
  <si>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</si>
  <si>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</si>
  <si>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</si>
  <si>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</si>
  <si>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</si>
  <si>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</si>
  <si>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</si>
  <si>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</si>
  <si>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</si>
  <si>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</si>
  <si>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</si>
  <si>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</si>
  <si>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</si>
  <si>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</si>
  <si>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</si>
  <si>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</si>
  <si>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</si>
  <si>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</si>
  <si>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</si>
  <si>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</si>
  <si>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</si>
  <si>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</si>
  <si>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</si>
  <si>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</si>
  <si>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</si>
  <si>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</si>
  <si>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</si>
  <si>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</si>
  <si>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</si>
  <si>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</si>
  <si>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</si>
  <si>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</si>
  <si>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</si>
  <si>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</si>
  <si>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</si>
  <si>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</si>
  <si>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</si>
  <si>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</si>
  <si>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</si>
  <si>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</si>
  <si>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</si>
  <si>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</si>
  <si>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</si>
  <si>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</si>
  <si>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</si>
  <si>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</si>
  <si>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</si>
  <si>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</si>
  <si>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</si>
  <si>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</si>
  <si>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</si>
  <si>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</si>
  <si>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</si>
  <si>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</si>
  <si>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</si>
  <si>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</si>
  <si>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</si>
  <si>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</si>
  <si>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</si>
  <si>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</si>
  <si>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</si>
  <si>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</si>
  <si>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</si>
  <si>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</si>
  <si>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</si>
  <si>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</si>
  <si>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</si>
  <si>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</si>
  <si>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</si>
  <si>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</si>
  <si>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</si>
  <si>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</si>
  <si>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</si>
  <si>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</si>
  <si>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</si>
  <si>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</si>
  <si>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</si>
  <si>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</si>
  <si>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</si>
  <si>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</si>
  <si>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</si>
  <si>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</si>
  <si>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</si>
  <si>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</si>
  <si>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</si>
  <si>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</si>
  <si>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</si>
  <si>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</si>
  <si>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</si>
  <si>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</si>
  <si>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</si>
  <si>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</si>
  <si>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</si>
  <si>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</si>
  <si>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</si>
  <si>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</si>
  <si>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</si>
  <si>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</si>
  <si>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</si>
  <si>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</si>
  <si>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</si>
  <si>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</si>
  <si>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</si>
  <si>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</si>
  <si>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</si>
  <si>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</si>
  <si>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</si>
  <si>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</si>
  <si>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</si>
  <si>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</si>
  <si>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</si>
  <si>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</si>
  <si>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</si>
  <si>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</si>
  <si>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</si>
  <si>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</si>
  <si>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</si>
  <si>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</si>
  <si>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</si>
  <si>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</si>
  <si>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</si>
  <si>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</si>
  <si>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</si>
  <si>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</si>
  <si>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</si>
  <si>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</si>
  <si>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</si>
  <si>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</si>
  <si>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</si>
  <si>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</si>
  <si>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</si>
  <si>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</si>
  <si>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</si>
  <si>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</si>
  <si>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</si>
  <si>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</si>
  <si>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</si>
  <si>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</si>
  <si>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</si>
  <si>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</si>
  <si>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</si>
  <si>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</si>
  <si>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</si>
  <si>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</si>
  <si>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</si>
  <si>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</si>
  <si>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</si>
  <si>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</si>
  <si>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</si>
  <si>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</si>
  <si>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</si>
  <si>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</si>
  <si>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</si>
  <si>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</si>
  <si>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</si>
  <si>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</si>
  <si>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</si>
  <si>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</si>
  <si>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</si>
  <si>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</si>
  <si>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</si>
  <si>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</si>
  <si>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</si>
  <si>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</si>
  <si>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</si>
  <si>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</si>
  <si>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</si>
  <si>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</si>
  <si>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</si>
  <si>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</si>
  <si>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</si>
  <si>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</si>
  <si>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</si>
  <si>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</si>
  <si>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</si>
  <si>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</si>
  <si>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</si>
  <si>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</si>
  <si>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</si>
  <si>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</si>
  <si>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</si>
  <si>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</si>
  <si>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</si>
  <si>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</si>
  <si>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</si>
  <si>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</si>
  <si>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</si>
  <si>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</si>
  <si>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</si>
  <si>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</si>
  <si>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</si>
  <si>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</si>
  <si>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</si>
  <si>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</si>
  <si>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</si>
  <si>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</si>
  <si>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</si>
  <si>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</si>
  <si>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</si>
  <si>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</si>
  <si>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</si>
  <si>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</si>
  <si>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</si>
  <si>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</si>
  <si>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</si>
  <si>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</si>
  <si>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</si>
  <si>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</si>
  <si>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</si>
  <si>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</si>
  <si>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</si>
  <si>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</si>
  <si>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</si>
  <si>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</si>
  <si>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</si>
  <si>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</si>
  <si>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</si>
  <si>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</si>
  <si>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</si>
  <si>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</si>
  <si>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</si>
  <si>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</si>
  <si>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</si>
  <si>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</si>
  <si>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</si>
  <si>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</si>
  <si>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</si>
  <si>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</si>
  <si>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</si>
  <si>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</si>
  <si>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</si>
  <si>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</si>
  <si>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</si>
  <si>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</si>
  <si>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</si>
  <si>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</si>
  <si>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</si>
  <si>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</si>
  <si>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</si>
  <si>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</si>
  <si>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</si>
  <si>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</si>
  <si>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</si>
  <si>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</si>
  <si>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</si>
  <si>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</si>
  <si>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</si>
  <si>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</si>
  <si>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</si>
  <si>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</si>
  <si>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</si>
  <si>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</si>
  <si>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</si>
  <si>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</si>
  <si>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</si>
  <si>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</si>
  <si>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</si>
  <si>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</si>
  <si>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</si>
  <si>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</si>
  <si>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</si>
  <si>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</si>
  <si>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</si>
  <si>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</si>
  <si>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</si>
  <si>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</si>
  <si>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</si>
  <si>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</si>
  <si>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</si>
  <si>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</si>
  <si>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</si>
  <si>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</si>
  <si>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</si>
  <si>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</si>
  <si>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</si>
  <si>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</si>
  <si>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</si>
  <si>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</si>
  <si>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</si>
  <si>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</si>
  <si>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</si>
  <si>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</si>
  <si>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</si>
  <si>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</si>
  <si>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</si>
  <si>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</si>
  <si>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</si>
  <si>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</si>
  <si>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</si>
  <si>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</si>
  <si>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</si>
  <si>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</si>
  <si>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</si>
  <si>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</si>
  <si>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</si>
  <si>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</si>
  <si>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</si>
  <si>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</si>
  <si>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</si>
  <si>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</si>
  <si>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</si>
  <si>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</si>
  <si>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</si>
  <si>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</si>
  <si>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</si>
  <si>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</si>
  <si>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</si>
  <si>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</si>
  <si>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</si>
  <si>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</si>
  <si>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</si>
  <si>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</si>
  <si>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</si>
  <si>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</si>
  <si>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</si>
  <si>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</si>
  <si>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</si>
  <si>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</si>
  <si>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</si>
  <si>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</si>
  <si>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</si>
  <si>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</si>
  <si>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</si>
  <si>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</si>
  <si>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</si>
  <si>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</si>
  <si>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</si>
  <si>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</si>
  <si>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</si>
  <si>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</si>
  <si>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</si>
  <si>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</si>
  <si>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</si>
  <si>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</si>
  <si>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</si>
  <si>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</si>
  <si>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</si>
  <si>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</si>
  <si>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</si>
  <si>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</si>
  <si>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</si>
  <si>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</si>
  <si>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</si>
  <si>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</si>
  <si>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</si>
  <si>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</si>
  <si>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</si>
  <si>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</si>
  <si>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</si>
  <si>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</si>
  <si>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</si>
  <si>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</si>
  <si>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</si>
  <si>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</si>
  <si>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</si>
  <si>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</si>
  <si>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</si>
  <si>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</si>
  <si>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</si>
  <si>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</si>
  <si>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</si>
  <si>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</si>
  <si>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</si>
  <si>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</si>
  <si>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</si>
  <si>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</si>
  <si>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</si>
  <si>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</si>
  <si>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</si>
  <si>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</si>
  <si>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</si>
  <si>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</si>
  <si>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</si>
  <si>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</si>
  <si>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</si>
  <si>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</si>
  <si>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</si>
  <si>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</si>
  <si>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</si>
  <si>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</si>
  <si>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</si>
  <si>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</si>
  <si>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</si>
  <si>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</si>
  <si>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</si>
  <si>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</si>
  <si>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</si>
  <si>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</si>
  <si>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</si>
  <si>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</si>
  <si>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</si>
  <si>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</si>
  <si>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</si>
  <si>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</si>
  <si>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</si>
  <si>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</si>
  <si>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</si>
  <si>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</si>
  <si>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</si>
  <si>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</si>
  <si>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</si>
  <si>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</si>
  <si>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</si>
  <si>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</si>
  <si>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</si>
  <si>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</si>
  <si>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</si>
  <si>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</si>
  <si>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</si>
  <si>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</si>
  <si>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</si>
  <si>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</si>
  <si>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</si>
  <si>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</si>
  <si>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</si>
  <si>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</si>
  <si>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</si>
  <si>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</si>
  <si>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</si>
  <si>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</si>
  <si>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</si>
  <si>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</si>
  <si>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</si>
  <si>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</si>
  <si>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</si>
  <si>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</si>
  <si>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</si>
  <si>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</si>
  <si>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</si>
  <si>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</si>
  <si>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</si>
  <si>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</si>
  <si>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</si>
  <si>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</si>
  <si>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</si>
  <si>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</si>
  <si>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</si>
  <si>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</si>
  <si>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</si>
  <si>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</si>
  <si>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</si>
  <si>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</si>
  <si>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</si>
  <si>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</si>
  <si>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</si>
  <si>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</si>
  <si>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</si>
  <si>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</si>
  <si>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</si>
  <si>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</si>
  <si>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</si>
  <si>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</si>
  <si>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</si>
  <si>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</si>
  <si>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</si>
  <si>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</si>
  <si>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</si>
  <si>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</si>
  <si>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</si>
  <si>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</si>
  <si>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</si>
  <si>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</si>
  <si>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</si>
  <si>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</si>
  <si>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</si>
  <si>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</si>
  <si>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</si>
  <si>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</si>
  <si>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</si>
  <si>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</si>
  <si>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</si>
  <si>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</si>
  <si>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</si>
  <si>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</si>
  <si>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</si>
  <si>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</si>
  <si>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</si>
  <si>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</si>
  <si>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</si>
  <si>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</si>
  <si>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</si>
  <si>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</si>
  <si>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</si>
  <si>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</si>
  <si>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</si>
  <si>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</si>
  <si>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</si>
  <si>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</si>
  <si>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</si>
  <si>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</si>
  <si>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</si>
  <si>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</si>
  <si>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</si>
  <si>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</si>
  <si>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</si>
  <si>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</si>
  <si>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</si>
  <si>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</si>
  <si>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</si>
  <si>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</si>
  <si>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</si>
  <si>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</si>
  <si>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</si>
  <si>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</si>
  <si>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</si>
  <si>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</si>
  <si>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</si>
  <si>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</si>
  <si>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</si>
  <si>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</si>
  <si>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</si>
  <si>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</si>
  <si>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</si>
  <si>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</si>
  <si>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</si>
  <si>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</si>
  <si>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</si>
  <si>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</si>
  <si>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</si>
  <si>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</si>
  <si>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</si>
  <si>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</si>
  <si>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</si>
  <si>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</si>
  <si>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</si>
  <si>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</si>
  <si>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</si>
  <si>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</si>
  <si>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</si>
  <si>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</si>
  <si>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</si>
  <si>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</si>
  <si>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</si>
  <si>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</si>
  <si>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</si>
  <si>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</si>
  <si>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</si>
  <si>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</si>
  <si>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</si>
  <si>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</si>
  <si>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</si>
  <si>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</si>
  <si>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</si>
  <si>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</si>
  <si>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</si>
  <si>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</si>
  <si>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</si>
  <si>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</si>
  <si>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</si>
  <si>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</si>
  <si>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</si>
  <si>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</si>
  <si>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</si>
  <si>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</si>
  <si>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</si>
  <si>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</si>
  <si>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</si>
  <si>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</si>
  <si>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</si>
  <si>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</si>
  <si>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</si>
  <si>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</si>
  <si>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</si>
  <si>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</si>
  <si>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</si>
  <si>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</si>
  <si>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</si>
  <si>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</si>
  <si>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</si>
  <si>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</si>
  <si>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</si>
  <si>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</si>
  <si>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</si>
  <si>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</si>
  <si>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</si>
  <si>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</si>
  <si>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</si>
  <si>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</si>
  <si>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</si>
  <si>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</si>
  <si>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</si>
  <si>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</si>
  <si>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</si>
  <si>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</si>
  <si>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</si>
  <si>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</si>
  <si>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</si>
  <si>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</si>
  <si>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</si>
  <si>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</si>
  <si>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</si>
  <si>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</si>
  <si>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</si>
  <si>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</si>
  <si>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</si>
  <si>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</si>
  <si>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</si>
  <si>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</si>
  <si>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</si>
  <si>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</si>
  <si>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</si>
  <si>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</si>
  <si>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</si>
  <si>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</si>
  <si>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</si>
  <si>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</si>
  <si>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</si>
  <si>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</si>
  <si>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</si>
  <si>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</si>
  <si>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</si>
  <si>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</si>
  <si>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</si>
  <si>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</si>
  <si>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</si>
  <si>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</si>
  <si>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</si>
  <si>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</si>
  <si>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</si>
  <si>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</si>
  <si>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</si>
  <si>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</si>
  <si>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</si>
  <si>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</si>
  <si>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</si>
  <si>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</si>
  <si>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</si>
  <si>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</si>
  <si>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</si>
  <si>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</si>
  <si>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</si>
  <si>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</si>
  <si>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</si>
  <si>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</si>
  <si>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</si>
  <si>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</si>
  <si>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</si>
  <si>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</si>
  <si>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</si>
  <si>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</si>
  <si>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</si>
  <si>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</si>
  <si>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</si>
  <si>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</si>
  <si>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</si>
  <si>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</si>
  <si>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</si>
  <si>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</si>
  <si>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</si>
  <si>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</si>
  <si>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</si>
  <si>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</si>
  <si>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</si>
  <si>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</si>
  <si>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</si>
  <si>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</si>
  <si>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</si>
  <si>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</si>
  <si>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</si>
  <si>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</si>
  <si>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</si>
  <si>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</si>
  <si>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</si>
  <si>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</si>
  <si>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</si>
  <si>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</si>
  <si>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</si>
  <si>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</si>
  <si>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</si>
  <si>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</si>
  <si>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</si>
  <si>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</si>
  <si>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</si>
  <si>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</si>
  <si>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</si>
  <si>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</si>
  <si>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</si>
  <si>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</si>
  <si>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</si>
  <si>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</si>
  <si>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</si>
  <si>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</si>
  <si>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</si>
  <si>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</si>
  <si>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</si>
  <si>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</si>
  <si>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</si>
  <si>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</si>
  <si>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</si>
  <si>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</si>
  <si>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</si>
  <si>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</si>
  <si>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</si>
  <si>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</si>
  <si>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</si>
  <si>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</si>
  <si>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</si>
  <si>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</si>
  <si>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</si>
  <si>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</si>
  <si>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</si>
  <si>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</si>
  <si>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</si>
  <si>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</si>
  <si>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</si>
  <si>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</si>
  <si>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</si>
  <si>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</si>
  <si>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</si>
  <si>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</si>
  <si>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</si>
  <si>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</si>
  <si>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</si>
  <si>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</si>
  <si>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</si>
  <si>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</si>
  <si>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</si>
  <si>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</si>
  <si>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</si>
  <si>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</si>
  <si>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</si>
  <si>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</si>
  <si>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</si>
  <si>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</si>
  <si>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</si>
  <si>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</si>
  <si>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</si>
  <si>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</si>
  <si>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</si>
  <si>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</si>
  <si>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</si>
  <si>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</si>
  <si>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</si>
  <si>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</si>
  <si>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</si>
  <si>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</si>
  <si>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</si>
  <si>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</si>
  <si>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</si>
  <si>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</si>
  <si>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</si>
  <si>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</si>
  <si>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</si>
  <si>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</si>
  <si>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</si>
  <si>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</si>
  <si>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</si>
  <si>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</si>
  <si>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</si>
  <si>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</si>
  <si>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</si>
  <si>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</si>
  <si>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</si>
  <si>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</si>
  <si>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</si>
  <si>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</si>
  <si>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</si>
  <si>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</si>
  <si>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</si>
  <si>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</si>
  <si>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</si>
  <si>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</si>
  <si>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</si>
  <si>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</si>
  <si>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</si>
  <si>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</si>
  <si>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</si>
  <si>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</si>
  <si>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</si>
  <si>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</si>
  <si>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</si>
  <si>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</si>
  <si>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</si>
  <si>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</si>
  <si>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</si>
  <si>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</si>
  <si>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</si>
  <si>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</si>
  <si>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</si>
  <si>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</si>
  <si>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</si>
  <si>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</si>
  <si>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</si>
  <si>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</si>
  <si>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</si>
  <si>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</si>
  <si>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</si>
  <si>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</si>
  <si>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</si>
  <si>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</si>
  <si>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</si>
  <si>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</si>
  <si>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</si>
  <si>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</si>
  <si>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</si>
  <si>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</si>
  <si>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</si>
  <si>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</si>
  <si>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</si>
  <si>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</si>
  <si>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</si>
  <si>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</si>
  <si>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</si>
  <si>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</si>
  <si>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</si>
  <si>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</si>
  <si>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</si>
  <si>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</si>
  <si>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</si>
  <si>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</si>
  <si>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</si>
  <si>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</si>
  <si>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</si>
  <si>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</si>
  <si>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</si>
  <si>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</si>
  <si>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</si>
  <si>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</si>
  <si>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</si>
  <si>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</si>
  <si>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</si>
  <si>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</si>
  <si>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</si>
  <si>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</si>
  <si>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</si>
  <si>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</si>
  <si>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</si>
  <si>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</si>
  <si>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</si>
  <si>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</si>
  <si>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</si>
  <si>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</si>
  <si>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</si>
  <si>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</si>
  <si>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</si>
  <si>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</si>
  <si>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</si>
  <si>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</si>
  <si>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</si>
  <si>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</si>
  <si>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</si>
  <si>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</si>
  <si>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</si>
  <si>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</si>
  <si>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</si>
  <si>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</si>
  <si>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</si>
  <si>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</si>
  <si>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</si>
  <si>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</si>
  <si>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</si>
  <si>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</si>
  <si>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</si>
  <si>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</si>
  <si>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</si>
  <si>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</si>
  <si>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</si>
  <si>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</si>
  <si>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</si>
  <si>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</si>
  <si>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</si>
  <si>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</si>
  <si>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</si>
  <si>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</si>
  <si>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</si>
  <si>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</si>
  <si>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</si>
  <si>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</si>
  <si>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</si>
  <si>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</si>
  <si>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</si>
  <si>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</si>
  <si>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</si>
  <si>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</si>
  <si>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</si>
  <si>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</si>
  <si>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</si>
  <si>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</si>
  <si>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</si>
  <si>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</si>
  <si>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</si>
  <si>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</si>
  <si>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</si>
  <si>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</si>
  <si>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</si>
  <si>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</si>
  <si>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</si>
  <si>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</si>
  <si>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</si>
  <si>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</si>
  <si>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</si>
  <si>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</si>
  <si>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</si>
  <si>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</si>
  <si>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</si>
  <si>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</si>
  <si>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</si>
  <si>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</si>
  <si>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</si>
  <si>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</si>
  <si>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</si>
  <si>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</si>
  <si>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</si>
  <si>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</si>
  <si>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</si>
  <si>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</si>
  <si>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</si>
  <si>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</si>
  <si>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</si>
  <si>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</si>
  <si>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</si>
  <si>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</si>
  <si>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</si>
  <si>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</si>
  <si>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</si>
  <si>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</si>
  <si>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</si>
  <si>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</si>
  <si>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</si>
  <si>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</si>
  <si>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</si>
  <si>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</si>
  <si>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</si>
  <si>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</si>
  <si>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</si>
  <si>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</si>
  <si>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</si>
  <si>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</si>
  <si>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</si>
  <si>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</si>
  <si>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</si>
  <si>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</si>
  <si>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</si>
  <si>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</si>
  <si>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</si>
  <si>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</si>
  <si>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</si>
  <si>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</si>
  <si>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</si>
  <si>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</si>
  <si>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</si>
  <si>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</si>
  <si>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</si>
  <si>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</si>
  <si>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</si>
  <si>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</si>
  <si>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</si>
  <si>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</si>
  <si>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</si>
  <si>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</si>
  <si>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</si>
  <si>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</si>
  <si>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</si>
  <si>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</si>
  <si>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</si>
  <si>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</si>
  <si>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</si>
  <si>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</si>
  <si>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</si>
  <si>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</si>
  <si>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</si>
  <si>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</si>
  <si>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</si>
  <si>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</si>
  <si>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</si>
  <si>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</si>
  <si>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</si>
  <si>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</si>
  <si>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</si>
  <si>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</si>
  <si>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</si>
  <si>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</si>
  <si>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</si>
  <si>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</si>
  <si>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</si>
  <si>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</si>
  <si>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</si>
  <si>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</si>
  <si>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</si>
  <si>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</si>
  <si>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</si>
  <si>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</si>
  <si>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</si>
  <si>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</si>
  <si>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</si>
  <si>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</si>
  <si>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</si>
  <si>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</si>
  <si>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</si>
  <si>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</si>
  <si>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</si>
  <si>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</si>
  <si>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</si>
  <si>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</si>
  <si>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</si>
  <si>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</si>
  <si>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</si>
  <si>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</si>
  <si>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</si>
  <si>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</si>
  <si>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</si>
  <si>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</si>
  <si>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</si>
  <si>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</si>
  <si>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</si>
  <si>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</si>
  <si>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</si>
  <si>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</si>
  <si>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</si>
  <si>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</si>
  <si>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</si>
  <si>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</si>
  <si>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</si>
  <si>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</si>
  <si>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</si>
  <si>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</si>
  <si>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</si>
  <si>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</si>
  <si>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</si>
  <si>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</si>
  <si>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</si>
  <si>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</si>
  <si>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</si>
  <si>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</si>
  <si>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</si>
  <si>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</si>
  <si>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</si>
  <si>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</si>
  <si>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</si>
  <si>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</si>
  <si>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</si>
  <si>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</si>
  <si>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</si>
  <si>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Jorge Bahamas - OPC.2</t>
  </si>
  <si>
    <t>Guía Empotrada Desmontable en Acabado BLANCO MATE</t>
  </si>
  <si>
    <t>2300x2330 mm</t>
  </si>
  <si>
    <t>35011 + 35012 - Empotrada desmontable 3m, BLANCO MATE</t>
  </si>
  <si>
    <t>35040 - 60 Kgrs</t>
  </si>
  <si>
    <t>35037 - 60 Kgrs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</si>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</sst>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504265</xdr:colOff>
      <xdr:row>12</xdr:row>
      <xdr:rowOff>123264</xdr:rowOff>
    </xdr:from>
    <xdr:to>
      <xdr:col>5</xdr:col>
      <xdr:colOff>60880</xdr:colOff>
      <xdr:row>23</xdr:row>
      <xdr:rowOff>187764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278D1B-0516-B190-5237-7C9533D3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0324" y="2554940"/>
          <a:ext cx="1831409" cy="216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ALU\PROYECTOS\2025\20250031\calculos\1\20250031_OPC1_Decor_JorgeBahamas_.xlsx" TargetMode="External"/><Relationship Id="rId1" Type="http://schemas.openxmlformats.org/officeDocument/2006/relationships/externalLinkPath" Target="20250031_OPC1_Decor_JorgeBahamas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PIECE (MATANALYSIS)"/>
      <sheetName val="DESCRIPCIÓN (VALVENTN)"/>
      <sheetName val="ACABADOS"/>
      <sheetName val="Tarifa_all_20240229"/>
      <sheetName val="Tarifa_all_20240711"/>
    </sheetNames>
    <sheetDataSet>
      <sheetData sheetId="0">
        <row r="34">
          <cell r="C34" t="str">
            <v>LAC. NEGRO TEXTURADO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85" zoomScaleNormal="95" zoomScaleSheetLayoutView="85" workbookViewId="0">
      <selection activeCell="E28" sqref="E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20250031</v>
      </c>
      <c r="G7" s="8">
        <f ca="1">TODAY()</f>
        <v>45698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279</v>
      </c>
      <c r="C13" s="83" t="str">
        <f>IFERROR(VLOOKUP($B13,Tarifa_all_20240711!$A$2:$G$660,2,FALSE()),"-")</f>
        <v>CARC.SIMPLE GUIA DESM.LAC.BLANCO MATE 9003-3 MTS</v>
      </c>
      <c r="D13" s="83"/>
      <c r="E13" s="17">
        <v>1</v>
      </c>
      <c r="F13" s="18">
        <f>IFERROR(VLOOKUP($B13,Tarifa_all_20240711!$A$2:$G$660,5,FALSE()),"-")</f>
        <v>87.314999999999998</v>
      </c>
      <c r="G13" s="18">
        <f t="shared" ref="G13:G30" si="0">IFERROR(E13*F13,"-")</f>
        <v>87.314999999999998</v>
      </c>
      <c r="H13" s="1"/>
    </row>
    <row r="14" spans="1:12" x14ac:dyDescent="0.25">
      <c r="A14" t="s">
        <v>15</v>
      </c>
      <c r="B14" s="16" t="s">
        <v>271</v>
      </c>
      <c r="C14" s="83" t="str">
        <f>IFERROR(VLOOKUP($B14,Tarifa_all_20240711!$A$2:$G$660,2,FALSE()),"-")</f>
        <v>GUIA SKY PLUS DESMONT.LAC.BLANCO MATE 9003-3 MTS</v>
      </c>
      <c r="D14" s="83"/>
      <c r="E14" s="17">
        <v>1</v>
      </c>
      <c r="F14" s="18">
        <f>IFERROR(VLOOKUP($B14,Tarifa_all_20240711!$A$2:$G$660,5,FALSE()),"-")</f>
        <v>65.324999999999989</v>
      </c>
      <c r="G14" s="18">
        <f t="shared" si="0"/>
        <v>65.324999999999989</v>
      </c>
      <c r="H14" s="1"/>
    </row>
    <row r="15" spans="1:12" x14ac:dyDescent="0.25">
      <c r="A15" t="s">
        <v>16</v>
      </c>
      <c r="B15" s="16" t="s">
        <v>293</v>
      </c>
      <c r="C15" s="83" t="str">
        <f>IFERROR(VLOOKUP($B15,Tarifa_all_20240711!$A$2:$G$660,2,FALSE()),"-")</f>
        <v>KIT ANCLAJE TECHO PARA GUIA PLADUR PLUS DEMONTABLE</v>
      </c>
      <c r="D15" s="83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562</v>
      </c>
      <c r="C16" s="83" t="str">
        <f>IFERROR(VLOOKUP($B16,Tarifa_all_20240711!$A$2:$G$660,2,FALSE()),"-")</f>
        <v>KIT AMORTIGUADOR SKY GUIA DESMONT. BIDIRECCIONAL 60KG</v>
      </c>
      <c r="D16" s="83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130</v>
      </c>
      <c r="C17" s="83" t="str">
        <f>IFERROR(VLOOKUP($B17,Tarifa_all_20240711!$A$2:$G$660,2,FALSE()),"-")</f>
        <v>KIT PUERTA PA CORREDERA LAC.NEGRO TEXTURADO</v>
      </c>
      <c r="D17" s="83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331</v>
      </c>
      <c r="C18" s="83" t="str">
        <f>IFERROR(VLOOKUP($B18,Tarifa_all_20240711!$A$2:$G$660,2,FALSE()),"-")</f>
        <v>CARRO SKY MADERA 60KG</v>
      </c>
      <c r="D18" s="83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511</v>
      </c>
      <c r="C19" s="83" t="str">
        <f>IFERROR(VLOOKUP($B19,Tarifa_all_20240711!$A$2:$G$660,2,FALSE()),"-")</f>
        <v>TIRADOR RECT.ADH CAVE LAC.NEGRO TEXTURADO: 2 UDS</v>
      </c>
      <c r="D19" s="83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1132</v>
      </c>
      <c r="C20" s="83" t="str">
        <f>IFERROR(VLOOKUP($B20,Tarifa_all_20240711!$A$2:$G$660,2,FALSE()),"-")</f>
        <v>GUIADOR FIJO PA LAC.NEGRO TEXTURADO</v>
      </c>
      <c r="D20" s="83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79"/>
    </row>
    <row r="21" spans="1:8" x14ac:dyDescent="0.25">
      <c r="A21" t="s">
        <v>22</v>
      </c>
      <c r="B21" s="76" t="s">
        <v>139</v>
      </c>
      <c r="C21" s="84" t="str">
        <f>IFERROR(VLOOKUP($B21,Tarifa_all_20240711!$A$2:$G$660,2,FALSE()),"-")</f>
        <v>PERFIL EMBELL.HORIZ. ADH LAC.NEGRO TEXTURADO</v>
      </c>
      <c r="D21" s="84"/>
      <c r="E21" s="77">
        <v>14</v>
      </c>
      <c r="F21" s="78">
        <f>IFERROR(VLOOKUP($B21,Tarifa_all_20240711!$A$2:$G$660,5,FALSE()),"-")</f>
        <v>21.794999999999998</v>
      </c>
      <c r="G21" s="78">
        <f t="shared" si="0"/>
        <v>305.13</v>
      </c>
      <c r="H21" s="79">
        <f>SUM(G13:G21)</f>
        <v>1189.44</v>
      </c>
    </row>
    <row r="22" spans="1:8" x14ac:dyDescent="0.25">
      <c r="B22" s="16" t="s">
        <v>456</v>
      </c>
      <c r="C22" s="83" t="str">
        <f>IFERROR(VLOOKUP($B22,Tarifa_all_20240711!$A$2:$G$660,2,FALSE()),"-")</f>
        <v>MARCO FIJOS 35MM D-DECOR FIJO NEGRO TEXT 3 MTS</v>
      </c>
      <c r="D22" s="83"/>
      <c r="E22" s="17">
        <v>3</v>
      </c>
      <c r="F22" s="18">
        <f>IFERROR(VLOOKUP($B22,Tarifa_all_20240711!$A$2:$G$660,5,FALSE()),"-")</f>
        <v>27.712500000000002</v>
      </c>
      <c r="G22" s="18">
        <f t="shared" si="0"/>
        <v>83.137500000000003</v>
      </c>
      <c r="H22" s="1"/>
    </row>
    <row r="23" spans="1:8" x14ac:dyDescent="0.25">
      <c r="B23" s="16" t="s">
        <v>436</v>
      </c>
      <c r="C23" s="83" t="str">
        <f>IFERROR(VLOOKUP($B23,Tarifa_all_20240711!$A$2:$G$660,2,FALSE()),"-")</f>
        <v>ANCLAJE TAPA 35MM D-DECOR FIJO NEGRO TEXT 3 MTS</v>
      </c>
      <c r="D23" s="83"/>
      <c r="E23" s="17">
        <v>3</v>
      </c>
      <c r="F23" s="18">
        <f>IFERROR(VLOOKUP($B23,Tarifa_all_20240711!$A$2:$G$660,5,FALSE()),"-")</f>
        <v>13.4175</v>
      </c>
      <c r="G23" s="18">
        <f t="shared" si="0"/>
        <v>40.252499999999998</v>
      </c>
      <c r="H23" s="1"/>
    </row>
    <row r="24" spans="1:8" x14ac:dyDescent="0.25">
      <c r="B24" s="16" t="s">
        <v>476</v>
      </c>
      <c r="C24" s="83" t="str">
        <f>IFERROR(VLOOKUP($B24,Tarifa_all_20240711!$A$2:$G$660,2,FALSE()),"-")</f>
        <v>TAPA MARCO 35MM D-DECOR FIJO NEGRO TEXT 3 MTS</v>
      </c>
      <c r="D24" s="83"/>
      <c r="E24" s="17">
        <v>3</v>
      </c>
      <c r="F24" s="18">
        <f>IFERROR(VLOOKUP($B24,Tarifa_all_20240711!$A$2:$G$660,5,FALSE()),"-")</f>
        <v>11.3025</v>
      </c>
      <c r="G24" s="18">
        <f t="shared" si="0"/>
        <v>33.907499999999999</v>
      </c>
      <c r="H24" s="1"/>
    </row>
    <row r="25" spans="1:8" x14ac:dyDescent="0.25">
      <c r="B25" s="16" t="s">
        <v>294</v>
      </c>
      <c r="C25" s="83" t="str">
        <f>IFERROR(VLOOKUP($B25,Tarifa_all_20240711!$A$2:$G$660,2,FALSE()),"-")</f>
        <v>Tope Domo Decor</v>
      </c>
      <c r="D25" s="83"/>
      <c r="E25" s="17">
        <v>8</v>
      </c>
      <c r="F25" s="18">
        <f>IFERROR(VLOOKUP($B25,Tarifa_all_20240711!$A$2:$G$660,5,FALSE()),"-")</f>
        <v>1.4175</v>
      </c>
      <c r="G25" s="18">
        <f t="shared" si="0"/>
        <v>11.34</v>
      </c>
      <c r="H25" s="1"/>
    </row>
    <row r="26" spans="1:8" x14ac:dyDescent="0.25">
      <c r="B26" s="16" t="s">
        <v>296</v>
      </c>
      <c r="C26" s="83" t="str">
        <f>IFERROR(VLOOKUP($B26,Tarifa_all_20240711!$A$2:$G$660,2,FALSE()),"-")</f>
        <v>PERFIL 3 MTS REDUCTOR PARA VIDRIO 6mm</v>
      </c>
      <c r="D26" s="83"/>
      <c r="E26" s="17">
        <v>5</v>
      </c>
      <c r="F26" s="18">
        <f>IFERROR(VLOOKUP($B26,Tarifa_all_20240711!$A$2:$G$660,5,FALSE()),"-")</f>
        <v>3.4275000000000002</v>
      </c>
      <c r="G26" s="18">
        <f t="shared" si="0"/>
        <v>17.137500000000003</v>
      </c>
      <c r="H26" s="1"/>
    </row>
    <row r="27" spans="1:8" x14ac:dyDescent="0.25">
      <c r="B27" s="16">
        <v>31229</v>
      </c>
      <c r="C27" s="83" t="str">
        <f>IFERROR(VLOOKUP($B27,Tarifa_all_20240711!$A$2:$G$660,2,FALSE()),"-")</f>
        <v>COMPLEMENTO FIJACION DOMO DECOR: BARRAS 3 MTS</v>
      </c>
      <c r="D27" s="83"/>
      <c r="E27" s="17">
        <v>3</v>
      </c>
      <c r="F27" s="18">
        <f>IFERROR(VLOOKUP($B27,Tarifa_all_20240711!$A$2:$G$660,5,FALSE()),"-")</f>
        <v>11.317499999999999</v>
      </c>
      <c r="G27" s="18">
        <f t="shared" si="0"/>
        <v>33.952500000000001</v>
      </c>
      <c r="H27" s="1"/>
    </row>
    <row r="28" spans="1:8" x14ac:dyDescent="0.25">
      <c r="B28" s="16" t="s">
        <v>446</v>
      </c>
      <c r="C28" s="83" t="str">
        <f>IFERROR(VLOOKUP($B28,Tarifa_all_20240711!$A$2:$G$660,2,FALSE()),"-")</f>
        <v>PERFIL MINIMALISTA D-DECOR FIJO NEGRO TEXT 3 MTS</v>
      </c>
      <c r="D28" s="83"/>
      <c r="E28" s="17">
        <v>2</v>
      </c>
      <c r="F28" s="18">
        <f>IFERROR(VLOOKUP($B28,Tarifa_all_20240711!$A$2:$G$660,5,FALSE()),"-")</f>
        <v>36.72</v>
      </c>
      <c r="G28" s="18">
        <f t="shared" si="0"/>
        <v>73.44</v>
      </c>
      <c r="H28" s="79">
        <f>SUM(G22:G28)</f>
        <v>293.16750000000002</v>
      </c>
    </row>
    <row r="29" spans="1:8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1482.6075000000003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5"/>
      <c r="E52" s="85"/>
      <c r="F52" s="85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topLeftCell="A9" zoomScale="85" zoomScaleNormal="85" zoomScaleSheetLayoutView="85" workbookViewId="0">
      <selection activeCell="H28" sqref="H2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78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79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1" t="str">
        <f>'DESPIECE (MATANALYSIS)'!C8</f>
        <v>Cristalum Gandia</v>
      </c>
      <c r="C9" s="91"/>
      <c r="D9" s="91"/>
      <c r="F9" s="3" t="s">
        <v>81</v>
      </c>
      <c r="G9" s="44">
        <f ca="1">TODAY()</f>
        <v>45698</v>
      </c>
    </row>
    <row r="10" spans="1:7" x14ac:dyDescent="0.25">
      <c r="A10" s="3" t="s">
        <v>82</v>
      </c>
      <c r="B10" s="11" t="str">
        <f>'DESPIECE (MATANALYSIS)'!C9</f>
        <v>Jorge Bahamas - OPC.2</v>
      </c>
      <c r="C10" s="45"/>
      <c r="D10" s="45"/>
      <c r="E10" s="46"/>
      <c r="F10" s="47" t="s">
        <v>83</v>
      </c>
      <c r="G10" s="7">
        <f>'DESPIECE (MATANALYSIS)'!C7</f>
        <v>20250031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1450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'[1]DESPIECE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1451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1452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1453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1454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1455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 t="s">
        <v>1449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6"/>
      <c r="B46" s="86"/>
      <c r="C46" s="71"/>
      <c r="D46" s="71"/>
      <c r="E46" s="71"/>
      <c r="F46" s="72"/>
      <c r="G46" s="73"/>
    </row>
    <row r="47" spans="1:7" ht="22.7" customHeight="1" x14ac:dyDescent="0.25">
      <c r="A47" s="87" t="s">
        <v>95</v>
      </c>
      <c r="B47" s="87"/>
      <c r="C47" s="59"/>
      <c r="D47" s="59"/>
      <c r="E47" s="59"/>
      <c r="F47" s="88">
        <f>'DESPIECE (MATANALYSIS)'!G31</f>
        <v>1482.6075000000003</v>
      </c>
      <c r="G47" s="88"/>
    </row>
    <row r="48" spans="1:7" s="1" customFormat="1" ht="22.7" customHeight="1" x14ac:dyDescent="0.25">
      <c r="A48" s="89" t="s">
        <v>96</v>
      </c>
      <c r="B48" s="89"/>
      <c r="C48" s="89"/>
      <c r="D48" s="89"/>
      <c r="E48" s="89"/>
      <c r="F48" s="89"/>
      <c r="G48" s="89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2025-02-10T15:21:49Z</dcterms:modified>
  <dc:language>es-ES</dc:language>
</cp:coreProperties>
</file>