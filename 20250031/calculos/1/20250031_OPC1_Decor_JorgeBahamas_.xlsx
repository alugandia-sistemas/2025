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1\calculos\1\"/>
    </mc:Choice>
  </mc:AlternateContent>
  <xr:revisionPtr revIDLastSave="0" documentId="13_ncr:1_{03AC061D-0FD7-43A7-A524-1871943A5C8B}" xr6:coauthVersionLast="47" xr6:coauthVersionMax="47" xr10:uidLastSave="{00000000-0000-0000-0000-000000000000}"/>
  <bookViews>
    <workbookView xWindow="-1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H21" i="10" s="1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<sst xmlns="http://schemas.openxmlformats.org/spreadsheetml/2006/main" count="5411" uniqueCount="1456">
  <si>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</si>
  <si>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</si>
  <si>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</si>
  <si>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</si>
  <si>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</si>
  <si>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</si>
  <si>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</si>
  <si>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</si>
  <si>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</si>
  <si>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</si>
  <si>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</si>
  <si>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</si>
  <si>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</si>
  <si>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</si>
  <si>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</si>
  <si>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</si>
  <si>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</si>
  <si>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</si>
  <si>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</si>
  <si>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</si>
  <si>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</si>
  <si>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</si>
  <si>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</si>
  <si>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</si>
  <si>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</si>
  <si>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</si>
  <si>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</si>
  <si>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</si>
  <si>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</si>
  <si>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</si>
  <si>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</si>
  <si>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</si>
  <si>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</si>
  <si>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</si>
  <si>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</si>
  <si>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</si>
  <si>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</si>
  <si>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</si>
  <si>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</si>
  <si>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</si>
  <si>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</si>
  <si>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</si>
  <si>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</si>
  <si>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</si>
  <si>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</si>
  <si>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</si>
  <si>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</si>
  <si>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</si>
  <si>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</si>
  <si>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</si>
  <si>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</si>
  <si>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</si>
  <si>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</si>
  <si>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</si>
  <si>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</si>
  <si>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</si>
  <si>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</si>
  <si>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</si>
  <si>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</si>
  <si>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</si>
  <si>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</si>
  <si>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</si>
  <si>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</si>
  <si>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</si>
  <si>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</si>
  <si>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</si>
  <si>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</si>
  <si>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</si>
  <si>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</si>
  <si>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</si>
  <si>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</si>
  <si>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</si>
  <si>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</si>
  <si>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</si>
  <si>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</si>
  <si>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</si>
  <si>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</si>
  <si>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</si>
  <si>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</si>
  <si>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</si>
  <si>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</si>
  <si>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</si>
  <si>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</si>
  <si>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</si>
  <si>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</si>
  <si>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</si>
  <si>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</si>
  <si>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</si>
  <si>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</si>
  <si>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</si>
  <si>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</si>
  <si>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</si>
  <si>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</si>
  <si>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</si>
  <si>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</si>
  <si>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</si>
  <si>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</si>
  <si>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</si>
  <si>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</si>
  <si>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</si>
  <si>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</si>
  <si>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</si>
  <si>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</si>
  <si>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</si>
  <si>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</si>
  <si>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</si>
  <si>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</si>
  <si>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</si>
  <si>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</si>
  <si>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</si>
  <si>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</si>
  <si>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</si>
  <si>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</si>
  <si>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</si>
  <si>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</si>
  <si>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</si>
  <si>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</si>
  <si>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</si>
  <si>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</si>
  <si>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</si>
  <si>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</si>
  <si>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</si>
  <si>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</si>
  <si>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</si>
  <si>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</si>
  <si>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</si>
  <si>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</si>
  <si>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</si>
  <si>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</si>
  <si>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</si>
  <si>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</si>
  <si>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</si>
  <si>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</si>
  <si>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</si>
  <si>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</si>
  <si>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</si>
  <si>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</si>
  <si>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</si>
  <si>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</si>
  <si>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</si>
  <si>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</si>
  <si>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</si>
  <si>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</si>
  <si>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</si>
  <si>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</si>
  <si>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</si>
  <si>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</si>
  <si>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</si>
  <si>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</si>
  <si>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</si>
  <si>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</si>
  <si>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</si>
  <si>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</si>
  <si>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</si>
  <si>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</si>
  <si>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</si>
  <si>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</si>
  <si>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</si>
  <si>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</si>
  <si>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</si>
  <si>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</si>
  <si>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</si>
  <si>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</si>
  <si>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</si>
  <si>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</si>
  <si>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</si>
  <si>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</si>
  <si>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</si>
  <si>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</si>
  <si>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</si>
  <si>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</si>
  <si>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</si>
  <si>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</si>
  <si>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</si>
  <si>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</si>
  <si>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</si>
  <si>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</si>
  <si>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</si>
  <si>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</si>
  <si>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</si>
  <si>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</si>
  <si>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</si>
  <si>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</si>
  <si>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</si>
  <si>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</si>
  <si>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</si>
  <si>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</si>
  <si>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</si>
  <si>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</si>
  <si>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</si>
  <si>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</si>
  <si>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</si>
  <si>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</si>
  <si>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</si>
  <si>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</si>
  <si>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</si>
  <si>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</si>
  <si>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</si>
  <si>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</si>
  <si>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</si>
  <si>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</si>
  <si>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</si>
  <si>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</si>
  <si>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</si>
  <si>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</si>
  <si>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</si>
  <si>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</si>
  <si>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</si>
  <si>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</si>
  <si>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</si>
  <si>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</si>
  <si>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</si>
  <si>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</si>
  <si>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</si>
  <si>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</si>
  <si>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</si>
  <si>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</si>
  <si>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</si>
  <si>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</si>
  <si>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</si>
  <si>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</si>
  <si>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</si>
  <si>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</si>
  <si>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</si>
  <si>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</si>
  <si>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</si>
  <si>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</si>
  <si>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</si>
  <si>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</si>
  <si>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</si>
  <si>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</si>
  <si>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</si>
  <si>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</si>
  <si>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</si>
  <si>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</si>
  <si>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</si>
  <si>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</si>
  <si>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</si>
  <si>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</si>
  <si>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</si>
  <si>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</si>
  <si>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</si>
  <si>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</si>
  <si>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</si>
  <si>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</si>
  <si>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</si>
  <si>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</si>
  <si>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</si>
  <si>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</si>
  <si>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</si>
  <si>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</si>
  <si>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</si>
  <si>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</si>
  <si>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</si>
  <si>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</si>
  <si>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</si>
  <si>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</si>
  <si>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</si>
  <si>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</si>
  <si>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</si>
  <si>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</si>
  <si>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</si>
  <si>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</si>
  <si>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</si>
  <si>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</si>
  <si>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</si>
  <si>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</si>
  <si>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</si>
  <si>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</si>
  <si>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</si>
  <si>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</si>
  <si>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</si>
  <si>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</si>
  <si>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</si>
  <si>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</si>
  <si>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</si>
  <si>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</si>
  <si>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</si>
  <si>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</si>
  <si>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</si>
  <si>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</si>
  <si>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</si>
  <si>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</si>
  <si>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</si>
  <si>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</si>
  <si>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</si>
  <si>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</si>
  <si>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</si>
  <si>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</si>
  <si>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</si>
  <si>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</si>
  <si>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</si>
  <si>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</si>
  <si>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</si>
  <si>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</si>
  <si>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</si>
  <si>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</si>
  <si>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</si>
  <si>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</si>
  <si>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</si>
  <si>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</si>
  <si>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</si>
  <si>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</si>
  <si>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</si>
  <si>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</si>
  <si>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</si>
  <si>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</si>
  <si>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</si>
  <si>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</si>
  <si>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</si>
  <si>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</si>
  <si>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</si>
  <si>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</si>
  <si>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</si>
  <si>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</si>
  <si>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</si>
  <si>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</si>
  <si>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</si>
  <si>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</si>
  <si>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</si>
  <si>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</si>
  <si>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</si>
  <si>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</si>
  <si>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</si>
  <si>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</si>
  <si>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</si>
  <si>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</si>
  <si>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</si>
  <si>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</si>
  <si>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</si>
  <si>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</si>
  <si>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</si>
  <si>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</si>
  <si>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</si>
  <si>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</si>
  <si>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</si>
  <si>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</si>
  <si>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</si>
  <si>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</si>
  <si>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</si>
  <si>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</si>
  <si>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</si>
  <si>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</si>
  <si>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</si>
  <si>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</si>
  <si>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</si>
  <si>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</si>
  <si>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</si>
  <si>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</si>
  <si>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</si>
  <si>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</si>
  <si>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</si>
  <si>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</si>
  <si>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</si>
  <si>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</si>
  <si>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</si>
  <si>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</si>
  <si>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</si>
  <si>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</si>
  <si>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</si>
  <si>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</si>
  <si>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</si>
  <si>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</si>
  <si>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</si>
  <si>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</si>
  <si>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</si>
  <si>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</si>
  <si>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</si>
  <si>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</si>
  <si>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</si>
  <si>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</si>
  <si>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</si>
  <si>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</si>
  <si>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</si>
  <si>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</si>
  <si>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</si>
  <si>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</si>
  <si>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</si>
  <si>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</si>
  <si>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</si>
  <si>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</si>
  <si>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</si>
  <si>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</si>
  <si>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</si>
  <si>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</si>
  <si>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</si>
  <si>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</si>
  <si>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</si>
  <si>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</si>
  <si>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</si>
  <si>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</si>
  <si>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</si>
  <si>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</si>
  <si>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</si>
  <si>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</si>
  <si>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</si>
  <si>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</si>
  <si>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</si>
  <si>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</si>
  <si>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</si>
  <si>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</si>
  <si>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</si>
  <si>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</si>
  <si>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</si>
  <si>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</si>
  <si>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</si>
  <si>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</si>
  <si>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</si>
  <si>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</si>
  <si>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</si>
  <si>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</si>
  <si>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</si>
  <si>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</si>
  <si>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</si>
  <si>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</si>
  <si>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</si>
  <si>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</si>
  <si>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</si>
  <si>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</si>
  <si>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</si>
  <si>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</si>
  <si>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</si>
  <si>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</si>
  <si>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</si>
  <si>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</si>
  <si>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</si>
  <si>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</si>
  <si>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</si>
  <si>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</si>
  <si>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</si>
  <si>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</si>
  <si>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</si>
  <si>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</si>
  <si>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</si>
  <si>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</si>
  <si>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</si>
  <si>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</si>
  <si>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</si>
  <si>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</si>
  <si>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</si>
  <si>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</si>
  <si>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</si>
  <si>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</si>
  <si>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</si>
  <si>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</si>
  <si>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</si>
  <si>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</si>
  <si>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</si>
  <si>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</si>
  <si>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</si>
  <si>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</si>
  <si>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</si>
  <si>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</si>
  <si>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</si>
  <si>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</si>
  <si>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</si>
  <si>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</si>
  <si>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</si>
  <si>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</si>
  <si>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</si>
  <si>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</si>
  <si>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</si>
  <si>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</si>
  <si>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</si>
  <si>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</si>
  <si>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</si>
  <si>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</si>
  <si>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</si>
  <si>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</si>
  <si>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</si>
  <si>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</si>
  <si>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</si>
  <si>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</si>
  <si>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</si>
  <si>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</si>
  <si>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</si>
  <si>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</si>
  <si>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</si>
  <si>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</si>
  <si>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</si>
  <si>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</si>
  <si>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</si>
  <si>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</si>
  <si>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</si>
  <si>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</si>
  <si>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</si>
  <si>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</si>
  <si>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</si>
  <si>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</si>
  <si>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</si>
  <si>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</si>
  <si>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</si>
  <si>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</si>
  <si>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</si>
  <si>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</si>
  <si>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</si>
  <si>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</si>
  <si>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</si>
  <si>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</si>
  <si>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</si>
  <si>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</si>
  <si>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</si>
  <si>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</si>
  <si>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</si>
  <si>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</si>
  <si>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</si>
  <si>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</si>
  <si>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</si>
  <si>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</si>
  <si>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</si>
  <si>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</si>
  <si>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</si>
  <si>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</si>
  <si>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</si>
  <si>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</si>
  <si>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</si>
  <si>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</si>
  <si>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</si>
  <si>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</si>
  <si>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</si>
  <si>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</si>
  <si>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</si>
  <si>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</si>
  <si>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</si>
  <si>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</si>
  <si>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</si>
  <si>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</si>
  <si>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</si>
  <si>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</si>
  <si>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</si>
  <si>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</si>
  <si>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</si>
  <si>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</si>
  <si>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</si>
  <si>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</si>
  <si>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</si>
  <si>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</si>
  <si>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</si>
  <si>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</si>
  <si>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</si>
  <si>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</si>
  <si>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</si>
  <si>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</si>
  <si>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</si>
  <si>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</si>
  <si>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</si>
  <si>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</si>
  <si>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</si>
  <si>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</si>
  <si>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</si>
  <si>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</si>
  <si>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</si>
  <si>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</si>
  <si>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</si>
  <si>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</si>
  <si>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</si>
  <si>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</si>
  <si>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</si>
  <si>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</si>
  <si>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</si>
  <si>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</si>
  <si>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</si>
  <si>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</si>
  <si>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</si>
  <si>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</si>
  <si>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</si>
  <si>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</si>
  <si>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</si>
  <si>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</si>
  <si>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</si>
  <si>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</si>
  <si>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</si>
  <si>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</si>
  <si>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</si>
  <si>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</si>
  <si>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</si>
  <si>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</si>
  <si>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</si>
  <si>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</si>
  <si>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</si>
  <si>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</si>
  <si>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</si>
  <si>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</si>
  <si>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</si>
  <si>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</si>
  <si>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</si>
  <si>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</si>
  <si>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</si>
  <si>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</si>
  <si>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</si>
  <si>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</si>
  <si>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</si>
  <si>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</si>
  <si>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</si>
  <si>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</si>
  <si>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</si>
  <si>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</si>
  <si>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</si>
  <si>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</si>
  <si>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</si>
  <si>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</si>
  <si>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</si>
  <si>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</si>
  <si>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</si>
  <si>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</si>
  <si>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</si>
  <si>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</si>
  <si>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</si>
  <si>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</si>
  <si>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</si>
  <si>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</si>
  <si>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</si>
  <si>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</si>
  <si>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</si>
  <si>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</si>
  <si>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</si>
  <si>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</si>
  <si>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</si>
  <si>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</si>
  <si>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</si>
  <si>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</si>
  <si>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</si>
  <si>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</si>
  <si>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</si>
  <si>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</si>
  <si>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</si>
  <si>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</si>
  <si>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</si>
  <si>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</si>
  <si>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</si>
  <si>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</si>
  <si>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</si>
  <si>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</si>
  <si>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</si>
  <si>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</si>
  <si>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</si>
  <si>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</si>
  <si>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</si>
  <si>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</si>
  <si>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</si>
  <si>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</si>
  <si>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</si>
  <si>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</si>
  <si>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</si>
  <si>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</si>
  <si>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</si>
  <si>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</si>
  <si>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</si>
  <si>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</si>
  <si>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</si>
  <si>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</si>
  <si>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</si>
  <si>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</si>
  <si>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</si>
  <si>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</si>
  <si>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</si>
  <si>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</si>
  <si>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</si>
  <si>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</si>
  <si>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</si>
  <si>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</si>
  <si>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</si>
  <si>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</si>
  <si>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</si>
  <si>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</si>
  <si>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</si>
  <si>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</si>
  <si>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</si>
  <si>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</si>
  <si>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</si>
  <si>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</si>
  <si>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</si>
  <si>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</si>
  <si>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</si>
  <si>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</si>
  <si>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</si>
  <si>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</si>
  <si>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</si>
  <si>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</si>
  <si>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</si>
  <si>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</si>
  <si>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</si>
  <si>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</si>
  <si>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</si>
  <si>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</si>
  <si>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</si>
  <si>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</si>
  <si>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</si>
  <si>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</si>
  <si>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</si>
  <si>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</si>
  <si>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</si>
  <si>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</si>
  <si>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</si>
  <si>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</si>
  <si>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</si>
  <si>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</si>
  <si>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</si>
  <si>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</si>
  <si>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</si>
  <si>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</si>
  <si>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</si>
  <si>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</si>
  <si>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</si>
  <si>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</si>
  <si>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</si>
  <si>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</si>
  <si>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</si>
  <si>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</si>
  <si>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</si>
  <si>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</si>
  <si>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</si>
  <si>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</si>
  <si>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</si>
  <si>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</si>
  <si>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</si>
  <si>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</si>
  <si>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</si>
  <si>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</si>
  <si>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</si>
  <si>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</si>
  <si>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</si>
  <si>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</si>
  <si>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</si>
  <si>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</si>
  <si>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</si>
  <si>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</si>
  <si>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</si>
  <si>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</si>
  <si>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</si>
  <si>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</si>
  <si>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</si>
  <si>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</si>
  <si>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</si>
  <si>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</si>
  <si>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</si>
  <si>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</si>
  <si>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</si>
  <si>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</si>
  <si>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</si>
  <si>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</si>
  <si>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</si>
  <si>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</si>
  <si>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</si>
  <si>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</si>
  <si>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</si>
  <si>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</si>
  <si>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</si>
  <si>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</si>
  <si>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</si>
  <si>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</si>
  <si>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</si>
  <si>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</si>
  <si>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</si>
  <si>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</si>
  <si>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</si>
  <si>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</si>
  <si>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</si>
  <si>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</si>
  <si>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</si>
  <si>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</si>
  <si>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</si>
  <si>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</si>
  <si>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</si>
  <si>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</si>
  <si>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</si>
  <si>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</si>
  <si>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</si>
  <si>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</si>
  <si>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</si>
  <si>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</si>
  <si>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</si>
  <si>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</si>
  <si>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</si>
  <si>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</si>
  <si>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</si>
  <si>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</si>
  <si>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</si>
  <si>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</si>
  <si>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</si>
  <si>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</si>
  <si>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</si>
  <si>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</si>
  <si>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</si>
  <si>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</si>
  <si>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</si>
  <si>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</si>
  <si>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</si>
  <si>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</si>
  <si>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</si>
  <si>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</si>
  <si>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</si>
  <si>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</si>
  <si>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</si>
  <si>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</si>
  <si>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</si>
  <si>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</si>
  <si>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</si>
  <si>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</si>
  <si>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</si>
  <si>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</si>
  <si>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</si>
  <si>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</si>
  <si>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</si>
  <si>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</si>
  <si>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</si>
  <si>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</si>
  <si>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</si>
  <si>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</si>
  <si>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</si>
  <si>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</si>
  <si>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</si>
  <si>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</si>
  <si>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</si>
  <si>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</si>
  <si>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</si>
  <si>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</si>
  <si>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</si>
  <si>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</si>
  <si>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</si>
  <si>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</si>
  <si>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</si>
  <si>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</si>
  <si>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</si>
  <si>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</si>
  <si>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</si>
  <si>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</si>
  <si>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</si>
  <si>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</si>
  <si>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</si>
  <si>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</si>
  <si>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</si>
  <si>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</si>
  <si>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</si>
  <si>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</si>
  <si>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</si>
  <si>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</si>
  <si>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</si>
  <si>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</si>
  <si>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</si>
  <si>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</si>
  <si>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</si>
  <si>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</si>
  <si>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</si>
  <si>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</si>
  <si>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</si>
  <si>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</si>
  <si>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</si>
  <si>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</si>
  <si>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</si>
  <si>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</si>
  <si>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</si>
  <si>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</si>
  <si>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</si>
  <si>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</si>
  <si>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</si>
  <si>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</si>
  <si>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</si>
  <si>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</si>
  <si>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</si>
  <si>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</si>
  <si>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</si>
  <si>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</si>
  <si>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</si>
  <si>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</si>
  <si>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</si>
  <si>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</si>
  <si>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</si>
  <si>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</si>
  <si>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</si>
  <si>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</si>
  <si>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</si>
  <si>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</si>
  <si>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</si>
  <si>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</si>
  <si>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</si>
  <si>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</si>
  <si>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</si>
  <si>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</si>
  <si>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</si>
  <si>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</si>
  <si>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</si>
  <si>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</si>
  <si>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</si>
  <si>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</si>
  <si>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</si>
  <si>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</si>
  <si>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</si>
  <si>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</si>
  <si>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</si>
  <si>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</si>
  <si>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</si>
  <si>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</si>
  <si>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</si>
  <si>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</si>
  <si>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</si>
  <si>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</si>
  <si>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</si>
  <si>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</si>
  <si>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</si>
  <si>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</si>
  <si>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</si>
  <si>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</si>
  <si>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</si>
  <si>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</si>
  <si>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</si>
  <si>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</si>
  <si>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</si>
  <si>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</si>
  <si>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</si>
  <si>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</si>
  <si>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</si>
  <si>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</si>
  <si>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</si>
  <si>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</si>
  <si>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</si>
  <si>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</si>
  <si>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</si>
  <si>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</si>
  <si>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</si>
  <si>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</si>
  <si>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</si>
  <si>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</si>
  <si>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</si>
  <si>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</si>
  <si>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</si>
  <si>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</si>
  <si>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</si>
  <si>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</si>
  <si>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</si>
  <si>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</si>
  <si>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</si>
  <si>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</si>
  <si>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</si>
  <si>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</si>
  <si>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</si>
  <si>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</si>
  <si>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</si>
  <si>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</si>
  <si>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</si>
  <si>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</si>
  <si>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</si>
  <si>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</si>
  <si>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</si>
  <si>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</si>
  <si>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</si>
  <si>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</si>
  <si>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</si>
  <si>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</si>
  <si>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</si>
  <si>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</si>
  <si>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</si>
  <si>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</si>
  <si>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</si>
  <si>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</si>
  <si>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</si>
  <si>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</si>
  <si>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</si>
  <si>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</si>
  <si>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</si>
  <si>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</si>
  <si>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</si>
  <si>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</si>
  <si>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</si>
  <si>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</si>
  <si>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</si>
  <si>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</si>
  <si>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</si>
  <si>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</si>
  <si>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</si>
  <si>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</si>
  <si>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</si>
  <si>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</si>
  <si>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</si>
  <si>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</si>
  <si>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</si>
  <si>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</si>
  <si>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</si>
  <si>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</si>
  <si>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</si>
  <si>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</si>
  <si>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</si>
  <si>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</si>
  <si>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</si>
  <si>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</si>
  <si>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</si>
  <si>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</si>
  <si>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</si>
  <si>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</si>
  <si>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</si>
  <si>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</si>
  <si>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</si>
  <si>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</si>
  <si>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</si>
  <si>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</si>
  <si>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</si>
  <si>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</si>
  <si>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</si>
  <si>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</si>
  <si>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</si>
  <si>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</si>
  <si>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</si>
  <si>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</si>
  <si>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</si>
  <si>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</si>
  <si>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</si>
  <si>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</si>
  <si>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</si>
  <si>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</si>
  <si>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</si>
  <si>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</si>
  <si>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</si>
  <si>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</si>
  <si>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</si>
  <si>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</si>
  <si>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</si>
  <si>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</si>
  <si>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</si>
  <si>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</si>
  <si>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</si>
  <si>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</si>
  <si>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</si>
  <si>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</si>
  <si>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</si>
  <si>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</si>
  <si>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</si>
  <si>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</si>
  <si>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</si>
  <si>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</si>
  <si>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</si>
  <si>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</si>
  <si>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</si>
  <si>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</si>
  <si>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</si>
  <si>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</si>
  <si>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</si>
  <si>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</si>
  <si>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</si>
  <si>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</si>
  <si>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</si>
  <si>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</si>
  <si>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</si>
  <si>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</si>
  <si>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</si>
  <si>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</si>
  <si>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</si>
  <si>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</si>
  <si>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</si>
  <si>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</si>
  <si>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</si>
  <si>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</si>
  <si>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</si>
  <si>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</si>
  <si>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</si>
  <si>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</si>
  <si>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</si>
  <si>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</si>
  <si>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</si>
  <si>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</si>
  <si>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</si>
  <si>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</si>
  <si>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</si>
  <si>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</si>
  <si>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</si>
  <si>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</si>
  <si>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</si>
  <si>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</si>
  <si>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</si>
  <si>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</si>
  <si>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</si>
  <si>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</si>
  <si>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</si>
  <si>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</si>
  <si>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</si>
  <si>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</si>
  <si>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</si>
  <si>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</si>
  <si>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</si>
  <si>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</si>
  <si>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</si>
  <si>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</si>
  <si>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</si>
  <si>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</si>
  <si>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</si>
  <si>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</si>
  <si>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</si>
  <si>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</si>
  <si>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</si>
  <si>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</si>
  <si>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</si>
  <si>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</si>
  <si>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</si>
  <si>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</si>
  <si>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</si>
  <si>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</si>
  <si>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</si>
  <si>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</si>
  <si>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</si>
  <si>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</si>
  <si>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</si>
  <si>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</si>
  <si>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</si>
  <si>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</si>
  <si>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</si>
  <si>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</si>
  <si>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</si>
  <si>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</si>
  <si>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</si>
  <si>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</si>
  <si>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</si>
  <si>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</si>
  <si>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</si>
  <si>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</si>
  <si>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</si>
  <si>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</si>
  <si>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</si>
  <si>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</si>
  <si>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</si>
  <si>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</si>
  <si>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</si>
  <si>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</si>
  <si>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</si>
  <si>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</si>
  <si>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</si>
  <si>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</si>
  <si>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</si>
  <si>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</si>
  <si>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</si>
  <si>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</si>
  <si>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</si>
  <si>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</si>
  <si>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</si>
  <si>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</si>
  <si>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</si>
  <si>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</si>
  <si>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</si>
  <si>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</si>
  <si>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</si>
  <si>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</si>
  <si>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</si>
  <si>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</si>
  <si>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</si>
  <si>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</si>
  <si>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</si>
  <si>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</si>
  <si>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</si>
  <si>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</si>
  <si>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</si>
  <si>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</si>
  <si>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</si>
  <si>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</si>
  <si>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</si>
  <si>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</si>
  <si>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</si>
  <si>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</si>
  <si>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</si>
  <si>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</si>
  <si>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</si>
  <si>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</si>
  <si>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</si>
  <si>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</si>
  <si>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</si>
  <si>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</si>
  <si>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</si>
  <si>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</si>
  <si>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</si>
  <si>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</si>
  <si>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</si>
  <si>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</si>
  <si>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</si>
  <si>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</si>
  <si>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</si>
  <si>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</si>
  <si>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</si>
  <si>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</si>
  <si>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</si>
  <si>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</si>
  <si>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</si>
  <si>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</si>
  <si>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</si>
  <si>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</si>
  <si>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</si>
  <si>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</si>
  <si>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</si>
  <si>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</si>
  <si>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</si>
  <si>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</si>
  <si>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</si>
  <si>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</si>
  <si>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</si>
  <si>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</si>
  <si>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</si>
  <si>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</si>
  <si>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</si>
  <si>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</si>
  <si>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</si>
  <si>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</si>
  <si>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</si>
  <si>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</si>
  <si>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</si>
  <si>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</si>
  <si>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</si>
  <si>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</si>
  <si>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</si>
  <si>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</si>
  <si>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</si>
  <si>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</si>
  <si>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</si>
  <si>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</si>
  <si>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</si>
  <si>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</si>
  <si>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</si>
  <si>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</si>
  <si>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</si>
  <si>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</si>
  <si>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</si>
  <si>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</si>
  <si>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</si>
  <si>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</si>
  <si>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</si>
  <si>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</si>
  <si>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</si>
  <si>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</si>
  <si>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</si>
  <si>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</si>
  <si>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</si>
  <si>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</si>
  <si>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</si>
  <si>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</si>
  <si>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</si>
  <si>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</si>
  <si>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</si>
  <si>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</si>
  <si>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</si>
  <si>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</si>
  <si>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</si>
  <si>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</si>
  <si>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</si>
  <si>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</si>
  <si>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</si>
  <si>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</si>
  <si>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</si>
  <si>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</si>
  <si>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</si>
  <si>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</si>
  <si>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</si>
  <si>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</si>
  <si>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</si>
  <si>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</si>
  <si>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</si>
  <si>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</si>
  <si>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</si>
  <si>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</si>
  <si>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</si>
  <si>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</si>
  <si>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</si>
  <si>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</si>
  <si>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</si>
  <si>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</si>
  <si>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</si>
  <si>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</si>
  <si>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</si>
  <si>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</si>
  <si>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</si>
  <si>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</si>
  <si>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</si>
  <si>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</si>
  <si>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</si>
  <si>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</si>
  <si>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</si>
  <si>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</si>
  <si>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</si>
  <si>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</si>
  <si>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</si>
  <si>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</si>
  <si>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</si>
  <si>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</si>
  <si>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</si>
  <si>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</si>
  <si>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</si>
  <si>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</si>
  <si>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</si>
  <si>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</si>
  <si>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</si>
  <si>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</si>
  <si>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</si>
  <si>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</si>
  <si>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</si>
  <si>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</si>
  <si>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</si>
  <si>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</si>
  <si>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</si>
  <si>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</si>
  <si>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</si>
  <si>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</si>
  <si>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</si>
  <si>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</si>
  <si>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</si>
  <si>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</si>
  <si>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</si>
  <si>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</si>
  <si>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</si>
  <si>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</si>
  <si>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</si>
  <si>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</si>
  <si>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</si>
  <si>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</si>
  <si>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</si>
  <si>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</si>
  <si>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</si>
  <si>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</si>
  <si>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</si>
  <si>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</si>
  <si>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</si>
  <si>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</si>
  <si>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</si>
  <si>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</si>
  <si>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</si>
  <si>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</si>
  <si>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</si>
  <si>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</si>
  <si>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</si>
  <si>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</si>
  <si>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</si>
  <si>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</si>
  <si>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</si>
  <si>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</si>
  <si>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</si>
  <si>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</si>
  <si>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</si>
  <si>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</si>
  <si>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</si>
  <si>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</si>
  <si>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</si>
  <si>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</si>
  <si>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</si>
  <si>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</si>
  <si>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</si>
  <si>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</si>
  <si>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</si>
  <si>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</si>
  <si>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</si>
  <si>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</si>
  <si>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</si>
  <si>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</si>
  <si>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</si>
  <si>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</si>
  <si>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</si>
  <si>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</si>
  <si>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</si>
  <si>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</si>
  <si>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</si>
  <si>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</si>
  <si>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</si>
  <si>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</si>
  <si>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</si>
  <si>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</si>
  <si>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</si>
  <si>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</si>
  <si>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</si>
  <si>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</si>
  <si>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</si>
  <si>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</si>
  <si>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</si>
  <si>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</si>
  <si>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</si>
  <si>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</si>
  <si>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</si>
  <si>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</si>
  <si>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</si>
  <si>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</si>
  <si>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</si>
  <si>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</si>
  <si>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</si>
  <si>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</si>
  <si>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</si>
  <si>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</si>
  <si>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</si>
  <si>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</si>
  <si>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</si>
  <si>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</si>
  <si>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</si>
  <si>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</si>
  <si>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</si>
  <si>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</si>
  <si>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</si>
  <si>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</si>
  <si>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</si>
  <si>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</si>
  <si>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</si>
  <si>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</si>
  <si>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</si>
  <si>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</si>
  <si>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</si>
  <si>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</si>
  <si>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</si>
  <si>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</si>
  <si>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</si>
  <si>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</si>
  <si>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</si>
  <si>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</si>
  <si>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</si>
  <si>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</si>
  <si>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</si>
  <si>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</si>
  <si>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</si>
  <si>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</si>
  <si>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</si>
  <si>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</si>
  <si>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</si>
  <si>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</si>
  <si>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</si>
  <si>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</si>
  <si>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</si>
  <si>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</si>
  <si>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</si>
  <si>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</si>
  <si>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</si>
  <si>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</si>
  <si>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</si>
  <si>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</si>
  <si>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</si>
  <si>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</si>
  <si>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</si>
  <si>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</si>
  <si>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</si>
  <si>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</si>
  <si>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</si>
  <si>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</si>
  <si>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</si>
  <si>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</si>
  <si>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</si>
  <si>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</si>
  <si>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</si>
  <si>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</si>
  <si>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</si>
  <si>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</si>
  <si>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</si>
  <si>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</si>
  <si>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</si>
  <si>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</si>
  <si>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</si>
  <si>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</si>
  <si>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</si>
  <si>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</si>
  <si>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</si>
  <si>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</si>
  <si>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</si>
  <si>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Jorge Bahamas - OPC.1</t>
  </si>
  <si>
    <t>2300x2330 mm</t>
  </si>
  <si>
    <t>Guía empotrada desmontable en BLANCO MATE</t>
  </si>
  <si>
    <t>35011 + 35012 - Empotrada desmontable 3m, BLANCO MATE</t>
  </si>
  <si>
    <t>35037 - 60 Kgrs</t>
  </si>
  <si>
    <t>35054 - CAVE adhesivo</t>
  </si>
  <si>
    <t>Inferior</t>
  </si>
  <si>
    <t>35040GD - 60 Kgrs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</si>
</sst>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392207</xdr:colOff>
      <xdr:row>13</xdr:row>
      <xdr:rowOff>123265</xdr:rowOff>
    </xdr:from>
    <xdr:to>
      <xdr:col>4</xdr:col>
      <xdr:colOff>665999</xdr:colOff>
      <xdr:row>24</xdr:row>
      <xdr:rowOff>187765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389179-8FC5-9438-C6C8-2C9F7B0C4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266" y="2745441"/>
          <a:ext cx="1831409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95" zoomScaleSheetLayoutView="8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20250031</v>
      </c>
      <c r="G7" s="8">
        <f ca="1">TODAY()</f>
        <v>45698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279</v>
      </c>
      <c r="C13" s="83" t="str">
        <f>IFERROR(VLOOKUP($B13,Tarifa_all_20240711!$A$2:$G$660,2,FALSE()),"-")</f>
        <v>CARC.SIMPLE GUIA DESM.LAC.BLANCO MATE 9003-3 MTS</v>
      </c>
      <c r="D13" s="83"/>
      <c r="E13" s="17">
        <v>1</v>
      </c>
      <c r="F13" s="18">
        <f>IFERROR(VLOOKUP($B13,Tarifa_all_20240711!$A$2:$G$660,5,FALSE()),"-")</f>
        <v>87.314999999999998</v>
      </c>
      <c r="G13" s="18">
        <f t="shared" ref="G13:G30" si="0">IFERROR(E13*F13,"-")</f>
        <v>87.314999999999998</v>
      </c>
      <c r="H13" s="1"/>
    </row>
    <row r="14" spans="1:12" x14ac:dyDescent="0.25">
      <c r="A14" t="s">
        <v>15</v>
      </c>
      <c r="B14" s="16" t="s">
        <v>271</v>
      </c>
      <c r="C14" s="83" t="str">
        <f>IFERROR(VLOOKUP($B14,Tarifa_all_20240711!$A$2:$G$660,2,FALSE()),"-")</f>
        <v>GUIA SKY PLUS DESMONT.LAC.BLANCO MATE 9003-3 MTS</v>
      </c>
      <c r="D14" s="83"/>
      <c r="E14" s="17">
        <v>1</v>
      </c>
      <c r="F14" s="18">
        <f>IFERROR(VLOOKUP($B14,Tarifa_all_20240711!$A$2:$G$660,5,FALSE()),"-")</f>
        <v>65.324999999999989</v>
      </c>
      <c r="G14" s="18">
        <f t="shared" si="0"/>
        <v>65.324999999999989</v>
      </c>
      <c r="H14" s="1"/>
    </row>
    <row r="15" spans="1:12" x14ac:dyDescent="0.25">
      <c r="A15" t="s">
        <v>16</v>
      </c>
      <c r="B15" s="16" t="s">
        <v>293</v>
      </c>
      <c r="C15" s="83" t="str">
        <f>IFERROR(VLOOKUP($B15,Tarifa_all_20240711!$A$2:$G$660,2,FALSE()),"-")</f>
        <v>KIT ANCLAJE TECHO PARA GUIA PLADUR PLUS DEMONTABLE</v>
      </c>
      <c r="D15" s="83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562</v>
      </c>
      <c r="C16" s="83" t="str">
        <f>IFERROR(VLOOKUP($B16,Tarifa_all_20240711!$A$2:$G$660,2,FALSE()),"-")</f>
        <v>KIT AMORTIGUADOR SKY GUIA DESMONT. BIDIRECCIONAL 60KG</v>
      </c>
      <c r="D16" s="83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3" t="str">
        <f>IFERROR(VLOOKUP($B17,Tarifa_all_20240711!$A$2:$G$660,2,FALSE()),"-")</f>
        <v>KIT PUERTA PA CORREDERA LAC.NEGRO TEXTURADO</v>
      </c>
      <c r="D17" s="83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83" t="str">
        <f>IFERROR(VLOOKUP($B19,Tarifa_all_20240711!$A$2:$G$660,2,FALSE()),"-")</f>
        <v>TIRADOR RECT.ADH CAVE LAC.NEGRO TEXTURADO: 2 UDS</v>
      </c>
      <c r="D19" s="83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3" t="str">
        <f>IFERROR(VLOOKUP($B20,Tarifa_all_20240711!$A$2:$G$660,2,FALSE()),"-")</f>
        <v>GUIADOR FIJO PA LAC.NEGRO TEXTURADO</v>
      </c>
      <c r="D20" s="83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79"/>
    </row>
    <row r="21" spans="1:8" x14ac:dyDescent="0.25">
      <c r="A21" t="s">
        <v>22</v>
      </c>
      <c r="B21" s="76" t="s">
        <v>139</v>
      </c>
      <c r="C21" s="84" t="str">
        <f>IFERROR(VLOOKUP($B21,Tarifa_all_20240711!$A$2:$G$660,2,FALSE()),"-")</f>
        <v>PERFIL EMBELL.HORIZ. ADH LAC.NEGRO TEXTURADO</v>
      </c>
      <c r="D21" s="84"/>
      <c r="E21" s="77">
        <v>10</v>
      </c>
      <c r="F21" s="78">
        <f>IFERROR(VLOOKUP($B21,Tarifa_all_20240711!$A$2:$G$660,5,FALSE()),"-")</f>
        <v>21.794999999999998</v>
      </c>
      <c r="G21" s="78">
        <f t="shared" si="0"/>
        <v>217.95</v>
      </c>
      <c r="H21" s="79">
        <f>SUM(G13:G21)</f>
        <v>771.63750000000005</v>
      </c>
    </row>
    <row r="22" spans="1:8" x14ac:dyDescent="0.25">
      <c r="B22" s="16" t="s">
        <v>456</v>
      </c>
      <c r="C22" s="83" t="str">
        <f>IFERROR(VLOOKUP($B22,Tarifa_all_20240711!$A$2:$G$660,2,FALSE()),"-")</f>
        <v>MARCO FIJOS 35MM D-DECOR FIJO NEGRO TEXT 3 MTS</v>
      </c>
      <c r="D22" s="83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436</v>
      </c>
      <c r="C23" s="83" t="str">
        <f>IFERROR(VLOOKUP($B23,Tarifa_all_20240711!$A$2:$G$660,2,FALSE()),"-")</f>
        <v>ANCLAJE TAPA 35MM D-DECOR FIJO NEGRO TEXT 3 MTS</v>
      </c>
      <c r="D23" s="83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476</v>
      </c>
      <c r="C24" s="83" t="str">
        <f>IFERROR(VLOOKUP($B24,Tarifa_all_20240711!$A$2:$G$660,2,FALSE()),"-")</f>
        <v>TAPA MARCO 35MM D-DECOR FIJO NEGRO TEXT 3 MTS</v>
      </c>
      <c r="D24" s="83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294</v>
      </c>
      <c r="C25" s="83" t="str">
        <f>IFERROR(VLOOKUP($B25,Tarifa_all_20240711!$A$2:$G$660,2,FALSE()),"-")</f>
        <v>Tope Domo Decor</v>
      </c>
      <c r="D25" s="83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296</v>
      </c>
      <c r="C26" s="83" t="str">
        <f>IFERROR(VLOOKUP($B26,Tarifa_all_20240711!$A$2:$G$660,2,FALSE()),"-")</f>
        <v>PERFIL 3 MTS REDUCTOR PARA VIDRIO 6mm</v>
      </c>
      <c r="D26" s="83"/>
      <c r="E26" s="17">
        <v>3</v>
      </c>
      <c r="F26" s="18">
        <f>IFERROR(VLOOKUP($B26,Tarifa_all_20240711!$A$2:$G$660,5,FALSE()),"-")</f>
        <v>3.4275000000000002</v>
      </c>
      <c r="G26" s="18">
        <f t="shared" si="0"/>
        <v>10.282500000000001</v>
      </c>
      <c r="H26" s="1"/>
    </row>
    <row r="27" spans="1:8" x14ac:dyDescent="0.25">
      <c r="B27" s="16">
        <v>31229</v>
      </c>
      <c r="C27" s="83" t="str">
        <f>IFERROR(VLOOKUP($B27,Tarifa_all_20240711!$A$2:$G$660,2,FALSE()),"-")</f>
        <v>COMPLEMENTO FIJACION DOMO DECOR: BARRAS 3 MTS</v>
      </c>
      <c r="D27" s="83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16" t="s">
        <v>446</v>
      </c>
      <c r="C28" s="83" t="str">
        <f>IFERROR(VLOOKUP($B28,Tarifa_all_20240711!$A$2:$G$660,2,FALSE()),"-")</f>
        <v>PERFIL MINIMALISTA D-DECOR FIJO NEGRO TEXT 3 MTS</v>
      </c>
      <c r="D28" s="83"/>
      <c r="E28" s="17">
        <v>1</v>
      </c>
      <c r="F28" s="18">
        <f>IFERROR(VLOOKUP($B28,Tarifa_all_20240711!$A$2:$G$660,5,FALSE()),"-")</f>
        <v>36.72</v>
      </c>
      <c r="G28" s="18">
        <f t="shared" si="0"/>
        <v>36.72</v>
      </c>
      <c r="H28" s="79">
        <f>SUM(G22:G28)</f>
        <v>191.49</v>
      </c>
    </row>
    <row r="29" spans="1:8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963.12750000000005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6" zoomScale="85" zoomScaleNormal="85" zoomScaleSheetLayoutView="85" workbookViewId="0">
      <selection activeCell="B37" sqref="B3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Cristalum Gandia</v>
      </c>
      <c r="C9" s="91"/>
      <c r="D9" s="91"/>
      <c r="F9" s="3" t="s">
        <v>81</v>
      </c>
      <c r="G9" s="44">
        <f ca="1">TODAY()</f>
        <v>45698</v>
      </c>
    </row>
    <row r="10" spans="1:7" x14ac:dyDescent="0.25">
      <c r="A10" s="3" t="s">
        <v>82</v>
      </c>
      <c r="B10" s="11" t="str">
        <f>'DESPIECE (MATANALYSIS)'!C9</f>
        <v>Jorge Bahamas - OPC.1</v>
      </c>
      <c r="C10" s="45"/>
      <c r="D10" s="45"/>
      <c r="E10" s="46"/>
      <c r="F10" s="47" t="s">
        <v>83</v>
      </c>
      <c r="G10" s="7">
        <f>'DESPIECE (MATANALYSIS)'!C7</f>
        <v>20250031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1455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1450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6"/>
      <c r="B46" s="86"/>
      <c r="C46" s="71"/>
      <c r="D46" s="71"/>
      <c r="E46" s="71"/>
      <c r="F46" s="72"/>
      <c r="G46" s="73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963.12750000000005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2025-02-10T15:21:46Z</dcterms:modified>
  <dc:language>es-ES</dc:language>
</cp:coreProperties>
</file>