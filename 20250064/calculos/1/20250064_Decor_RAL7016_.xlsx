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64\calculos\1\"/>
    </mc:Choice>
  </mc:AlternateContent>
  <xr:revisionPtr revIDLastSave="0" documentId="13_ncr:1_{F541B87A-2C59-4763-8EED-F134F369C303}" xr6:coauthVersionLast="47" xr6:coauthVersionMax="47" xr10:uidLastSave="{00000000-0000-0000-0000-000000000000}"/>
  <bookViews>
    <workbookView xWindow="-27645" yWindow="450" windowWidth="22500" windowHeight="1458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0" l="1"/>
  <c r="G25" i="10" l="1"/>
  <c r="G20" i="10" l="1"/>
  <c r="G21" i="10"/>
  <c r="G19" i="10"/>
  <c r="I14" i="10"/>
  <c r="I15" i="10"/>
  <c r="I16" i="10"/>
  <c r="I17" i="10"/>
  <c r="I18" i="10"/>
  <c r="I19" i="10"/>
  <c r="I20" i="10"/>
  <c r="I21" i="10"/>
  <c r="I29" i="10"/>
  <c r="I30" i="10"/>
  <c r="I13" i="10"/>
  <c r="G17" i="10"/>
  <c r="F30" i="10"/>
  <c r="C30" i="10"/>
  <c r="F29" i="10"/>
  <c r="C29" i="10"/>
  <c r="F28" i="10"/>
  <c r="I28" i="10" s="1"/>
  <c r="C28" i="10"/>
  <c r="F27" i="10"/>
  <c r="I27" i="10" s="1"/>
  <c r="C27" i="10"/>
  <c r="F26" i="10"/>
  <c r="I26" i="10" s="1"/>
  <c r="C26" i="10"/>
  <c r="F25" i="10"/>
  <c r="I25" i="10" s="1"/>
  <c r="C25" i="10"/>
  <c r="F24" i="10"/>
  <c r="I24" i="10" s="1"/>
  <c r="C24" i="10"/>
  <c r="F23" i="10"/>
  <c r="I23" i="10" s="1"/>
  <c r="C23" i="10"/>
  <c r="F22" i="10"/>
  <c r="I22" i="10" s="1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22" i="10"/>
  <c r="G23" i="10"/>
  <c r="G24" i="10"/>
  <c r="G26" i="10"/>
  <c r="G27" i="10"/>
  <c r="G28" i="10"/>
  <c r="G29" i="10"/>
  <c r="G30" i="10"/>
  <c r="G13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F4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<sst xmlns="http://schemas.openxmlformats.org/spreadsheetml/2006/main" count="5410" uniqueCount="1456">
  <si>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</si>
  <si>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</si>
  <si>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</si>
  <si>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</si>
  <si>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</si>
  <si>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</si>
  <si>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</si>
  <si>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</si>
  <si>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</si>
  <si>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</si>
  <si>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</si>
  <si>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</si>
  <si>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</si>
  <si>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</si>
  <si>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</si>
  <si>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</si>
  <si>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</si>
  <si>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</si>
  <si>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</si>
  <si>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</si>
  <si>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</si>
  <si>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</si>
  <si>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</si>
  <si>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</si>
  <si>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</si>
  <si>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</si>
  <si>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</si>
  <si>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</si>
  <si>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</si>
  <si>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</si>
  <si>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</si>
  <si>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</si>
  <si>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</si>
  <si>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</si>
  <si>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</si>
  <si>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</si>
  <si>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</si>
  <si>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</si>
  <si>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</si>
  <si>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</si>
  <si>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</si>
  <si>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</si>
  <si>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</si>
  <si>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</si>
  <si>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</si>
  <si>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</si>
  <si>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</si>
  <si>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</si>
  <si>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</si>
  <si>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</si>
  <si>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</si>
  <si>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</si>
  <si>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</si>
  <si>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</si>
  <si>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</si>
  <si>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</si>
  <si>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</si>
  <si>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</si>
  <si>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</si>
  <si>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</si>
  <si>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</si>
  <si>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</si>
  <si>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</si>
  <si>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</si>
  <si>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</si>
  <si>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</si>
  <si>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</si>
  <si>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</si>
  <si>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</si>
  <si>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</si>
  <si>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</si>
  <si>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</si>
  <si>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</si>
  <si>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</si>
  <si>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</si>
  <si>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</si>
  <si>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</si>
  <si>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</si>
  <si>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</si>
  <si>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</si>
  <si>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</si>
  <si>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</si>
  <si>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</si>
  <si>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</si>
  <si>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</si>
  <si>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</si>
  <si>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</si>
  <si>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</si>
  <si>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</si>
  <si>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</si>
  <si>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</si>
  <si>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</si>
  <si>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</si>
  <si>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</si>
  <si>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</si>
  <si>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</si>
  <si>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</si>
  <si>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</si>
  <si>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</si>
  <si>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</si>
  <si>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</si>
  <si>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</si>
  <si>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</si>
  <si>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</si>
  <si>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</si>
  <si>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</si>
  <si>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</si>
  <si>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</si>
  <si>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</si>
  <si>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</si>
  <si>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</si>
  <si>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</si>
  <si>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</si>
  <si>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</si>
  <si>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</si>
  <si>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</si>
  <si>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</si>
  <si>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</si>
  <si>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</si>
  <si>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</si>
  <si>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</si>
  <si>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</si>
  <si>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</si>
  <si>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</si>
  <si>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</si>
  <si>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</si>
  <si>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</si>
  <si>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</si>
  <si>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</si>
  <si>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</si>
  <si>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</si>
  <si>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</si>
  <si>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</si>
  <si>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</si>
  <si>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</si>
  <si>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</si>
  <si>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</si>
  <si>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</si>
  <si>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</si>
  <si>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</si>
  <si>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</si>
  <si>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</si>
  <si>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</si>
  <si>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</si>
  <si>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</si>
  <si>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</si>
  <si>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</si>
  <si>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</si>
  <si>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</si>
  <si>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</si>
  <si>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</si>
  <si>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</si>
  <si>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</si>
  <si>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</si>
  <si>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</si>
  <si>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</si>
  <si>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</si>
  <si>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</si>
  <si>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</si>
  <si>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</si>
  <si>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</si>
  <si>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</si>
  <si>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</si>
  <si>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</si>
  <si>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</si>
  <si>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</si>
  <si>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</si>
  <si>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</si>
  <si>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</si>
  <si>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</si>
  <si>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</si>
  <si>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</si>
  <si>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</si>
  <si>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</si>
  <si>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</si>
  <si>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</si>
  <si>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</si>
  <si>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</si>
  <si>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</si>
  <si>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</si>
  <si>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</si>
  <si>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</si>
  <si>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</si>
  <si>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</si>
  <si>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</si>
  <si>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</si>
  <si>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</si>
  <si>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</si>
  <si>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</si>
  <si>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</si>
  <si>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</si>
  <si>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</si>
  <si>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</si>
  <si>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</si>
  <si>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</si>
  <si>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</si>
  <si>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</si>
  <si>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</si>
  <si>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</si>
  <si>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</si>
  <si>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</si>
  <si>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</si>
  <si>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</si>
  <si>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</si>
  <si>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</si>
  <si>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</si>
  <si>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</si>
  <si>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</si>
  <si>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</si>
  <si>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</si>
  <si>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</si>
  <si>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</si>
  <si>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</si>
  <si>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</si>
  <si>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</si>
  <si>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</si>
  <si>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</si>
  <si>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</si>
  <si>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</si>
  <si>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</si>
  <si>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</si>
  <si>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</si>
  <si>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</si>
  <si>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</si>
  <si>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</si>
  <si>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</si>
  <si>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</si>
  <si>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</si>
  <si>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</si>
  <si>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</si>
  <si>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</si>
  <si>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</si>
  <si>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</si>
  <si>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</si>
  <si>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</si>
  <si>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</si>
  <si>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</si>
  <si>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</si>
  <si>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</si>
  <si>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</si>
  <si>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</si>
  <si>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</si>
  <si>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</si>
  <si>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</si>
  <si>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</si>
  <si>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</si>
  <si>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</si>
  <si>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</si>
  <si>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</si>
  <si>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</si>
  <si>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</si>
  <si>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</si>
  <si>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</si>
  <si>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</si>
  <si>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</si>
  <si>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</si>
  <si>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</si>
  <si>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</si>
  <si>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</si>
  <si>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</si>
  <si>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</si>
  <si>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</si>
  <si>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</si>
  <si>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</si>
  <si>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</si>
  <si>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</si>
  <si>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</si>
  <si>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</si>
  <si>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</si>
  <si>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</si>
  <si>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</si>
  <si>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</si>
  <si>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</si>
  <si>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</si>
  <si>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</si>
  <si>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</si>
  <si>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</si>
  <si>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</si>
  <si>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</si>
  <si>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</si>
  <si>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</si>
  <si>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</si>
  <si>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</si>
  <si>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</si>
  <si>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</si>
  <si>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</si>
  <si>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</si>
  <si>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</si>
  <si>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</si>
  <si>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</si>
  <si>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</si>
  <si>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</si>
  <si>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</si>
  <si>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</si>
  <si>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</si>
  <si>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</si>
  <si>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</si>
  <si>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</si>
  <si>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</si>
  <si>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</si>
  <si>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</si>
  <si>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</si>
  <si>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</si>
  <si>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</si>
  <si>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</si>
  <si>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</si>
  <si>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</si>
  <si>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</si>
  <si>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</si>
  <si>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</si>
  <si>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</si>
  <si>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</si>
  <si>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</si>
  <si>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</si>
  <si>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</si>
  <si>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</si>
  <si>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</si>
  <si>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</si>
  <si>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</si>
  <si>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</si>
  <si>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</si>
  <si>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</si>
  <si>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</si>
  <si>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</si>
  <si>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</si>
  <si>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</si>
  <si>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</si>
  <si>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</si>
  <si>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</si>
  <si>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</si>
  <si>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</si>
  <si>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</si>
  <si>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</si>
  <si>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</si>
  <si>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</si>
  <si>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</si>
  <si>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</si>
  <si>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</si>
  <si>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</si>
  <si>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</si>
  <si>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</si>
  <si>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</si>
  <si>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</si>
  <si>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</si>
  <si>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</si>
  <si>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</si>
  <si>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</si>
  <si>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</si>
  <si>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</si>
  <si>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</si>
  <si>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</si>
  <si>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</si>
  <si>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</si>
  <si>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</si>
  <si>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</si>
  <si>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</si>
  <si>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</si>
  <si>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</si>
  <si>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</si>
  <si>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</si>
  <si>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</si>
  <si>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</si>
  <si>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</si>
  <si>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</si>
  <si>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</si>
  <si>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</si>
  <si>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</si>
  <si>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</si>
  <si>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</si>
  <si>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</si>
  <si>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</si>
  <si>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</si>
  <si>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</si>
  <si>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</si>
  <si>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</si>
  <si>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</si>
  <si>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</si>
  <si>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</si>
  <si>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</si>
  <si>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</si>
  <si>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</si>
  <si>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</si>
  <si>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</si>
  <si>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</si>
  <si>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</si>
  <si>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</si>
  <si>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</si>
  <si>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</si>
  <si>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</si>
  <si>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</si>
  <si>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</si>
  <si>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</si>
  <si>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</si>
  <si>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</si>
  <si>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</si>
  <si>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</si>
  <si>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</si>
  <si>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</si>
  <si>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</si>
  <si>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</si>
  <si>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</si>
  <si>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</si>
  <si>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</si>
  <si>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</si>
  <si>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</si>
  <si>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</si>
  <si>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</si>
  <si>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</si>
  <si>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</si>
  <si>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</si>
  <si>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</si>
  <si>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</si>
  <si>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</si>
  <si>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</si>
  <si>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</si>
  <si>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</si>
  <si>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</si>
  <si>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</si>
  <si>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</si>
  <si>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</si>
  <si>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</si>
  <si>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</si>
  <si>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</si>
  <si>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</si>
  <si>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</si>
  <si>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</si>
  <si>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</si>
  <si>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</si>
  <si>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</si>
  <si>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</si>
  <si>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</si>
  <si>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</si>
  <si>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</si>
  <si>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</si>
  <si>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</si>
  <si>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</si>
  <si>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</si>
  <si>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</si>
  <si>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</si>
  <si>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</si>
  <si>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</si>
  <si>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</si>
  <si>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</si>
  <si>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</si>
  <si>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</si>
  <si>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</si>
  <si>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</si>
  <si>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</si>
  <si>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</si>
  <si>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</si>
  <si>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</si>
  <si>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</si>
  <si>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</si>
  <si>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</si>
  <si>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</si>
  <si>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</si>
  <si>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</si>
  <si>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</si>
  <si>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</si>
  <si>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</si>
  <si>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</si>
  <si>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</si>
  <si>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</si>
  <si>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</si>
  <si>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</si>
  <si>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</si>
  <si>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</si>
  <si>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</si>
  <si>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</si>
  <si>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</si>
  <si>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</si>
  <si>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</si>
  <si>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</si>
  <si>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</si>
  <si>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</si>
  <si>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</si>
  <si>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</si>
  <si>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</si>
  <si>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</si>
  <si>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</si>
  <si>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</si>
  <si>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</si>
  <si>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</si>
  <si>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</si>
  <si>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</si>
  <si>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</si>
  <si>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</si>
  <si>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</si>
  <si>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</si>
  <si>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</si>
  <si>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</si>
  <si>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</si>
  <si>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</si>
  <si>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</si>
  <si>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</si>
  <si>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</si>
  <si>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</si>
  <si>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</si>
  <si>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</si>
  <si>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</si>
  <si>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</si>
  <si>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</si>
  <si>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</si>
  <si>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</si>
  <si>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</si>
  <si>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</si>
  <si>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</si>
  <si>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</si>
  <si>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</si>
  <si>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</si>
  <si>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</si>
  <si>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</si>
  <si>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</si>
  <si>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</si>
  <si>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</si>
  <si>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</si>
  <si>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</si>
  <si>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</si>
  <si>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</si>
  <si>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</si>
  <si>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</si>
  <si>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</si>
  <si>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</si>
  <si>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</si>
  <si>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</si>
  <si>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</si>
  <si>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</si>
  <si>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</si>
  <si>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</si>
  <si>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</si>
  <si>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</si>
  <si>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</si>
  <si>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</si>
  <si>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</si>
  <si>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</si>
  <si>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</si>
  <si>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</si>
  <si>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</si>
  <si>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</si>
  <si>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</si>
  <si>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</si>
  <si>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</si>
  <si>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</si>
  <si>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</si>
  <si>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</si>
  <si>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</si>
  <si>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</si>
  <si>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</si>
  <si>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</si>
  <si>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</si>
  <si>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</si>
  <si>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</si>
  <si>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</si>
  <si>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</si>
  <si>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</si>
  <si>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</si>
  <si>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</si>
  <si>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</si>
  <si>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</si>
  <si>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</si>
  <si>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</si>
  <si>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</si>
  <si>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</si>
  <si>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</si>
  <si>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</si>
  <si>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</si>
  <si>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</si>
  <si>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</si>
  <si>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</si>
  <si>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</si>
  <si>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</si>
  <si>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</si>
  <si>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</si>
  <si>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</si>
  <si>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</si>
  <si>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</si>
  <si>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</si>
  <si>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</si>
  <si>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</si>
  <si>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</si>
  <si>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</si>
  <si>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</si>
  <si>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</si>
  <si>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</si>
  <si>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</si>
  <si>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</si>
  <si>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</si>
  <si>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</si>
  <si>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</si>
  <si>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</si>
  <si>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</si>
  <si>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</si>
  <si>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</si>
  <si>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</si>
  <si>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</si>
  <si>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</si>
  <si>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</si>
  <si>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</si>
  <si>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</si>
  <si>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</si>
  <si>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</si>
  <si>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</si>
  <si>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</si>
  <si>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</si>
  <si>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</si>
  <si>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</si>
  <si>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</si>
  <si>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</si>
  <si>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</si>
  <si>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</si>
  <si>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</si>
  <si>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</si>
  <si>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</si>
  <si>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</si>
  <si>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</si>
  <si>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</si>
  <si>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</si>
  <si>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</si>
  <si>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</si>
  <si>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</si>
  <si>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</si>
  <si>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</si>
  <si>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</si>
  <si>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</si>
  <si>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</si>
  <si>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</si>
  <si>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</si>
  <si>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</si>
  <si>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</si>
  <si>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</si>
  <si>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</si>
  <si>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</si>
  <si>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</si>
  <si>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</si>
  <si>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</si>
  <si>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</si>
  <si>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</si>
  <si>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</si>
  <si>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</si>
  <si>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</si>
  <si>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</si>
  <si>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</si>
  <si>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</si>
  <si>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</si>
  <si>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</si>
  <si>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</si>
  <si>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</si>
  <si>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</si>
  <si>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</si>
  <si>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</si>
  <si>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</si>
  <si>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</si>
  <si>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</si>
  <si>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</si>
  <si>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</si>
  <si>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</si>
  <si>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</si>
  <si>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</si>
  <si>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</si>
  <si>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</si>
  <si>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</si>
  <si>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</si>
  <si>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</si>
  <si>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</si>
  <si>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</si>
  <si>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</si>
  <si>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</si>
  <si>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</si>
  <si>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</si>
  <si>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</si>
  <si>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</si>
  <si>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</si>
  <si>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</si>
  <si>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</si>
  <si>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</si>
  <si>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</si>
  <si>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</si>
  <si>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</si>
  <si>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</si>
  <si>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</si>
  <si>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</si>
  <si>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</si>
  <si>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</si>
  <si>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</si>
  <si>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</si>
  <si>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</si>
  <si>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</si>
  <si>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</si>
  <si>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</si>
  <si>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</si>
  <si>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</si>
  <si>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</si>
  <si>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</si>
  <si>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</si>
  <si>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</si>
  <si>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</si>
  <si>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</si>
  <si>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</si>
  <si>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</si>
  <si>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</si>
  <si>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</si>
  <si>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</si>
  <si>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</si>
  <si>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</si>
  <si>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</si>
  <si>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</si>
  <si>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</si>
  <si>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</si>
  <si>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</si>
  <si>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</si>
  <si>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</si>
  <si>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</si>
  <si>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</si>
  <si>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</si>
  <si>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</si>
  <si>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</si>
  <si>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</si>
  <si>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</si>
  <si>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</si>
  <si>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</si>
  <si>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</si>
  <si>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</si>
  <si>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</si>
  <si>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</si>
  <si>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</si>
  <si>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</si>
  <si>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</si>
  <si>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</si>
  <si>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</si>
  <si>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</si>
  <si>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</si>
  <si>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</si>
  <si>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</si>
  <si>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</si>
  <si>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</si>
  <si>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</si>
  <si>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</si>
  <si>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</si>
  <si>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</si>
  <si>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</si>
  <si>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</si>
  <si>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</si>
  <si>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</si>
  <si>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</si>
  <si>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</si>
  <si>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</si>
  <si>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</si>
  <si>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</si>
  <si>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</si>
  <si>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</si>
  <si>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</si>
  <si>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</si>
  <si>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</si>
  <si>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</si>
  <si>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</si>
  <si>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</si>
  <si>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</si>
  <si>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</si>
  <si>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</si>
  <si>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</si>
  <si>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</si>
  <si>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</si>
  <si>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</si>
  <si>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</si>
  <si>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</si>
  <si>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</si>
  <si>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</si>
  <si>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</si>
  <si>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</si>
  <si>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</si>
  <si>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</si>
  <si>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</si>
  <si>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</si>
  <si>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</si>
  <si>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</si>
  <si>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</si>
  <si>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</si>
  <si>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</si>
  <si>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</si>
  <si>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</si>
  <si>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</si>
  <si>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</si>
  <si>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</si>
  <si>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</si>
  <si>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</si>
  <si>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</si>
  <si>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</si>
  <si>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</si>
  <si>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</si>
  <si>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</si>
  <si>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</si>
  <si>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</si>
  <si>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</si>
  <si>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</si>
  <si>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</si>
  <si>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</si>
  <si>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</si>
  <si>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</si>
  <si>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</si>
  <si>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</si>
  <si>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</si>
  <si>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</si>
  <si>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</si>
  <si>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</si>
  <si>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</si>
  <si>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</si>
  <si>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</si>
  <si>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</si>
  <si>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</si>
  <si>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</si>
  <si>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</si>
  <si>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</si>
  <si>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</si>
  <si>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</si>
  <si>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</si>
  <si>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</si>
  <si>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</si>
  <si>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</si>
  <si>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</si>
  <si>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</si>
  <si>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</si>
  <si>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</si>
  <si>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</si>
  <si>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</si>
  <si>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</si>
  <si>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</si>
  <si>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</si>
  <si>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</si>
  <si>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</si>
  <si>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</si>
  <si>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</si>
  <si>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</si>
  <si>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</si>
  <si>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</si>
  <si>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</si>
  <si>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</si>
  <si>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</si>
  <si>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</si>
  <si>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</si>
  <si>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</si>
  <si>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</si>
  <si>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</si>
  <si>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</si>
  <si>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</si>
  <si>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</si>
  <si>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</si>
  <si>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</si>
  <si>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</si>
  <si>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</si>
  <si>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</si>
  <si>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</si>
  <si>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</si>
  <si>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</si>
  <si>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</si>
  <si>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</si>
  <si>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</si>
  <si>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</si>
  <si>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</si>
  <si>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</si>
  <si>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</si>
  <si>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</si>
  <si>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</si>
  <si>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</si>
  <si>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</si>
  <si>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</si>
  <si>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</si>
  <si>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</si>
  <si>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</si>
  <si>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</si>
  <si>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</si>
  <si>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</si>
  <si>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</si>
  <si>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</si>
  <si>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</si>
  <si>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</si>
  <si>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</si>
  <si>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</si>
  <si>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</si>
  <si>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</si>
  <si>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</si>
  <si>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</si>
  <si>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</si>
  <si>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</si>
  <si>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</si>
  <si>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</si>
  <si>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</si>
  <si>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</si>
  <si>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</si>
  <si>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</si>
  <si>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</si>
  <si>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</si>
  <si>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</si>
  <si>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</si>
  <si>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</si>
  <si>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</si>
  <si>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</si>
  <si>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</si>
  <si>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</si>
  <si>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</si>
  <si>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</si>
  <si>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</si>
  <si>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</si>
  <si>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</si>
  <si>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</si>
  <si>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</si>
  <si>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</si>
  <si>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</si>
  <si>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</si>
  <si>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</si>
  <si>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</si>
  <si>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</si>
  <si>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</si>
  <si>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</si>
  <si>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</si>
  <si>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</si>
  <si>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</si>
  <si>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</si>
  <si>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</si>
  <si>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</si>
  <si>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</si>
  <si>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</si>
  <si>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</si>
  <si>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</si>
  <si>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</si>
  <si>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</si>
  <si>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</si>
  <si>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</si>
  <si>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</si>
  <si>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</si>
  <si>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</si>
  <si>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</si>
  <si>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</si>
  <si>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</si>
  <si>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</si>
  <si>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</si>
  <si>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</si>
  <si>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</si>
  <si>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</si>
  <si>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</si>
  <si>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</si>
  <si>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</si>
  <si>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</si>
  <si>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</si>
  <si>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</si>
  <si>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</si>
  <si>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</si>
  <si>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</si>
  <si>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</si>
  <si>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</si>
  <si>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</si>
  <si>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</si>
  <si>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</si>
  <si>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</si>
  <si>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</si>
  <si>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</si>
  <si>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</si>
  <si>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</si>
  <si>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</si>
  <si>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</si>
  <si>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</si>
  <si>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</si>
  <si>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</si>
  <si>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</si>
  <si>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</si>
  <si>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</si>
  <si>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</si>
  <si>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</si>
  <si>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</si>
  <si>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</si>
  <si>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</si>
  <si>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</si>
  <si>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</si>
  <si>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</si>
  <si>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</si>
  <si>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</si>
  <si>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</si>
  <si>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</si>
  <si>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</si>
  <si>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</si>
  <si>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</si>
  <si>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</si>
  <si>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</si>
  <si>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</si>
  <si>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</si>
  <si>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</si>
  <si>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</si>
  <si>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</si>
  <si>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</si>
  <si>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</si>
  <si>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</si>
  <si>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</si>
  <si>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</si>
  <si>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</si>
  <si>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</si>
  <si>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</si>
  <si>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</si>
  <si>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</si>
  <si>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</si>
  <si>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</si>
  <si>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</si>
  <si>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</si>
  <si>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</si>
  <si>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</si>
  <si>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</si>
  <si>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</si>
  <si>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</si>
  <si>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</si>
  <si>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</si>
  <si>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</si>
  <si>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</si>
  <si>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</si>
  <si>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</si>
  <si>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</si>
  <si>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</si>
  <si>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</si>
  <si>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</si>
  <si>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</si>
  <si>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</si>
  <si>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</si>
  <si>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</si>
  <si>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</si>
  <si>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</si>
  <si>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</si>
  <si>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</si>
  <si>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</si>
  <si>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</si>
  <si>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</si>
  <si>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</si>
  <si>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</si>
  <si>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</si>
  <si>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</si>
  <si>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</si>
  <si>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</si>
  <si>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</si>
  <si>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</si>
  <si>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</si>
  <si>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</si>
  <si>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</si>
  <si>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</si>
  <si>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</si>
  <si>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</si>
  <si>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</si>
  <si>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</si>
  <si>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</si>
  <si>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</si>
  <si>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</si>
  <si>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</si>
  <si>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</si>
  <si>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</si>
  <si>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</si>
  <si>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</si>
  <si>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</si>
  <si>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</si>
  <si>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</si>
  <si>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</si>
  <si>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</si>
  <si>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</si>
  <si>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</si>
  <si>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</si>
  <si>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</si>
  <si>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</si>
  <si>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</si>
  <si>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</si>
  <si>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</si>
  <si>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</si>
  <si>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</si>
  <si>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</si>
  <si>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</si>
  <si>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</si>
  <si>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</si>
  <si>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</si>
  <si>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</si>
  <si>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</si>
  <si>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</si>
  <si>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</si>
  <si>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</si>
  <si>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</si>
  <si>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</si>
  <si>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</si>
  <si>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</si>
  <si>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</si>
  <si>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</si>
  <si>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</si>
  <si>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</si>
  <si>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</si>
  <si>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</si>
  <si>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</si>
  <si>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</si>
  <si>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</si>
  <si>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</si>
  <si>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</si>
  <si>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</si>
  <si>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</si>
  <si>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</si>
  <si>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</si>
  <si>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</si>
  <si>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</si>
  <si>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</si>
  <si>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</si>
  <si>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</si>
  <si>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</si>
  <si>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</si>
  <si>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</si>
  <si>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</si>
  <si>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</si>
  <si>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</si>
  <si>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</si>
  <si>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</si>
  <si>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</si>
  <si>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</si>
  <si>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</si>
  <si>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</si>
  <si>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</si>
  <si>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</si>
  <si>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</si>
  <si>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</si>
  <si>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</si>
  <si>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</si>
  <si>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</si>
  <si>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</si>
  <si>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</si>
  <si>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</si>
  <si>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</si>
  <si>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</si>
  <si>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</si>
  <si>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</si>
  <si>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</si>
  <si>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</si>
  <si>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</si>
  <si>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</si>
  <si>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</si>
  <si>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</si>
  <si>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</si>
  <si>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</si>
  <si>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</si>
  <si>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</si>
  <si>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</si>
  <si>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</si>
  <si>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</si>
  <si>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</si>
  <si>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</si>
  <si>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</si>
  <si>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</si>
  <si>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</si>
  <si>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</si>
  <si>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</si>
  <si>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</si>
  <si>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</si>
  <si>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</si>
  <si>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</si>
  <si>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</si>
  <si>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</si>
  <si>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</si>
  <si>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</si>
  <si>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</si>
  <si>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</si>
  <si>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</si>
  <si>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</si>
  <si>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</si>
  <si>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</si>
  <si>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</si>
  <si>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</si>
  <si>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</si>
  <si>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</si>
  <si>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</si>
  <si>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</si>
  <si>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</si>
  <si>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</si>
  <si>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</si>
  <si>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</si>
  <si>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</si>
  <si>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</si>
  <si>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</si>
  <si>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</si>
  <si>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</si>
  <si>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</si>
  <si>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</si>
  <si>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</si>
  <si>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</si>
  <si>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</si>
  <si>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</si>
  <si>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</si>
  <si>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</si>
  <si>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</si>
  <si>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</si>
  <si>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</si>
  <si>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</si>
  <si>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</si>
  <si>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</si>
  <si>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</si>
  <si>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</si>
  <si>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</si>
  <si>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</si>
  <si>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</si>
  <si>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</si>
  <si>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</si>
  <si>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</si>
  <si>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</si>
  <si>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</si>
  <si>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</si>
  <si>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</si>
  <si>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</si>
  <si>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</si>
  <si>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</si>
  <si>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</si>
  <si>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</si>
  <si>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</si>
  <si>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</si>
  <si>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</si>
  <si>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</si>
  <si>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</si>
  <si>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</si>
  <si>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</si>
  <si>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</si>
  <si>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</si>
  <si>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</si>
  <si>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</si>
  <si>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</si>
  <si>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</si>
  <si>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</si>
  <si>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</si>
  <si>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</si>
  <si>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</si>
  <si>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</si>
  <si>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</si>
  <si>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</si>
  <si>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</si>
  <si>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</si>
  <si>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</si>
  <si>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</si>
  <si>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</si>
  <si>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</si>
  <si>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</si>
  <si>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</si>
  <si>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</si>
  <si>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</si>
  <si>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</si>
  <si>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</si>
  <si>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</si>
  <si>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</si>
  <si>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</si>
  <si>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</si>
  <si>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</si>
  <si>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</si>
  <si>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</si>
  <si>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</si>
  <si>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</si>
  <si>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</si>
  <si>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</si>
  <si>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</si>
  <si>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</si>
  <si>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</si>
  <si>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</si>
  <si>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</si>
  <si>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</si>
  <si>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</si>
  <si>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</si>
  <si>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</si>
  <si>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</si>
  <si>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</si>
  <si>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</si>
  <si>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</si>
  <si>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</si>
  <si>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</si>
  <si>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</si>
  <si>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</si>
  <si>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</si>
  <si>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</si>
  <si>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</si>
  <si>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</si>
  <si>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</si>
  <si>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</si>
  <si>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</si>
  <si>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</si>
  <si>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</si>
  <si>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</si>
  <si>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</si>
  <si>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</si>
  <si>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</si>
  <si>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</si>
  <si>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</si>
  <si>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</si>
  <si>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</si>
  <si>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</si>
  <si>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</si>
  <si>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</si>
  <si>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</si>
  <si>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</si>
  <si>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</si>
  <si>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</si>
  <si>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</si>
  <si>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</si>
  <si>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</si>
  <si>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</si>
  <si>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</si>
  <si>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</si>
  <si>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</si>
  <si>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</si>
  <si>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</si>
  <si>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</si>
  <si>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</si>
  <si>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</si>
  <si>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</si>
  <si>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</si>
  <si>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</si>
  <si>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</si>
  <si>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</si>
  <si>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</si>
  <si>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</si>
  <si>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</si>
  <si>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</si>
  <si>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</si>
  <si>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</si>
  <si>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</si>
  <si>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</si>
  <si>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</si>
  <si>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</si>
  <si>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</si>
  <si>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</si>
  <si>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</si>
  <si>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</si>
  <si>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</si>
  <si>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</si>
  <si>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</si>
  <si>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</si>
  <si>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</si>
  <si>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</si>
  <si>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</si>
  <si>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</si>
  <si>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</si>
  <si>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</si>
  <si>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</si>
  <si>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</si>
  <si>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</si>
  <si>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</si>
  <si>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</si>
  <si>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</si>
  <si>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</si>
  <si>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</si>
  <si>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</si>
  <si>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</si>
  <si>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</si>
  <si>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</si>
  <si>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</si>
  <si>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</si>
  <si>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</si>
  <si>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</si>
  <si>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</si>
  <si>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</si>
  <si>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</si>
  <si>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</si>
  <si>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</si>
  <si>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</si>
  <si>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</si>
  <si>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</si>
  <si>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</si>
  <si>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</si>
  <si>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</si>
  <si>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</si>
  <si>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</si>
  <si>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</si>
  <si>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</si>
  <si>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</si>
  <si>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</si>
  <si>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</si>
  <si>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</si>
  <si>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</si>
  <si>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</si>
  <si>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</si>
  <si>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</si>
  <si>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</si>
  <si>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</si>
  <si>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</si>
  <si>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</si>
  <si>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</si>
  <si>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</si>
  <si>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</si>
  <si>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</si>
  <si>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</si>
  <si>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</si>
  <si>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</si>
  <si>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</si>
  <si>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</si>
  <si>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</si>
  <si>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</si>
  <si>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</si>
  <si>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</si>
  <si>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</si>
  <si>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</si>
  <si>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</si>
  <si>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</si>
  <si>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</si>
  <si>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</si>
  <si>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</si>
  <si>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</si>
  <si>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</si>
  <si>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</si>
  <si>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</si>
  <si>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</si>
  <si>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</si>
  <si>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</si>
  <si>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</si>
  <si>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</si>
  <si>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</si>
  <si>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</si>
  <si>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</si>
  <si>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</si>
  <si>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</si>
  <si>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</si>
  <si>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</si>
  <si>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</si>
  <si>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</si>
  <si>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</si>
  <si>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</si>
  <si>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</si>
  <si>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</si>
  <si>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</si>
  <si>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</si>
  <si>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</si>
  <si>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</si>
  <si>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</si>
  <si>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</si>
  <si>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</si>
  <si>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</si>
  <si>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</si>
  <si>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</si>
  <si>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</si>
  <si>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</si>
  <si>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</si>
  <si>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</si>
  <si>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</si>
  <si>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</si>
  <si>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</si>
  <si>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</si>
  <si>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</si>
  <si>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</si>
  <si>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</si>
  <si>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</si>
  <si>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</si>
  <si>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</si>
  <si>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</si>
  <si>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</si>
  <si>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</si>
  <si>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</si>
  <si>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</si>
  <si>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</si>
  <si>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</si>
  <si>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Melchor Mañó</t>
  </si>
  <si>
    <t>Corredera 2H2F RAL 7016</t>
  </si>
  <si>
    <t>RAL 7016</t>
  </si>
  <si>
    <t>2900x2500 mm</t>
  </si>
  <si>
    <t>35013 + 35011, Empotrada desmontable, 2 carriles.</t>
  </si>
  <si>
    <t>35040GD - 60 Kgrs.</t>
  </si>
  <si>
    <t>35037 - 60 Kgrs.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</si>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</sst>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 tint="-0.249977111117893"/>
      <name val="Calibri"/>
      <family val="2"/>
    </font>
    <font>
      <sz val="11"/>
      <color theme="5" tint="-0.24997711111789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9" fontId="0" fillId="0" borderId="0" xfId="0" applyNumberForma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466725</xdr:colOff>
      <xdr:row>14</xdr:row>
      <xdr:rowOff>19050</xdr:rowOff>
    </xdr:from>
    <xdr:to>
      <xdr:col>6</xdr:col>
      <xdr:colOff>25005</xdr:colOff>
      <xdr:row>25</xdr:row>
      <xdr:rowOff>83550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37792E-7E37-A6C4-AABB-F5B20FB4E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5" y="2838450"/>
          <a:ext cx="3253980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85" workbookViewId="0">
      <selection activeCell="G28" sqref="G13:G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0"/>
      <c r="G3" s="80"/>
      <c r="H3" s="81"/>
      <c r="I3" s="81"/>
      <c r="J3" s="81"/>
      <c r="K3" s="81"/>
      <c r="L3" s="81"/>
    </row>
    <row r="5" spans="1:12" ht="18.75" x14ac:dyDescent="0.25">
      <c r="B5" s="82" t="s">
        <v>2</v>
      </c>
      <c r="C5" s="82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20250064</v>
      </c>
      <c r="G7" s="8">
        <f ca="1">TODAY()</f>
        <v>45740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1038</v>
      </c>
      <c r="C13" s="83" t="str">
        <f>IFERROR(VLOOKUP($B13,Tarifa_all_20240711!$A$2:$G$660,2,FALSE()),"-")</f>
        <v>CASC.DOBLE GUIA DESM.LAC.3 ESP.1-3 MTS</v>
      </c>
      <c r="D13" s="83"/>
      <c r="E13" s="17">
        <v>1</v>
      </c>
      <c r="F13" s="18">
        <f>IFERROR(VLOOKUP($B13,Tarifa_all_20240711!$A$2:$G$660,5,FALSE()),"-")</f>
        <v>185.27250000000001</v>
      </c>
      <c r="G13" s="18">
        <f t="shared" ref="G13:G30" si="0">IFERROR(E13*F13,"-")</f>
        <v>185.27250000000001</v>
      </c>
      <c r="H13" s="1"/>
      <c r="I13" s="18">
        <f>IFERROR(E13*F13,"-")</f>
        <v>185.27250000000001</v>
      </c>
    </row>
    <row r="14" spans="1:12" x14ac:dyDescent="0.25">
      <c r="A14" t="s">
        <v>15</v>
      </c>
      <c r="B14" s="16" t="s">
        <v>958</v>
      </c>
      <c r="C14" s="83" t="str">
        <f>IFERROR(VLOOKUP($B14,Tarifa_all_20240711!$A$2:$G$660,2,FALSE()),"-")</f>
        <v>GUIA SKY PLUS DESMONT.LAC.3 ESP.1-3 MTS</v>
      </c>
      <c r="D14" s="83"/>
      <c r="E14" s="17">
        <v>2</v>
      </c>
      <c r="F14" s="18">
        <f>IFERROR(VLOOKUP($B14,Tarifa_all_20240711!$A$2:$G$660,5,FALSE()),"-")</f>
        <v>69.892499999999998</v>
      </c>
      <c r="G14" s="18">
        <f t="shared" si="0"/>
        <v>139.785</v>
      </c>
      <c r="H14" s="1"/>
      <c r="I14" s="18">
        <f t="shared" ref="I14:I30" si="1">IFERROR(E14*F14,"-")</f>
        <v>139.785</v>
      </c>
    </row>
    <row r="15" spans="1:12" x14ac:dyDescent="0.25">
      <c r="A15" t="s">
        <v>16</v>
      </c>
      <c r="B15" s="16" t="s">
        <v>293</v>
      </c>
      <c r="C15" s="83" t="str">
        <f>IFERROR(VLOOKUP($B15,Tarifa_all_20240711!$A$2:$G$660,2,FALSE()),"-")</f>
        <v>KIT ANCLAJE TECHO PARA GUIA PLADUR PLUS DEMONTABLE</v>
      </c>
      <c r="D15" s="83"/>
      <c r="E15" s="17">
        <v>7</v>
      </c>
      <c r="F15" s="18">
        <f>IFERROR(VLOOKUP($B15,Tarifa_all_20240711!$A$2:$G$660,5,FALSE()),"-")</f>
        <v>11.737500000000001</v>
      </c>
      <c r="G15" s="18">
        <f t="shared" si="0"/>
        <v>82.162500000000009</v>
      </c>
      <c r="H15" s="1"/>
      <c r="I15" s="18">
        <f t="shared" si="1"/>
        <v>82.162500000000009</v>
      </c>
    </row>
    <row r="16" spans="1:12" x14ac:dyDescent="0.25">
      <c r="A16" t="s">
        <v>17</v>
      </c>
      <c r="B16" s="16" t="s">
        <v>562</v>
      </c>
      <c r="C16" s="83" t="str">
        <f>IFERROR(VLOOKUP($B16,Tarifa_all_20240711!$A$2:$G$660,2,FALSE()),"-")</f>
        <v>KIT AMORTIGUADOR SKY GUIA DESMONT. BIDIRECCIONAL 60KG</v>
      </c>
      <c r="D16" s="83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  <c r="I16" s="18">
        <f t="shared" si="1"/>
        <v>61.199999999999996</v>
      </c>
    </row>
    <row r="17" spans="1:9" x14ac:dyDescent="0.25">
      <c r="A17" t="s">
        <v>18</v>
      </c>
      <c r="B17" s="76" t="s">
        <v>130</v>
      </c>
      <c r="C17" s="84" t="str">
        <f>IFERROR(VLOOKUP($B17,Tarifa_all_20240711!$A$2:$G$660,2,FALSE()),"-")</f>
        <v>KIT PUERTA PA CORREDERA LAC.NEGRO TEXTURADO</v>
      </c>
      <c r="D17" s="84"/>
      <c r="E17" s="77">
        <v>2</v>
      </c>
      <c r="F17" s="78">
        <f>IFERROR(VLOOKUP($B17,Tarifa_all_20240711!$A$2:$G$660,5,FALSE()),"-")</f>
        <v>215.65500000000003</v>
      </c>
      <c r="G17" s="78">
        <f>IFERROR(E17*F17,"-")*(1+H17)</f>
        <v>444.24930000000006</v>
      </c>
      <c r="H17" s="79">
        <v>0.03</v>
      </c>
      <c r="I17" s="78">
        <f t="shared" si="1"/>
        <v>431.31000000000006</v>
      </c>
    </row>
    <row r="18" spans="1:9" x14ac:dyDescent="0.25">
      <c r="A18" t="s">
        <v>19</v>
      </c>
      <c r="B18" s="16" t="s">
        <v>331</v>
      </c>
      <c r="C18" s="83" t="str">
        <f>IFERROR(VLOOKUP($B18,Tarifa_all_20240711!$A$2:$G$660,2,FALSE()),"-")</f>
        <v>CARRO SKY MADERA 60KG</v>
      </c>
      <c r="D18" s="83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  <c r="I18" s="18">
        <f t="shared" si="1"/>
        <v>33.269999999999996</v>
      </c>
    </row>
    <row r="19" spans="1:9" x14ac:dyDescent="0.25">
      <c r="A19" t="s">
        <v>20</v>
      </c>
      <c r="B19" s="76" t="s">
        <v>511</v>
      </c>
      <c r="C19" s="84" t="str">
        <f>IFERROR(VLOOKUP($B19,Tarifa_all_20240711!$A$2:$G$660,2,FALSE()),"-")</f>
        <v>TIRADOR RECT.ADH CAVE LAC.NEGRO TEXTURADO: 2 UDS</v>
      </c>
      <c r="D19" s="84"/>
      <c r="E19" s="77">
        <v>2</v>
      </c>
      <c r="F19" s="78">
        <f>IFERROR(VLOOKUP($B19,Tarifa_all_20240711!$A$2:$G$660,5,FALSE()),"-")</f>
        <v>59.122500000000002</v>
      </c>
      <c r="G19" s="78">
        <f>IFERROR(E19*F19,"-")*(1+H19)</f>
        <v>121.79235000000001</v>
      </c>
      <c r="H19" s="79">
        <v>0.03</v>
      </c>
      <c r="I19" s="78">
        <f t="shared" si="1"/>
        <v>118.245</v>
      </c>
    </row>
    <row r="20" spans="1:9" x14ac:dyDescent="0.25">
      <c r="A20" t="s">
        <v>21</v>
      </c>
      <c r="B20" s="76" t="s">
        <v>1132</v>
      </c>
      <c r="C20" s="84" t="str">
        <f>IFERROR(VLOOKUP($B20,Tarifa_all_20240711!$A$2:$G$660,2,FALSE()),"-")</f>
        <v>GUIADOR FIJO PA LAC.NEGRO TEXTURADO</v>
      </c>
      <c r="D20" s="84"/>
      <c r="E20" s="77">
        <v>2</v>
      </c>
      <c r="F20" s="78">
        <f>IFERROR(VLOOKUP($B20,Tarifa_all_20240711!$A$2:$G$660,5,FALSE()),"-")</f>
        <v>8.61</v>
      </c>
      <c r="G20" s="78">
        <f t="shared" ref="G20:G21" si="2">IFERROR(E20*F20,"-")*(1+H20)</f>
        <v>17.736599999999999</v>
      </c>
      <c r="H20" s="79">
        <v>0.03</v>
      </c>
      <c r="I20" s="78">
        <f t="shared" si="1"/>
        <v>17.22</v>
      </c>
    </row>
    <row r="21" spans="1:9" x14ac:dyDescent="0.25">
      <c r="A21" t="s">
        <v>22</v>
      </c>
      <c r="B21" s="76" t="s">
        <v>139</v>
      </c>
      <c r="C21" s="84" t="str">
        <f>IFERROR(VLOOKUP($B21,Tarifa_all_20240711!$A$2:$G$660,2,FALSE()),"-")</f>
        <v>PERFIL EMBELL.HORIZ. ADH LAC.NEGRO TEXTURADO</v>
      </c>
      <c r="D21" s="84"/>
      <c r="E21" s="77">
        <v>8</v>
      </c>
      <c r="F21" s="78">
        <f>IFERROR(VLOOKUP($B21,Tarifa_all_20240711!$A$2:$G$660,5,FALSE()),"-")</f>
        <v>21.794999999999998</v>
      </c>
      <c r="G21" s="78">
        <f t="shared" si="2"/>
        <v>179.5908</v>
      </c>
      <c r="H21" s="79">
        <v>0.03</v>
      </c>
      <c r="I21" s="78">
        <f t="shared" si="1"/>
        <v>174.35999999999999</v>
      </c>
    </row>
    <row r="22" spans="1:9" x14ac:dyDescent="0.25">
      <c r="B22" s="16" t="s">
        <v>1366</v>
      </c>
      <c r="C22" s="83" t="str">
        <f>IFERROR(VLOOKUP($B22,Tarifa_all_20240711!$A$2:$G$660,2,FALSE()),"-")</f>
        <v>MARCO FIJOS 35MM D-DECOR FIJO LAC.ESP.1 3 MTS</v>
      </c>
      <c r="D22" s="83"/>
      <c r="E22" s="17">
        <v>3</v>
      </c>
      <c r="F22" s="18">
        <f>IFERROR(VLOOKUP($B22,Tarifa_all_20240711!$A$2:$G$660,5,FALSE()),"-")</f>
        <v>29.9925</v>
      </c>
      <c r="G22" s="18">
        <f t="shared" si="0"/>
        <v>89.977499999999992</v>
      </c>
      <c r="H22" s="79"/>
      <c r="I22" s="18">
        <f t="shared" si="1"/>
        <v>89.977499999999992</v>
      </c>
    </row>
    <row r="23" spans="1:9" x14ac:dyDescent="0.25">
      <c r="B23" s="16" t="s">
        <v>1346</v>
      </c>
      <c r="C23" s="83" t="str">
        <f>IFERROR(VLOOKUP($B23,Tarifa_all_20240711!$A$2:$G$660,2,FALSE()),"-")</f>
        <v>ANCLAJE TAPA 35MM D-DECOR FIJO LAC.ESP.1 3 MTS</v>
      </c>
      <c r="D23" s="83"/>
      <c r="E23" s="17">
        <v>3</v>
      </c>
      <c r="F23" s="18">
        <f>IFERROR(VLOOKUP($B23,Tarifa_all_20240711!$A$2:$G$660,5,FALSE()),"-")</f>
        <v>14.580000000000002</v>
      </c>
      <c r="G23" s="18">
        <f t="shared" si="0"/>
        <v>43.740000000000009</v>
      </c>
      <c r="H23" s="79"/>
      <c r="I23" s="18">
        <f t="shared" si="1"/>
        <v>43.740000000000009</v>
      </c>
    </row>
    <row r="24" spans="1:9" x14ac:dyDescent="0.25">
      <c r="B24" s="16" t="s">
        <v>1381</v>
      </c>
      <c r="C24" s="83" t="str">
        <f>IFERROR(VLOOKUP($B24,Tarifa_all_20240711!$A$2:$G$660,2,FALSE()),"-")</f>
        <v>TAPA MARCO 35MM D-DECOR FIJO LAC.ESP.1 3 MTS</v>
      </c>
      <c r="D24" s="83"/>
      <c r="E24" s="17">
        <v>3</v>
      </c>
      <c r="F24" s="18">
        <f>IFERROR(VLOOKUP($B24,Tarifa_all_20240711!$A$2:$G$660,5,FALSE()),"-")</f>
        <v>12.307500000000001</v>
      </c>
      <c r="G24" s="18">
        <f t="shared" si="0"/>
        <v>36.922499999999999</v>
      </c>
      <c r="H24" s="79"/>
      <c r="I24" s="18">
        <f t="shared" si="1"/>
        <v>36.922499999999999</v>
      </c>
    </row>
    <row r="25" spans="1:9" x14ac:dyDescent="0.25">
      <c r="B25" s="76" t="s">
        <v>444</v>
      </c>
      <c r="C25" s="84" t="str">
        <f>IFERROR(VLOOKUP($B25,Tarifa_all_20240711!$A$2:$G$660,2,FALSE()),"-")</f>
        <v>PERFIL MINIMALISTA D-DECOR FIJO CRUDO 6,5 MTS</v>
      </c>
      <c r="D25" s="84"/>
      <c r="E25" s="77">
        <v>1</v>
      </c>
      <c r="F25" s="78">
        <f>IFERROR(VLOOKUP($B25,Tarifa_all_20240711!$A$2:$G$660,5,FALSE()),"-")</f>
        <v>71.025000000000006</v>
      </c>
      <c r="G25" s="78">
        <f>IFERROR(E25*F25,"-")*(1+H25)</f>
        <v>85.23</v>
      </c>
      <c r="H25" s="79">
        <v>0.2</v>
      </c>
      <c r="I25" s="18">
        <f t="shared" si="1"/>
        <v>71.025000000000006</v>
      </c>
    </row>
    <row r="26" spans="1:9" x14ac:dyDescent="0.25">
      <c r="B26" s="16" t="s">
        <v>294</v>
      </c>
      <c r="C26" s="83" t="str">
        <f>IFERROR(VLOOKUP($B26,Tarifa_all_20240711!$A$2:$G$660,2,FALSE()),"-")</f>
        <v>Tope Domo Decor</v>
      </c>
      <c r="D26" s="83"/>
      <c r="E26" s="17">
        <v>8</v>
      </c>
      <c r="F26" s="18">
        <f>IFERROR(VLOOKUP($B26,Tarifa_all_20240711!$A$2:$G$660,5,FALSE()),"-")</f>
        <v>1.4175</v>
      </c>
      <c r="G26" s="18">
        <f t="shared" si="0"/>
        <v>11.34</v>
      </c>
      <c r="H26" s="1"/>
      <c r="I26" s="18">
        <f t="shared" si="1"/>
        <v>11.34</v>
      </c>
    </row>
    <row r="27" spans="1:9" x14ac:dyDescent="0.25">
      <c r="B27" s="16" t="s">
        <v>296</v>
      </c>
      <c r="C27" s="83" t="str">
        <f>IFERROR(VLOOKUP($B27,Tarifa_all_20240711!$A$2:$G$660,2,FALSE()),"-")</f>
        <v>PERFIL 3 MTS REDUCTOR PARA VIDRIO 6mm</v>
      </c>
      <c r="D27" s="83"/>
      <c r="E27" s="17">
        <v>5</v>
      </c>
      <c r="F27" s="18">
        <f>IFERROR(VLOOKUP($B27,Tarifa_all_20240711!$A$2:$G$660,5,FALSE()),"-")</f>
        <v>3.4275000000000002</v>
      </c>
      <c r="G27" s="18">
        <f t="shared" si="0"/>
        <v>17.137500000000003</v>
      </c>
      <c r="H27" s="1"/>
      <c r="I27" s="18">
        <f t="shared" si="1"/>
        <v>17.137500000000003</v>
      </c>
    </row>
    <row r="28" spans="1:9" x14ac:dyDescent="0.25">
      <c r="B28" s="16">
        <v>31229</v>
      </c>
      <c r="C28" s="83" t="str">
        <f>IFERROR(VLOOKUP($B28,Tarifa_all_20240711!$A$2:$G$660,2,FALSE()),"-")</f>
        <v>COMPLEMENTO FIJACION DOMO DECOR: BARRAS 3 MTS</v>
      </c>
      <c r="D28" s="83"/>
      <c r="E28" s="17">
        <v>4</v>
      </c>
      <c r="F28" s="18">
        <f>IFERROR(VLOOKUP($B28,Tarifa_all_20240711!$A$2:$G$660,5,FALSE()),"-")</f>
        <v>11.317499999999999</v>
      </c>
      <c r="G28" s="18">
        <f t="shared" si="0"/>
        <v>45.269999999999996</v>
      </c>
      <c r="H28" s="1"/>
      <c r="I28" s="18">
        <f t="shared" si="1"/>
        <v>45.269999999999996</v>
      </c>
    </row>
    <row r="29" spans="1:9" x14ac:dyDescent="0.25">
      <c r="B29" s="16"/>
      <c r="C29" s="83" t="str">
        <f>IFERROR(VLOOKUP($B29,Tarifa_all_20240711!$A$2:$G$660,2,FALSE()),"-")</f>
        <v>-</v>
      </c>
      <c r="D29" s="83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  <c r="I29" s="18" t="str">
        <f t="shared" si="1"/>
        <v>-</v>
      </c>
    </row>
    <row r="30" spans="1:9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  <c r="I30" s="18" t="str">
        <f t="shared" si="1"/>
        <v>-</v>
      </c>
    </row>
    <row r="31" spans="1:9" x14ac:dyDescent="0.25">
      <c r="B31" s="19"/>
      <c r="C31" s="19"/>
      <c r="D31" s="19"/>
      <c r="E31" s="19"/>
      <c r="F31" s="20"/>
      <c r="G31" s="21">
        <f>SUM(G13:G30)</f>
        <v>1594.6765499999997</v>
      </c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1449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5"/>
      <c r="E52" s="85"/>
      <c r="F52" s="85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100" workbookViewId="0">
      <selection activeCell="H14" sqref="H14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0" t="s">
        <v>78</v>
      </c>
      <c r="F2" s="80"/>
      <c r="G2" s="80"/>
    </row>
    <row r="3" spans="1:7" ht="18" customHeight="1" x14ac:dyDescent="0.35">
      <c r="E3" s="80" t="s">
        <v>1</v>
      </c>
      <c r="F3" s="80"/>
      <c r="G3" s="80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79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1" t="str">
        <f>'DESPIECE (MATANALYSIS)'!C8</f>
        <v>Melchor Mañó</v>
      </c>
      <c r="C9" s="91"/>
      <c r="D9" s="91"/>
      <c r="F9" s="3" t="s">
        <v>81</v>
      </c>
      <c r="G9" s="44">
        <f ca="1">TODAY()</f>
        <v>45740</v>
      </c>
    </row>
    <row r="10" spans="1:7" x14ac:dyDescent="0.25">
      <c r="A10" s="3" t="s">
        <v>82</v>
      </c>
      <c r="B10" s="11" t="str">
        <f>'DESPIECE (MATANALYSIS)'!C9</f>
        <v>Corredera 2H2F RAL 7016</v>
      </c>
      <c r="C10" s="45"/>
      <c r="D10" s="45"/>
      <c r="E10" s="46"/>
      <c r="F10" s="47" t="s">
        <v>83</v>
      </c>
      <c r="G10" s="7">
        <f>'DESPIECE (MATANALYSIS)'!C7</f>
        <v>20250064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1450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RAL 7016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1451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1452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1453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1454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1455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6"/>
      <c r="B46" s="86"/>
      <c r="C46" s="71"/>
      <c r="D46" s="71"/>
      <c r="E46" s="71"/>
      <c r="F46" s="72"/>
      <c r="G46" s="73"/>
    </row>
    <row r="47" spans="1:7" ht="22.7" customHeight="1" x14ac:dyDescent="0.25">
      <c r="A47" s="87" t="s">
        <v>95</v>
      </c>
      <c r="B47" s="87"/>
      <c r="C47" s="59"/>
      <c r="D47" s="59"/>
      <c r="E47" s="59"/>
      <c r="F47" s="88">
        <f>'DESPIECE (MATANALYSIS)'!G31</f>
        <v>1594.6765499999997</v>
      </c>
      <c r="G47" s="88"/>
    </row>
    <row r="48" spans="1:7" s="1" customFormat="1" ht="22.7" customHeight="1" x14ac:dyDescent="0.25">
      <c r="A48" s="89" t="s">
        <v>96</v>
      </c>
      <c r="B48" s="89"/>
      <c r="C48" s="89"/>
      <c r="D48" s="89"/>
      <c r="E48" s="89"/>
      <c r="F48" s="89"/>
      <c r="G48" s="89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2025-03-24T10:11:59Z</dcterms:modified>
  <dc:language>es-ES</dc:language>
</cp:coreProperties>
</file>