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77\calculos\1\"/>
    </mc:Choice>
  </mc:AlternateContent>
  <xr:revisionPtr revIDLastSave="0" documentId="13_ncr:1_{B7B2DFB5-B7D2-4CAF-AD24-549C7A60A42C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<sst xmlns="http://schemas.openxmlformats.org/spreadsheetml/2006/main" count="5402" uniqueCount="1453">
  <si>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</si>
  <si>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</si>
  <si>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</si>
  <si>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</si>
  <si>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</si>
  <si>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</si>
  <si>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</si>
  <si>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</si>
  <si>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</si>
  <si>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</si>
  <si>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</si>
  <si>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</si>
  <si>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</si>
  <si>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</si>
  <si>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</si>
  <si>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</si>
  <si>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</si>
  <si>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</si>
  <si>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</si>
  <si>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</si>
  <si>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</si>
  <si>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</si>
  <si>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</si>
  <si>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</si>
  <si>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</si>
  <si>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</si>
  <si>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</si>
  <si>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</si>
  <si>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</si>
  <si>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</si>
  <si>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</si>
  <si>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</si>
  <si>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</si>
  <si>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</si>
  <si>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</si>
  <si>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</si>
  <si>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</si>
  <si>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</si>
  <si>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</si>
  <si>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</si>
  <si>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</si>
  <si>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</si>
  <si>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</si>
  <si>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</si>
  <si>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</si>
  <si>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</si>
  <si>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</si>
  <si>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</si>
  <si>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</si>
  <si>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</si>
  <si>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</si>
  <si>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</si>
  <si>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</si>
  <si>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</si>
  <si>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</si>
  <si>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</si>
  <si>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</si>
  <si>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</si>
  <si>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</si>
  <si>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</si>
  <si>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</si>
  <si>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</si>
  <si>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</si>
  <si>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</si>
  <si>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</si>
  <si>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</si>
  <si>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</si>
  <si>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</si>
  <si>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</si>
  <si>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</si>
  <si>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</si>
  <si>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</si>
  <si>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</si>
  <si>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</si>
  <si>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</si>
  <si>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</si>
  <si>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</si>
  <si>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</si>
  <si>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</si>
  <si>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</si>
  <si>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</si>
  <si>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</si>
  <si>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</si>
  <si>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</si>
  <si>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</si>
  <si>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</si>
  <si>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</si>
  <si>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</si>
  <si>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</si>
  <si>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</si>
  <si>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</si>
  <si>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</si>
  <si>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</si>
  <si>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</si>
  <si>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</si>
  <si>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</si>
  <si>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</si>
  <si>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</si>
  <si>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</si>
  <si>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</si>
  <si>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</si>
  <si>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</si>
  <si>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</si>
  <si>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</si>
  <si>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</si>
  <si>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</si>
  <si>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</si>
  <si>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</si>
  <si>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</si>
  <si>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</si>
  <si>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</si>
  <si>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</si>
  <si>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</si>
  <si>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</si>
  <si>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</si>
  <si>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</si>
  <si>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</si>
  <si>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</si>
  <si>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</si>
  <si>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</si>
  <si>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</si>
  <si>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</si>
  <si>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</si>
  <si>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</si>
  <si>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</si>
  <si>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</si>
  <si>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</si>
  <si>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</si>
  <si>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</si>
  <si>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</si>
  <si>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</si>
  <si>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</si>
  <si>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</si>
  <si>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</si>
  <si>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</si>
  <si>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</si>
  <si>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</si>
  <si>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</si>
  <si>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</si>
  <si>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</si>
  <si>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</si>
  <si>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</si>
  <si>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</si>
  <si>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</si>
  <si>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</si>
  <si>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</si>
  <si>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</si>
  <si>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</si>
  <si>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</si>
  <si>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</si>
  <si>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</si>
  <si>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</si>
  <si>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</si>
  <si>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</si>
  <si>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</si>
  <si>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</si>
  <si>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</si>
  <si>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</si>
  <si>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</si>
  <si>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</si>
  <si>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</si>
  <si>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</si>
  <si>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</si>
  <si>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</si>
  <si>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</si>
  <si>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</si>
  <si>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</si>
  <si>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</si>
  <si>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</si>
  <si>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</si>
  <si>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</si>
  <si>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</si>
  <si>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</si>
  <si>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</si>
  <si>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</si>
  <si>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</si>
  <si>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</si>
  <si>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</si>
  <si>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</si>
  <si>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</si>
  <si>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</si>
  <si>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</si>
  <si>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</si>
  <si>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</si>
  <si>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</si>
  <si>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</si>
  <si>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</si>
  <si>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</si>
  <si>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</si>
  <si>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</si>
  <si>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</si>
  <si>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</si>
  <si>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</si>
  <si>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</si>
  <si>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</si>
  <si>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</si>
  <si>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</si>
  <si>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</si>
  <si>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</si>
  <si>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</si>
  <si>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</si>
  <si>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</si>
  <si>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</si>
  <si>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</si>
  <si>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</si>
  <si>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</si>
  <si>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</si>
  <si>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</si>
  <si>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</si>
  <si>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</si>
  <si>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</si>
  <si>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</si>
  <si>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</si>
  <si>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</si>
  <si>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</si>
  <si>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</si>
  <si>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</si>
  <si>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</si>
  <si>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</si>
  <si>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</si>
  <si>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</si>
  <si>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</si>
  <si>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</si>
  <si>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</si>
  <si>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</si>
  <si>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</si>
  <si>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</si>
  <si>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</si>
  <si>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</si>
  <si>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</si>
  <si>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</si>
  <si>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</si>
  <si>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</si>
  <si>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</si>
  <si>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</si>
  <si>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</si>
  <si>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</si>
  <si>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</si>
  <si>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</si>
  <si>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</si>
  <si>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</si>
  <si>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</si>
  <si>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</si>
  <si>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</si>
  <si>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</si>
  <si>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</si>
  <si>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</si>
  <si>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</si>
  <si>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</si>
  <si>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</si>
  <si>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</si>
  <si>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</si>
  <si>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</si>
  <si>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</si>
  <si>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</si>
  <si>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</si>
  <si>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</si>
  <si>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</si>
  <si>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</si>
  <si>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</si>
  <si>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</si>
  <si>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</si>
  <si>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</si>
  <si>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</si>
  <si>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</si>
  <si>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</si>
  <si>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</si>
  <si>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</si>
  <si>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</si>
  <si>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</si>
  <si>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</si>
  <si>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</si>
  <si>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</si>
  <si>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</si>
  <si>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</si>
  <si>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</si>
  <si>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</si>
  <si>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</si>
  <si>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</si>
  <si>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</si>
  <si>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</si>
  <si>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</si>
  <si>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</si>
  <si>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</si>
  <si>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</si>
  <si>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</si>
  <si>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</si>
  <si>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</si>
  <si>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</si>
  <si>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</si>
  <si>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</si>
  <si>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</si>
  <si>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</si>
  <si>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</si>
  <si>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</si>
  <si>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</si>
  <si>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</si>
  <si>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</si>
  <si>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</si>
  <si>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</si>
  <si>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</si>
  <si>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</si>
  <si>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</si>
  <si>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</si>
  <si>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</si>
  <si>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</si>
  <si>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</si>
  <si>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</si>
  <si>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</si>
  <si>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</si>
  <si>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</si>
  <si>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</si>
  <si>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</si>
  <si>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</si>
  <si>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</si>
  <si>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</si>
  <si>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</si>
  <si>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</si>
  <si>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</si>
  <si>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</si>
  <si>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</si>
  <si>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</si>
  <si>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</si>
  <si>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</si>
  <si>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</si>
  <si>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</si>
  <si>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</si>
  <si>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</si>
  <si>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</si>
  <si>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</si>
  <si>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</si>
  <si>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</si>
  <si>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</si>
  <si>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</si>
  <si>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</si>
  <si>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</si>
  <si>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</si>
  <si>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</si>
  <si>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</si>
  <si>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</si>
  <si>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</si>
  <si>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</si>
  <si>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</si>
  <si>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</si>
  <si>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</si>
  <si>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</si>
  <si>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</si>
  <si>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</si>
  <si>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</si>
  <si>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</si>
  <si>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</si>
  <si>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</si>
  <si>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</si>
  <si>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</si>
  <si>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</si>
  <si>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</si>
  <si>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</si>
  <si>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</si>
  <si>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</si>
  <si>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</si>
  <si>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</si>
  <si>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</si>
  <si>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</si>
  <si>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</si>
  <si>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</si>
  <si>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</si>
  <si>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</si>
  <si>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</si>
  <si>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</si>
  <si>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</si>
  <si>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</si>
  <si>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</si>
  <si>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</si>
  <si>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</si>
  <si>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</si>
  <si>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</si>
  <si>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</si>
  <si>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</si>
  <si>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</si>
  <si>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</si>
  <si>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</si>
  <si>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</si>
  <si>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</si>
  <si>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</si>
  <si>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</si>
  <si>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</si>
  <si>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</si>
  <si>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</si>
  <si>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</si>
  <si>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</si>
  <si>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</si>
  <si>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</si>
  <si>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</si>
  <si>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</si>
  <si>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</si>
  <si>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</si>
  <si>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</si>
  <si>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</si>
  <si>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</si>
  <si>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</si>
  <si>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</si>
  <si>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</si>
  <si>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</si>
  <si>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</si>
  <si>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</si>
  <si>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</si>
  <si>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</si>
  <si>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</si>
  <si>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</si>
  <si>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</si>
  <si>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</si>
  <si>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</si>
  <si>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</si>
  <si>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</si>
  <si>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</si>
  <si>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</si>
  <si>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</si>
  <si>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</si>
  <si>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</si>
  <si>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</si>
  <si>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</si>
  <si>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</si>
  <si>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</si>
  <si>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</si>
  <si>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</si>
  <si>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</si>
  <si>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</si>
  <si>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</si>
  <si>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</si>
  <si>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</si>
  <si>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</si>
  <si>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</si>
  <si>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</si>
  <si>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</si>
  <si>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</si>
  <si>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</si>
  <si>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</si>
  <si>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</si>
  <si>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</si>
  <si>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</si>
  <si>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</si>
  <si>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</si>
  <si>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</si>
  <si>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</si>
  <si>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</si>
  <si>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</si>
  <si>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</si>
  <si>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</si>
  <si>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</si>
  <si>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</si>
  <si>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</si>
  <si>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</si>
  <si>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</si>
  <si>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</si>
  <si>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</si>
  <si>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</si>
  <si>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</si>
  <si>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</si>
  <si>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</si>
  <si>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</si>
  <si>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</si>
  <si>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</si>
  <si>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</si>
  <si>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</si>
  <si>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</si>
  <si>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</si>
  <si>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</si>
  <si>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</si>
  <si>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</si>
  <si>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</si>
  <si>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</si>
  <si>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</si>
  <si>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</si>
  <si>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</si>
  <si>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</si>
  <si>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</si>
  <si>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</si>
  <si>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</si>
  <si>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</si>
  <si>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</si>
  <si>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</si>
  <si>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</si>
  <si>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</si>
  <si>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</si>
  <si>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</si>
  <si>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</si>
  <si>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</si>
  <si>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</si>
  <si>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</si>
  <si>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</si>
  <si>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</si>
  <si>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</si>
  <si>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</si>
  <si>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</si>
  <si>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</si>
  <si>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</si>
  <si>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</si>
  <si>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</si>
  <si>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</si>
  <si>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</si>
  <si>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</si>
  <si>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</si>
  <si>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</si>
  <si>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</si>
  <si>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</si>
  <si>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</si>
  <si>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</si>
  <si>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</si>
  <si>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</si>
  <si>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</si>
  <si>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</si>
  <si>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</si>
  <si>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</si>
  <si>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</si>
  <si>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</si>
  <si>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</si>
  <si>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</si>
  <si>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</si>
  <si>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</si>
  <si>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</si>
  <si>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</si>
  <si>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</si>
  <si>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</si>
  <si>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</si>
  <si>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</si>
  <si>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</si>
  <si>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</si>
  <si>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</si>
  <si>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</si>
  <si>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</si>
  <si>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</si>
  <si>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</si>
  <si>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</si>
  <si>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</si>
  <si>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</si>
  <si>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</si>
  <si>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</si>
  <si>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</si>
  <si>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</si>
  <si>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</si>
  <si>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</si>
  <si>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</si>
  <si>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</si>
  <si>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</si>
  <si>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</si>
  <si>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</si>
  <si>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</si>
  <si>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</si>
  <si>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</si>
  <si>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</si>
  <si>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</si>
  <si>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</si>
  <si>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</si>
  <si>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</si>
  <si>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</si>
  <si>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</si>
  <si>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</si>
  <si>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</si>
  <si>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</si>
  <si>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</si>
  <si>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</si>
  <si>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</si>
  <si>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</si>
  <si>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</si>
  <si>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</si>
  <si>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</si>
  <si>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</si>
  <si>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</si>
  <si>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</si>
  <si>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</si>
  <si>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</si>
  <si>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</si>
  <si>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</si>
  <si>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</si>
  <si>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</si>
  <si>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</si>
  <si>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</si>
  <si>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</si>
  <si>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</si>
  <si>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</si>
  <si>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</si>
  <si>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</si>
  <si>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</si>
  <si>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</si>
  <si>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</si>
  <si>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</si>
  <si>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</si>
  <si>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</si>
  <si>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</si>
  <si>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</si>
  <si>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</si>
  <si>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</si>
  <si>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</si>
  <si>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</si>
  <si>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</si>
  <si>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</si>
  <si>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</si>
  <si>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</si>
  <si>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</si>
  <si>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</si>
  <si>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</si>
  <si>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</si>
  <si>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</si>
  <si>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</si>
  <si>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</si>
  <si>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</si>
  <si>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</si>
  <si>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</si>
  <si>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</si>
  <si>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</si>
  <si>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</si>
  <si>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</si>
  <si>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</si>
  <si>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</si>
  <si>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</si>
  <si>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</si>
  <si>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</si>
  <si>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</si>
  <si>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</si>
  <si>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</si>
  <si>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</si>
  <si>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</si>
  <si>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</si>
  <si>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</si>
  <si>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</si>
  <si>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</si>
  <si>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</si>
  <si>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</si>
  <si>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</si>
  <si>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</si>
  <si>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</si>
  <si>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</si>
  <si>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</si>
  <si>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</si>
  <si>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</si>
  <si>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</si>
  <si>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</si>
  <si>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</si>
  <si>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</si>
  <si>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</si>
  <si>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</si>
  <si>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</si>
  <si>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</si>
  <si>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</si>
  <si>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</si>
  <si>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</si>
  <si>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</si>
  <si>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</si>
  <si>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</si>
  <si>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</si>
  <si>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</si>
  <si>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</si>
  <si>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</si>
  <si>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</si>
  <si>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</si>
  <si>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</si>
  <si>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</si>
  <si>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</si>
  <si>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</si>
  <si>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</si>
  <si>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</si>
  <si>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</si>
  <si>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</si>
  <si>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</si>
  <si>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</si>
  <si>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</si>
  <si>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</si>
  <si>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</si>
  <si>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</si>
  <si>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</si>
  <si>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</si>
  <si>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</si>
  <si>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</si>
  <si>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</si>
  <si>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</si>
  <si>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</si>
  <si>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</si>
  <si>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</si>
  <si>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</si>
  <si>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</si>
  <si>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</si>
  <si>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</si>
  <si>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</si>
  <si>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</si>
  <si>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</si>
  <si>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</si>
  <si>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</si>
  <si>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</si>
  <si>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</si>
  <si>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</si>
  <si>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</si>
  <si>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</si>
  <si>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</si>
  <si>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</si>
  <si>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</si>
  <si>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</si>
  <si>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</si>
  <si>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</si>
  <si>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</si>
  <si>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</si>
  <si>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</si>
  <si>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</si>
  <si>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</si>
  <si>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</si>
  <si>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</si>
  <si>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</si>
  <si>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</si>
  <si>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</si>
  <si>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</si>
  <si>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</si>
  <si>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</si>
  <si>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</si>
  <si>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</si>
  <si>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</si>
  <si>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</si>
  <si>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</si>
  <si>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</si>
  <si>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</si>
  <si>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</si>
  <si>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</si>
  <si>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</si>
  <si>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</si>
  <si>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</si>
  <si>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</si>
  <si>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</si>
  <si>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</si>
  <si>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</si>
  <si>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</si>
  <si>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</si>
  <si>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</si>
  <si>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</si>
  <si>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</si>
  <si>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</si>
  <si>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</si>
  <si>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</si>
  <si>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</si>
  <si>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</si>
  <si>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</si>
  <si>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</si>
  <si>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</si>
  <si>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</si>
  <si>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</si>
  <si>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</si>
  <si>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</si>
  <si>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</si>
  <si>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</si>
  <si>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</si>
  <si>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</si>
  <si>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</si>
  <si>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</si>
  <si>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</si>
  <si>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</si>
  <si>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</si>
  <si>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</si>
  <si>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</si>
  <si>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</si>
  <si>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</si>
  <si>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</si>
  <si>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</si>
  <si>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</si>
  <si>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</si>
  <si>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</si>
  <si>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</si>
  <si>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</si>
  <si>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</si>
  <si>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</si>
  <si>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</si>
  <si>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</si>
  <si>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</si>
  <si>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</si>
  <si>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</si>
  <si>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</si>
  <si>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</si>
  <si>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</si>
  <si>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</si>
  <si>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</si>
  <si>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</si>
  <si>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</si>
  <si>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</si>
  <si>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</si>
  <si>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</si>
  <si>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</si>
  <si>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</si>
  <si>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</si>
  <si>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</si>
  <si>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</si>
  <si>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</si>
  <si>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</si>
  <si>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</si>
  <si>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</si>
  <si>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</si>
  <si>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</si>
  <si>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</si>
  <si>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</si>
  <si>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</si>
  <si>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</si>
  <si>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</si>
  <si>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</si>
  <si>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</si>
  <si>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</si>
  <si>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</si>
  <si>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</si>
  <si>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</si>
  <si>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</si>
  <si>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</si>
  <si>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</si>
  <si>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</si>
  <si>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</si>
  <si>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</si>
  <si>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</si>
  <si>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</si>
  <si>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</si>
  <si>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</si>
  <si>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</si>
  <si>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</si>
  <si>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</si>
  <si>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</si>
  <si>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</si>
  <si>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</si>
  <si>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</si>
  <si>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</si>
  <si>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</si>
  <si>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</si>
  <si>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</si>
  <si>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</si>
  <si>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</si>
  <si>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</si>
  <si>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</si>
  <si>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</si>
  <si>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</si>
  <si>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</si>
  <si>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</si>
  <si>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</si>
  <si>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</si>
  <si>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</si>
  <si>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</si>
  <si>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</si>
  <si>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</si>
  <si>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</si>
  <si>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</si>
  <si>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</si>
  <si>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</si>
  <si>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</si>
  <si>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</si>
  <si>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</si>
  <si>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</si>
  <si>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</si>
  <si>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</si>
  <si>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</si>
  <si>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</si>
  <si>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</si>
  <si>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</si>
  <si>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</si>
  <si>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</si>
  <si>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</si>
  <si>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</si>
  <si>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</si>
  <si>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</si>
  <si>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</si>
  <si>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</si>
  <si>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</si>
  <si>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</si>
  <si>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</si>
  <si>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</si>
  <si>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</si>
  <si>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</si>
  <si>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</si>
  <si>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</si>
  <si>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</si>
  <si>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</si>
  <si>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</si>
  <si>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</si>
  <si>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</si>
  <si>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</si>
  <si>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</si>
  <si>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</si>
  <si>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</si>
  <si>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</si>
  <si>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</si>
  <si>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</si>
  <si>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</si>
  <si>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</si>
  <si>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</si>
  <si>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</si>
  <si>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</si>
  <si>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</si>
  <si>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</si>
  <si>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</si>
  <si>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</si>
  <si>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</si>
  <si>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</si>
  <si>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</si>
  <si>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</si>
  <si>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</si>
  <si>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</si>
  <si>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</si>
  <si>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</si>
  <si>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</si>
  <si>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</si>
  <si>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</si>
  <si>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</si>
  <si>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</si>
  <si>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</si>
  <si>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</si>
  <si>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</si>
  <si>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</si>
  <si>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</si>
  <si>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</si>
  <si>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</si>
  <si>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</si>
  <si>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</si>
  <si>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</si>
  <si>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</si>
  <si>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</si>
  <si>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</si>
  <si>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</si>
  <si>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</si>
  <si>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</si>
  <si>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</si>
  <si>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</si>
  <si>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</si>
  <si>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</si>
  <si>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</si>
  <si>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</si>
  <si>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</si>
  <si>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</si>
  <si>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</si>
  <si>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</si>
  <si>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</si>
  <si>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</si>
  <si>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</si>
  <si>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</si>
  <si>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</si>
  <si>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</si>
  <si>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</si>
  <si>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</si>
  <si>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</si>
  <si>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</si>
  <si>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</si>
  <si>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</si>
  <si>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</si>
  <si>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</si>
  <si>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</si>
  <si>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</si>
  <si>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</si>
  <si>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</si>
  <si>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</si>
  <si>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</si>
  <si>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</si>
  <si>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</si>
  <si>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</si>
  <si>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</si>
  <si>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</si>
  <si>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</si>
  <si>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</si>
  <si>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</si>
  <si>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</si>
  <si>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</si>
  <si>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</si>
  <si>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</si>
  <si>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</si>
  <si>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</si>
  <si>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</si>
  <si>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</si>
  <si>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</si>
  <si>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</si>
  <si>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</si>
  <si>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</si>
  <si>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</si>
  <si>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</si>
  <si>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</si>
  <si>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</si>
  <si>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</si>
  <si>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</si>
  <si>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</si>
  <si>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</si>
  <si>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</si>
  <si>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</si>
  <si>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</si>
  <si>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</si>
  <si>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</si>
  <si>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</si>
  <si>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</si>
  <si>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</si>
  <si>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</si>
  <si>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</si>
  <si>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</si>
  <si>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</si>
  <si>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</si>
  <si>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</si>
  <si>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</si>
  <si>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</si>
  <si>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</si>
  <si>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</si>
  <si>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</si>
  <si>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</si>
  <si>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</si>
  <si>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</si>
  <si>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</si>
  <si>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</si>
  <si>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</si>
  <si>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</si>
  <si>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</si>
  <si>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</si>
  <si>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</si>
  <si>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</si>
  <si>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</si>
  <si>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</si>
  <si>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</si>
  <si>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</si>
  <si>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</si>
  <si>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</si>
  <si>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</si>
  <si>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</si>
  <si>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</si>
  <si>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</si>
  <si>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</si>
  <si>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</si>
  <si>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</si>
  <si>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</si>
  <si>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</si>
  <si>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</si>
  <si>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</si>
  <si>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</si>
  <si>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</si>
  <si>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</si>
  <si>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</si>
  <si>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</si>
  <si>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</si>
  <si>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</si>
  <si>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</si>
  <si>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</si>
  <si>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</si>
  <si>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</si>
  <si>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</si>
  <si>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</si>
  <si>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</si>
  <si>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</si>
  <si>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</si>
  <si>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</si>
  <si>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</si>
  <si>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</si>
  <si>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</si>
  <si>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</si>
  <si>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</si>
  <si>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</si>
  <si>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</si>
  <si>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</si>
  <si>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</si>
  <si>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</si>
  <si>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</si>
  <si>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</si>
  <si>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</si>
  <si>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</si>
  <si>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</si>
  <si>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</si>
  <si>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</si>
  <si>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</si>
  <si>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</si>
  <si>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</si>
  <si>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</si>
  <si>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</si>
  <si>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</si>
  <si>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</si>
  <si>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</si>
  <si>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</si>
  <si>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</si>
  <si>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</si>
  <si>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</si>
  <si>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</si>
  <si>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</si>
  <si>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</si>
  <si>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</si>
  <si>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</si>
  <si>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</si>
  <si>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</si>
  <si>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</si>
  <si>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</si>
  <si>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</si>
  <si>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</si>
  <si>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</si>
  <si>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</si>
  <si>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</si>
  <si>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</si>
  <si>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</si>
  <si>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</si>
  <si>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</si>
  <si>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</si>
  <si>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</si>
  <si>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</si>
  <si>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</si>
  <si>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</si>
  <si>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</si>
  <si>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</si>
  <si>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</si>
  <si>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</si>
  <si>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</si>
  <si>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</si>
  <si>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</si>
  <si>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</si>
  <si>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</si>
  <si>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</si>
  <si>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</si>
  <si>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</si>
  <si>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</si>
  <si>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</si>
  <si>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</si>
  <si>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</si>
  <si>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</si>
  <si>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</si>
  <si>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</si>
  <si>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</si>
  <si>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</si>
  <si>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</si>
  <si>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</si>
  <si>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</si>
  <si>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</si>
  <si>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</si>
  <si>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</si>
  <si>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</si>
  <si>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</si>
  <si>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</si>
  <si>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</si>
  <si>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</si>
  <si>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</si>
  <si>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</si>
  <si>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</si>
  <si>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</si>
  <si>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</si>
  <si>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</si>
  <si>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</si>
  <si>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</si>
  <si>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</si>
  <si>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</si>
  <si>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</si>
  <si>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</si>
  <si>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</si>
  <si>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</si>
  <si>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</si>
  <si>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</si>
  <si>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</si>
  <si>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</si>
  <si>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</si>
  <si>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</si>
  <si>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</si>
  <si>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</si>
  <si>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</si>
  <si>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</si>
  <si>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</si>
  <si>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</si>
  <si>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</si>
  <si>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</si>
  <si>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</si>
  <si>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</si>
  <si>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</si>
  <si>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</si>
  <si>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</si>
  <si>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</si>
  <si>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</si>
  <si>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</si>
  <si>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</si>
  <si>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</si>
  <si>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</si>
  <si>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</si>
  <si>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</si>
  <si>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</si>
  <si>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</si>
  <si>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</si>
  <si>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</si>
  <si>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</si>
  <si>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</si>
  <si>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</si>
  <si>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</si>
  <si>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</si>
  <si>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</si>
  <si>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</si>
  <si>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</si>
  <si>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</si>
  <si>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</si>
  <si>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</si>
  <si>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</si>
  <si>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</si>
  <si>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</si>
  <si>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</si>
  <si>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</si>
  <si>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</si>
  <si>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</si>
  <si>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</si>
  <si>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</si>
  <si>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</si>
  <si>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</si>
  <si>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</si>
  <si>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</si>
  <si>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</si>
  <si>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</si>
  <si>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</si>
  <si>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</si>
  <si>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</si>
  <si>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</si>
  <si>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</si>
  <si>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</si>
  <si>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</si>
  <si>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</si>
  <si>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</si>
  <si>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</si>
  <si>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</si>
  <si>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</si>
  <si>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</si>
  <si>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</si>
  <si>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</si>
  <si>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</si>
  <si>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</si>
  <si>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</si>
  <si>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</si>
  <si>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</si>
  <si>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</si>
  <si>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</si>
  <si>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</si>
  <si>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</si>
  <si>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</si>
  <si>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</si>
  <si>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</si>
  <si>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</si>
  <si>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</si>
  <si>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</si>
  <si>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</si>
  <si>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</si>
  <si>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</si>
  <si>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</si>
  <si>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</si>
  <si>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</si>
  <si>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</si>
  <si>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</si>
  <si>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</si>
  <si>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</si>
  <si>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</si>
  <si>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</si>
  <si>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</si>
  <si>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</si>
  <si>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</si>
  <si>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</si>
  <si>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</si>
  <si>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</si>
  <si>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</si>
  <si>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</si>
  <si>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</si>
  <si>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</si>
  <si>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</si>
  <si>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</si>
  <si>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</si>
  <si>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</si>
  <si>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</si>
  <si>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</si>
  <si>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</si>
  <si>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</si>
  <si>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</si>
  <si>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</si>
  <si>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</si>
  <si>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</si>
  <si>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</si>
  <si>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</si>
  <si>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</si>
  <si>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</si>
  <si>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</si>
  <si>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</si>
  <si>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</si>
  <si>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</si>
  <si>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</si>
  <si>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</si>
  <si>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</si>
  <si>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</si>
  <si>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</si>
  <si>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</si>
  <si>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</si>
  <si>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</si>
  <si>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</si>
  <si>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</si>
  <si>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</si>
  <si>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</si>
  <si>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</si>
  <si>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</si>
  <si>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</si>
  <si>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</si>
  <si>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</si>
  <si>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</si>
  <si>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</si>
  <si>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</si>
  <si>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</si>
  <si>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</si>
  <si>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</si>
  <si>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</si>
  <si>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</si>
  <si>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</si>
  <si>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</si>
  <si>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</si>
  <si>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</si>
  <si>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</si>
  <si>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</si>
  <si>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</si>
  <si>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</si>
  <si>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</si>
  <si>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</si>
  <si>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</si>
  <si>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</si>
  <si>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</si>
  <si>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</si>
  <si>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</si>
  <si>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</si>
  <si>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</si>
  <si>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</si>
  <si>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</si>
  <si>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</si>
  <si>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</si>
  <si>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</si>
  <si>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</si>
  <si>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</si>
  <si>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</si>
  <si>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</si>
  <si>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</si>
  <si>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</si>
  <si>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</si>
  <si>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</si>
  <si>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</si>
  <si>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</si>
  <si>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</si>
  <si>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</si>
  <si>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</si>
  <si>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</si>
  <si>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</si>
  <si>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</si>
  <si>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</si>
  <si>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</si>
  <si>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</si>
  <si>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</si>
  <si>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</si>
  <si>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</si>
  <si>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</si>
  <si>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</si>
  <si>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</si>
  <si>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</si>
  <si>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</si>
  <si>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</si>
  <si>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</si>
  <si>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</si>
  <si>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</si>
  <si>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</si>
  <si>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</si>
  <si>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</si>
  <si>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</si>
  <si>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</si>
  <si>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</si>
  <si>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</si>
  <si>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</si>
  <si>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</si>
  <si>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</si>
  <si>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</si>
  <si>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</si>
  <si>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</si>
  <si>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</si>
  <si>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</si>
  <si>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</si>
  <si>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</si>
  <si>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</si>
  <si>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</si>
  <si>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</si>
  <si>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</si>
  <si>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</si>
  <si>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</si>
  <si>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</si>
  <si>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</si>
  <si>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</si>
  <si>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</si>
  <si>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</si>
  <si>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</si>
  <si>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</si>
  <si>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</si>
  <si>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</si>
  <si>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</si>
  <si>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</si>
  <si>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</si>
  <si>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</si>
  <si>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</si>
  <si>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</si>
  <si>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</si>
  <si>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</si>
  <si>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</si>
  <si>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</si>
  <si>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</si>
  <si>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</si>
  <si>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</si>
  <si>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</si>
  <si>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</si>
  <si>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</si>
  <si>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</si>
  <si>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</si>
  <si>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</si>
  <si>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</si>
  <si>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</si>
  <si>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</si>
  <si>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</si>
  <si>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</si>
  <si>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</si>
  <si>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</si>
  <si>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</si>
  <si>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</si>
  <si>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</si>
  <si>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</si>
  <si>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</si>
  <si>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</si>
  <si>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</si>
  <si>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</si>
  <si>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</si>
  <si>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</si>
  <si>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</si>
  <si>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</si>
  <si>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</si>
  <si>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</si>
  <si>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</si>
  <si>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</si>
  <si>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</si>
  <si>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</si>
  <si>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</si>
  <si>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</si>
  <si>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</si>
  <si>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</si>
  <si>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</si>
  <si>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</si>
  <si>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</si>
  <si>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</si>
  <si>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</si>
  <si>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</si>
  <si>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</si>
  <si>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</si>
  <si>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</si>
  <si>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</si>
  <si>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</si>
  <si>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</si>
  <si>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</si>
  <si>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</si>
  <si>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</si>
  <si>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</si>
  <si>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</si>
  <si>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</si>
  <si>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</si>
  <si>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</si>
  <si>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</si>
  <si>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</si>
  <si>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</si>
  <si>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</si>
  <si>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</si>
  <si>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</si>
  <si>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Melcho Mañó</t>
  </si>
  <si>
    <t>Joaquin Puchol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</si>
</sst>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B21" sqref="B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20250177</v>
      </c>
      <c r="G7" s="8">
        <f ca="1">TODAY()</f>
        <v>45916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1018</v>
      </c>
      <c r="C13" s="79" t="str">
        <f>IFERROR(VLOOKUP($B13,Tarifa_all_20240711!$A$2:$G$660,2,FALSE()),"-")</f>
        <v>CARC.SIMPLE GUIA DESM.LAC.6 ESP.2-3 MTS</v>
      </c>
      <c r="D13" s="79"/>
      <c r="E13" s="17">
        <v>1</v>
      </c>
      <c r="F13" s="18">
        <f>IFERROR(VLOOKUP($B13,Tarifa_all_20240711!$A$2:$G$660,5,FALSE()),"-")</f>
        <v>96.045000000000002</v>
      </c>
      <c r="G13" s="18">
        <f t="shared" ref="G13:G30" si="0">IFERROR(E13*F13,"-")</f>
        <v>96.045000000000002</v>
      </c>
      <c r="H13" s="1"/>
    </row>
    <row r="14" spans="1:12" x14ac:dyDescent="0.25">
      <c r="A14" t="s">
        <v>15</v>
      </c>
      <c r="B14" s="16" t="s">
        <v>978</v>
      </c>
      <c r="C14" s="79" t="str">
        <f>IFERROR(VLOOKUP($B14,Tarifa_all_20240711!$A$2:$G$660,2,FALSE()),"-")</f>
        <v>GUIA SKY PLUS DESMONT.LAC.6 ESP.2-3 MTS</v>
      </c>
      <c r="D14" s="79"/>
      <c r="E14" s="17">
        <v>1</v>
      </c>
      <c r="F14" s="18">
        <f>IFERROR(VLOOKUP($B14,Tarifa_all_20240711!$A$2:$G$660,5,FALSE()),"-")</f>
        <v>71.857500000000002</v>
      </c>
      <c r="G14" s="18">
        <f t="shared" si="0"/>
        <v>71.857500000000002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7</v>
      </c>
      <c r="F15" s="18">
        <f>IFERROR(VLOOKUP($B15,Tarifa_all_20240711!$A$2:$G$660,5,FALSE()),"-")</f>
        <v>11.737500000000001</v>
      </c>
      <c r="G15" s="18">
        <f t="shared" si="0"/>
        <v>82.162500000000009</v>
      </c>
      <c r="H15" s="1"/>
    </row>
    <row r="16" spans="1:12" x14ac:dyDescent="0.25">
      <c r="A16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143</v>
      </c>
      <c r="C21" s="79" t="str">
        <f>IFERROR(VLOOKUP($B21,Tarifa_all_20240711!$A$2:$G$660,2,FALSE()),"-")</f>
        <v>PERFIL EMBELL.HORIZ. ADH LAC.NEGRO TEXTURADO</v>
      </c>
      <c r="D21" s="79"/>
      <c r="E21" s="17">
        <v>10</v>
      </c>
      <c r="F21" s="18">
        <f>IFERROR(VLOOKUP($B21,Tarifa_all_20240711!$A$2:$G$660,5,FALSE()),"-")</f>
        <v>21.794999999999998</v>
      </c>
      <c r="G21" s="18">
        <f t="shared" si="0"/>
        <v>217.95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811.95749999999998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Melcho Mañó</v>
      </c>
      <c r="C9" s="86"/>
      <c r="D9" s="86"/>
      <c r="F9" s="3" t="s">
        <v>81</v>
      </c>
      <c r="G9" s="44">
        <f ca="1">TODAY()</f>
        <v>45916</v>
      </c>
    </row>
    <row r="10" spans="1:7" x14ac:dyDescent="0.25">
      <c r="A10" s="3" t="s">
        <v>82</v>
      </c>
      <c r="B10" s="11" t="str">
        <f>'DESPIECE (MATANALYSIS)'!C9</f>
        <v>Joaquin Puchol</v>
      </c>
      <c r="C10" s="45"/>
      <c r="D10" s="45"/>
      <c r="E10" s="46"/>
      <c r="F10" s="47" t="s">
        <v>83</v>
      </c>
      <c r="G10" s="7">
        <f>'DESPIECE (MATANALYSIS)'!C7</f>
        <v>20250177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811.95749999999998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2025-09-16T11:19:20Z</cp:lastPrinted>
  <dcterms:created xsi:type="dcterms:W3CDTF">2024-04-15T12:43:19Z</dcterms:created>
  <dcterms:modified xsi:type="dcterms:W3CDTF">2025-09-16T11:19:26Z</dcterms:modified>
  <dc:language>es-ES</dc:language>
</cp:coreProperties>
</file>