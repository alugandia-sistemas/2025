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IECE (MATANALYSIS)" sheetId="1" r:id="rId4"/>
    <sheet state="visible" name="DESCRIPCIÓN (VALVENTN)" sheetId="2" r:id="rId5"/>
    <sheet state="visible" name="ACABADOS" sheetId="3" r:id="rId6"/>
    <sheet state="visible" name="Tarifa_all_20240229" sheetId="4" r:id="rId7"/>
    <sheet state="visible" name="Tarifa_all_20240711" sheetId="5" r:id="rId8"/>
  </sheets>
  <definedNames>
    <definedName localSheetId="0" name="_35010NE2">'DESPIECE (MATANALYSIS)'!$B$16:$B$30</definedName>
    <definedName name="_35010NE2">#REF!</definedName>
  </definedNames>
  <calcPr/>
  <extLst>
    <ext uri="GoogleSheetsCustomDataVersion2">
      <go:sheetsCustomData xmlns:go="http://customooxmlschemas.google.com/" r:id="rId9" roundtripDataChecksum="3hObOyXhZhyz6g3YtzLDTpgW7ykJIuxgcDmUbmg23oI="/>
    </ext>
  </extLst>
</workbook>
</file>

<file path=xl/sharedStrings.xml><?xml version="1.0" encoding="utf-8"?>
<sst xmlns="http://schemas.openxmlformats.org/spreadsheetml/2006/main" count="5406" uniqueCount="1452">
  <si>
    <t>DECOR</t>
  </si>
  <si>
    <t>SISTEMA PARA INTERIOR</t>
  </si>
  <si>
    <t>DESPIECE DE MATERIAL</t>
  </si>
  <si>
    <t>SISTEMA PUERTAS INTERIOR</t>
  </si>
  <si>
    <t>Código de Proyecto</t>
  </si>
  <si>
    <t>Cliente</t>
  </si>
  <si>
    <t>Cristalum Gandia</t>
  </si>
  <si>
    <t>Referencia</t>
  </si>
  <si>
    <t>1H2F</t>
  </si>
  <si>
    <t>Ref. DECOR</t>
  </si>
  <si>
    <t>Descripción</t>
  </si>
  <si>
    <t>Uds</t>
  </si>
  <si>
    <t>PVP</t>
  </si>
  <si>
    <t>TOT</t>
  </si>
  <si>
    <t>G</t>
  </si>
  <si>
    <t>35007NE3</t>
  </si>
  <si>
    <t>G2</t>
  </si>
  <si>
    <t>35058NE</t>
  </si>
  <si>
    <t>G3</t>
  </si>
  <si>
    <t>AM</t>
  </si>
  <si>
    <t>35040SA</t>
  </si>
  <si>
    <t>KP</t>
  </si>
  <si>
    <t>35004NT</t>
  </si>
  <si>
    <t>CRR</t>
  </si>
  <si>
    <t>35037SA</t>
  </si>
  <si>
    <t>TIR</t>
  </si>
  <si>
    <t>35054NT</t>
  </si>
  <si>
    <t>G/A</t>
  </si>
  <si>
    <t>35027NT</t>
  </si>
  <si>
    <t>E/D</t>
  </si>
  <si>
    <t>35006NT</t>
  </si>
  <si>
    <t>35903NT65</t>
  </si>
  <si>
    <t>35901NT65</t>
  </si>
  <si>
    <t>35905NT65</t>
  </si>
  <si>
    <t>35902NT30</t>
  </si>
  <si>
    <t>35015SA</t>
  </si>
  <si>
    <t>35017SA</t>
  </si>
  <si>
    <t>OBSERVACIONES:</t>
  </si>
  <si>
    <t>Acabado:</t>
  </si>
  <si>
    <t>LAC. NEGRO TEXTURADO</t>
  </si>
  <si>
    <t>Sistema para vidrio 6 mm. (No incluido)</t>
  </si>
  <si>
    <t>Precios Netos, con descuentos aplicados y a falta de impuestos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</si>
  <si>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</si>
  <si>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</si>
  <si>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</si>
  <si>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</si>
  <si>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</si>
  <si>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</si>
  <si>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</si>
  <si>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</si>
  <si>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</si>
  <si>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</si>
  <si>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</si>
  <si>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</si>
  <si>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</si>
  <si>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</si>
  <si>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</si>
  <si>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REFERENCIA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</si>
  <si>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</si>
  <si>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</si>
  <si>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</si>
  <si>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</si>
  <si>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</si>
  <si>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</si>
  <si>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</si>
  <si>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</si>
  <si>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</si>
  <si>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</si>
  <si>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</si>
  <si>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</si>
  <si>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</si>
  <si>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</si>
  <si>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</si>
  <si>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</si>
  <si>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</si>
  <si>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</si>
  <si>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</si>
  <si>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</si>
  <si>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</si>
  <si>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</si>
  <si>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</si>
  <si>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</si>
  <si>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</si>
  <si>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</si>
  <si>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</si>
  <si>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</si>
  <si>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</si>
  <si>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</si>
  <si>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</si>
  <si>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</si>
  <si>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</si>
  <si>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BLANCO MATE</t>
  </si>
  <si>
    <t>ANOD.  PLATA MATE</t>
  </si>
  <si>
    <t>LAC. MARS</t>
  </si>
  <si>
    <t>DOMO DECOR</t>
  </si>
  <si>
    <r>
      <rPr>
        <rFont val="Arial"/>
        <b/>
        <color theme="1"/>
        <sz val="14.0"/>
      </rPr>
      <t>DESCRIPCIÓN</t>
    </r>
    <r>
      <rPr>
        <rFont val="Arial"/>
        <b/>
        <color rgb="FFFF5429"/>
        <sz val="14.0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</si>
  <si>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</si>
  <si>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</si>
  <si>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</si>
  <si>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</si>
  <si>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</si>
  <si>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</si>
  <si>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</si>
  <si>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</si>
  <si>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</si>
  <si>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</si>
  <si>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</si>
  <si>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Amortig.</t>
  </si>
  <si>
    <t>Carros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</si>
  <si>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</si>
  <si>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</si>
  <si>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</si>
  <si>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</si>
  <si>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</si>
  <si>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</si>
  <si>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</si>
  <si>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</si>
  <si>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</si>
  <si>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</si>
  <si>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Acabados</t>
  </si>
  <si>
    <t>ANOD. PLATA MATE</t>
  </si>
  <si>
    <t>Ref.</t>
  </si>
  <si>
    <t>Pr. Tarifa</t>
  </si>
  <si>
    <t>% Dto</t>
  </si>
  <si>
    <t>Familia</t>
  </si>
  <si>
    <t>Cod.Fam.</t>
  </si>
  <si>
    <t>COMPLEMENTO FIJACION DOMO DECOR: BARRAS 3 MTS</t>
  </si>
  <si>
    <t>DOMO DECOR FIJO</t>
  </si>
  <si>
    <t>302F</t>
  </si>
  <si>
    <t>35000AP</t>
  </si>
  <si>
    <t>MARCO PA PICAP/COND ANOD.PLATA MATE</t>
  </si>
  <si>
    <t>DOMO DECOR MOVIL</t>
  </si>
  <si>
    <t>302M</t>
  </si>
  <si>
    <t>35000BL</t>
  </si>
  <si>
    <t>MARCO PA PICAP/COND LAC.BLANCO MATE 9003</t>
  </si>
  <si>
    <t>35000BLXL</t>
  </si>
  <si>
    <t>MARCO PA PICAP/COND LAC.BLANCO MATE 9003 XL</t>
  </si>
  <si>
    <t>35000CRXL</t>
  </si>
  <si>
    <t>MARCO PA PICAP/COND CRUDO XL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</si>
  <si>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</si>
  <si>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</si>
  <si>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</si>
  <si>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</si>
  <si>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</si>
  <si>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</si>
  <si>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</si>
  <si>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</si>
  <si>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</si>
  <si>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</si>
  <si>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</si>
  <si>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</si>
  <si>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</si>
  <si>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</si>
  <si>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35000NT</t>
  </si>
  <si>
    <t>MARCO PA PICAP/COND LAC.NEGRO TEXTURADO</t>
  </si>
  <si>
    <t>35000NTXL</t>
  </si>
  <si>
    <t>MARCO PA PICAP/COND LAC. NEGRO TEXTURADO XL</t>
  </si>
  <si>
    <t>35001AP</t>
  </si>
  <si>
    <t>MARCO PA MAGNET ANOD.PLATA MATE</t>
  </si>
  <si>
    <t>35001BL</t>
  </si>
  <si>
    <t>MARCO PA MAGNET LAC.BLANCO MATE 9003</t>
  </si>
  <si>
    <t>35001BLXL</t>
  </si>
  <si>
    <t>MARCO PA MAGNET LAC.BLANCO MATE 9003 XL</t>
  </si>
  <si>
    <t>35001CRXL</t>
  </si>
  <si>
    <t>MARCO PA MAGNET CRUDO XL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</si>
  <si>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</si>
  <si>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</si>
  <si>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</si>
  <si>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</si>
  <si>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</si>
  <si>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</si>
  <si>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</si>
  <si>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</si>
  <si>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</si>
  <si>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</si>
  <si>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</si>
  <si>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</si>
  <si>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35001NT</t>
  </si>
  <si>
    <t>MARCO PA MAGNET LAC.NEGRO TEXTURADO</t>
  </si>
  <si>
    <t>35001NTXL</t>
  </si>
  <si>
    <t>MARCO PA MAGNET LAC. NEGRO TEXTURADO XL</t>
  </si>
  <si>
    <t>35002ACBL</t>
  </si>
  <si>
    <t>ACCESORIO KIT PA PIVOTANTE BLANCO</t>
  </si>
  <si>
    <t>35002AP</t>
  </si>
  <si>
    <t>KIT PA PIVOTANTE PICAP/COND ANOD.PLATA MATE</t>
  </si>
  <si>
    <t>35002BL</t>
  </si>
  <si>
    <t>KIT PA PIVOTANTE PICAP/COND LAC.BLANCO MATE 9003</t>
  </si>
  <si>
    <t>35002BLXL</t>
  </si>
  <si>
    <t>KIT PA PIVOTANTE PICAP/COND LAC.BLAN. MATE 9003 XL</t>
  </si>
  <si>
    <t>35002CRXL</t>
  </si>
  <si>
    <t>KIT PA PIVOTANTE PICAP/COND CRUDO XL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</si>
  <si>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</si>
  <si>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</si>
  <si>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</si>
  <si>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</si>
  <si>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</si>
  <si>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</si>
  <si>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</si>
  <si>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</si>
  <si>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</si>
  <si>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</si>
  <si>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</si>
  <si>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</si>
  <si>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</si>
  <si>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</si>
  <si>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35002NT</t>
  </si>
  <si>
    <t>KIT PA PIVOTANTE PICAP/COND LAC.NEGRO TEXTURADO</t>
  </si>
  <si>
    <t>35002NTXL</t>
  </si>
  <si>
    <t>KIT PA PIVOTANTE PICAP/COND LAC. NEGRO TEXTURADO XL</t>
  </si>
  <si>
    <t>35003AP</t>
  </si>
  <si>
    <t>KIT PA PIVOTANTE MAGNET ANOD.PLATA MATE</t>
  </si>
  <si>
    <t>35003BL</t>
  </si>
  <si>
    <t>KIT PA PIVOTANTE MAGNET LAC.BLANCO MATE 9003</t>
  </si>
  <si>
    <t>35003BLXL</t>
  </si>
  <si>
    <t>KIT PA PIVOTANTE MAGNET LAC.BLANCO MATE 9003 XL</t>
  </si>
  <si>
    <t>35003CRXL</t>
  </si>
  <si>
    <t>KIT PA PIVOTANTE MAGNET CRUDO XL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</si>
  <si>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</si>
  <si>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</si>
  <si>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</si>
  <si>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</si>
  <si>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</si>
  <si>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</si>
  <si>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</si>
  <si>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</si>
  <si>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</si>
  <si>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</si>
  <si>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</si>
  <si>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</si>
  <si>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35003NT</t>
  </si>
  <si>
    <t>KIT PA PIVOTANTE MAGNET LAC.NEGRO TEXTURADO</t>
  </si>
  <si>
    <t>35003NTXL</t>
  </si>
  <si>
    <t>KIT PA PIVOTANTE MAGNET LAC. NEGRO TEXTURADO XL</t>
  </si>
  <si>
    <t>35004ACBL</t>
  </si>
  <si>
    <t>ACCESORIOS KIT PUERTA PA CORREDERA BLANCO</t>
  </si>
  <si>
    <t>35004ACNE</t>
  </si>
  <si>
    <t>ACCESORIOS KIT PUERTA PA CORREDERA NEGRO</t>
  </si>
  <si>
    <t>35004AP</t>
  </si>
  <si>
    <t>KIT PUERTA PA CORREDERA ANOD.PLATA MATE</t>
  </si>
  <si>
    <t>35004BL</t>
  </si>
  <si>
    <t>KIT PUERTA PA CORREDERA LAC.BLANCO MATE 9003</t>
  </si>
  <si>
    <t>35004BLXL</t>
  </si>
  <si>
    <t>KIT PUERTA PA CORREDERA LAC.BLANCO MATE 9003 XL</t>
  </si>
  <si>
    <t>35004CRXL</t>
  </si>
  <si>
    <t>KIT PUERTA PA CORREDERA CRUDO XL</t>
  </si>
  <si>
    <t>35004MS</t>
  </si>
  <si>
    <t>KIT PUERTA PA CORREDERA LAC.MARS (OXIDO)</t>
  </si>
  <si>
    <t>KIT PUERTA PA CORREDERA LAC.NEGRO TEXTURADO</t>
  </si>
  <si>
    <t>35004NTXL</t>
  </si>
  <si>
    <t>KIT PUERTA PA CORREDERA LAC. NEGRO TEXTURADO XL</t>
  </si>
  <si>
    <t>35005AP</t>
  </si>
  <si>
    <t>KIT DIVISOR HORIZONTAL PA ANOD.PLATA MATE</t>
  </si>
  <si>
    <t>35005BL</t>
  </si>
  <si>
    <t>KIT DIVISOR HORIZONTAL PA LAC.BLANCO MATE 9003</t>
  </si>
  <si>
    <t>35005CR</t>
  </si>
  <si>
    <t>KIT DIVISOR HORIZONTAL PA CRUDO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</si>
  <si>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</si>
  <si>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</si>
  <si>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</si>
  <si>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</si>
  <si>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</si>
  <si>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</si>
  <si>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</si>
  <si>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</si>
  <si>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</si>
  <si>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</si>
  <si>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</si>
  <si>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</si>
  <si>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35005NT</t>
  </si>
  <si>
    <t>KIT DIVISOR HORIZONTAL PA LAC. NEGRO TEXTURADO</t>
  </si>
  <si>
    <t>35006AP</t>
  </si>
  <si>
    <t>PERFIL EMBELL.HORIZ. ADH ANOD.PLATA MATE</t>
  </si>
  <si>
    <t>35006BL</t>
  </si>
  <si>
    <t>PERFIL EMBELL.HORIZ. ADH LAC.BLANCO MATE 9003</t>
  </si>
  <si>
    <t>35006CR</t>
  </si>
  <si>
    <t>PERFIL EMBELL.HORIZ. ADH CRUDO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</si>
  <si>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</si>
  <si>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</si>
  <si>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</si>
  <si>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</si>
  <si>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</si>
  <si>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</si>
  <si>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</si>
  <si>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</si>
  <si>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</si>
  <si>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</si>
  <si>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</si>
  <si>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</si>
  <si>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</si>
  <si>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</si>
  <si>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</si>
  <si>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</si>
  <si>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</si>
  <si>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</si>
  <si>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</si>
  <si>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</si>
  <si>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</si>
  <si>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</si>
  <si>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</si>
  <si>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</si>
  <si>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</si>
  <si>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</si>
  <si>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</si>
  <si>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</si>
  <si>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</si>
  <si>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</si>
  <si>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</si>
  <si>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</si>
  <si>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</si>
  <si>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</si>
  <si>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</si>
  <si>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</si>
  <si>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</si>
  <si>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</si>
  <si>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</si>
  <si>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</si>
  <si>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</si>
  <si>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</si>
  <si>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</si>
  <si>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</si>
  <si>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</si>
  <si>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</si>
  <si>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</si>
  <si>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</si>
  <si>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</si>
  <si>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</si>
  <si>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</si>
  <si>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</si>
  <si>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</si>
  <si>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</si>
  <si>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</si>
  <si>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</si>
  <si>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</si>
  <si>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</si>
  <si>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</si>
  <si>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</si>
  <si>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</si>
  <si>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</si>
  <si>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</si>
  <si>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</si>
  <si>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</si>
  <si>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</si>
  <si>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</si>
  <si>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</si>
  <si>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</si>
  <si>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</si>
  <si>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</si>
  <si>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</si>
  <si>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</si>
  <si>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</si>
  <si>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</si>
  <si>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</si>
  <si>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</si>
  <si>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</si>
  <si>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</si>
  <si>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</si>
  <si>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</si>
  <si>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</si>
  <si>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</si>
  <si>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</si>
  <si>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</si>
  <si>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</si>
  <si>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</si>
  <si>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35007NE2</t>
  </si>
  <si>
    <t>GUIA SUP TECHO PLUS LAC.NEGRO MATE-2 MTS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</si>
  <si>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</si>
  <si>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</si>
  <si>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</si>
  <si>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</si>
  <si>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</si>
  <si>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35007NT4</t>
  </si>
  <si>
    <t>GUIA SUP TECHO PLUS LAC.NEGRO TEXTURADO-4 MTS</t>
  </si>
  <si>
    <t>35007NT6</t>
  </si>
  <si>
    <t>GUIA SUP TECHO PLUS LAC.NEGRO TEXTURADO-6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</si>
  <si>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</si>
  <si>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</si>
  <si>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</si>
  <si>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</si>
  <si>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</si>
  <si>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</si>
  <si>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</si>
  <si>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</si>
  <si>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</si>
  <si>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</si>
  <si>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</si>
  <si>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</si>
  <si>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</si>
  <si>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</si>
  <si>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</si>
  <si>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</si>
  <si>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</si>
  <si>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</si>
  <si>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</si>
  <si>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</si>
  <si>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</si>
  <si>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</si>
  <si>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</si>
  <si>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</si>
  <si>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</si>
  <si>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</si>
  <si>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</si>
  <si>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</si>
  <si>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</si>
  <si>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</si>
  <si>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</si>
  <si>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</si>
  <si>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</si>
  <si>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</si>
  <si>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</si>
  <si>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</si>
  <si>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</si>
  <si>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</si>
  <si>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</si>
  <si>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</si>
  <si>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</si>
  <si>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</si>
  <si>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</si>
  <si>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</si>
  <si>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</si>
  <si>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</si>
  <si>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</si>
  <si>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</si>
  <si>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</si>
  <si>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</si>
  <si>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35008NT2</t>
  </si>
  <si>
    <t>GUIA SUP PARED PLUS LAC.NEGRO TEXTURADO-2 MTS</t>
  </si>
  <si>
    <t>35008NT3</t>
  </si>
  <si>
    <t>GUIA SUP PARED PLUS LAC.NEGRO TEXTURADO-3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</si>
  <si>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</si>
  <si>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</si>
  <si>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</si>
  <si>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</si>
  <si>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</si>
  <si>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</si>
  <si>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</si>
  <si>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</si>
  <si>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</si>
  <si>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</si>
  <si>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</si>
  <si>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</si>
  <si>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</si>
  <si>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</si>
  <si>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</si>
  <si>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</si>
  <si>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</si>
  <si>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</si>
  <si>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</si>
  <si>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</si>
  <si>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</si>
  <si>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</si>
  <si>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</si>
  <si>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</si>
  <si>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</si>
  <si>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</si>
  <si>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</si>
  <si>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</si>
  <si>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</si>
  <si>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</si>
  <si>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</si>
  <si>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</si>
  <si>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</si>
  <si>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</si>
  <si>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</si>
  <si>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</si>
  <si>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</si>
  <si>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</si>
  <si>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</si>
  <si>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</si>
  <si>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</si>
  <si>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</si>
  <si>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</si>
  <si>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</si>
  <si>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</si>
  <si>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</si>
  <si>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</si>
  <si>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</si>
  <si>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</si>
  <si>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</si>
  <si>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</si>
  <si>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</si>
  <si>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</si>
  <si>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</si>
  <si>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</si>
  <si>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</si>
  <si>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</si>
  <si>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</si>
  <si>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</si>
  <si>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</si>
  <si>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</si>
  <si>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</si>
  <si>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</si>
  <si>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</si>
  <si>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</si>
  <si>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</si>
  <si>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</si>
  <si>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</si>
  <si>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</si>
  <si>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</si>
  <si>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</si>
  <si>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</si>
  <si>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</si>
  <si>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</si>
  <si>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</si>
  <si>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</si>
  <si>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</si>
  <si>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</si>
  <si>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</si>
  <si>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</si>
  <si>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</si>
  <si>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</si>
  <si>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</si>
  <si>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</si>
  <si>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</si>
  <si>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</si>
  <si>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</si>
  <si>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</si>
  <si>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</si>
  <si>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</si>
  <si>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</si>
  <si>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</si>
  <si>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</si>
  <si>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</si>
  <si>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</si>
  <si>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</si>
  <si>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</si>
  <si>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</si>
  <si>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</si>
  <si>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</si>
  <si>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</si>
  <si>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</si>
  <si>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</si>
  <si>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</si>
  <si>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</si>
  <si>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</si>
  <si>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</si>
  <si>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</si>
  <si>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</si>
  <si>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</si>
  <si>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</si>
  <si>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</si>
  <si>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</si>
  <si>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</si>
  <si>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</si>
  <si>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</si>
  <si>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</si>
  <si>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</si>
  <si>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</si>
  <si>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</si>
  <si>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</si>
  <si>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</si>
  <si>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</si>
  <si>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</si>
  <si>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</si>
  <si>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</si>
  <si>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</si>
  <si>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</si>
  <si>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</si>
  <si>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</si>
  <si>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</si>
  <si>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</si>
  <si>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</si>
  <si>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</si>
  <si>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</si>
  <si>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</si>
  <si>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</si>
  <si>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</si>
  <si>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</si>
  <si>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</si>
  <si>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</si>
  <si>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</si>
  <si>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</si>
  <si>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</si>
  <si>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</si>
  <si>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</si>
  <si>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</si>
  <si>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</si>
  <si>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</si>
  <si>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</si>
  <si>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</si>
  <si>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</si>
  <si>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</si>
  <si>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</si>
  <si>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</si>
  <si>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</si>
  <si>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</si>
  <si>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</si>
  <si>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</si>
  <si>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</si>
  <si>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</si>
  <si>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</si>
  <si>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</si>
  <si>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</si>
  <si>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</si>
  <si>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</si>
  <si>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</si>
  <si>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</si>
  <si>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</si>
  <si>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</si>
  <si>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</si>
  <si>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</si>
  <si>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</si>
  <si>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</si>
  <si>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</si>
  <si>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</si>
  <si>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</si>
  <si>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</si>
  <si>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</si>
  <si>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</si>
  <si>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</si>
  <si>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</si>
  <si>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</si>
  <si>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</si>
  <si>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</si>
  <si>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</si>
  <si>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</si>
  <si>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</si>
  <si>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</si>
  <si>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</si>
  <si>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</si>
  <si>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</si>
  <si>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</si>
  <si>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</si>
  <si>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</si>
  <si>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</si>
  <si>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</si>
  <si>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</si>
  <si>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</si>
  <si>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</si>
  <si>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</si>
  <si>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</si>
  <si>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</si>
  <si>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</si>
  <si>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</si>
  <si>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</si>
  <si>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</si>
  <si>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</si>
  <si>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</si>
  <si>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</si>
  <si>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</si>
  <si>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</si>
  <si>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</si>
  <si>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</si>
  <si>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</si>
  <si>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</si>
  <si>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</si>
  <si>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</si>
  <si>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</si>
  <si>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</si>
  <si>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</si>
  <si>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</si>
  <si>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</si>
  <si>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</si>
  <si>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</si>
  <si>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</si>
  <si>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</si>
  <si>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</si>
  <si>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</si>
  <si>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</si>
  <si>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</si>
  <si>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</si>
  <si>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</si>
  <si>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</si>
  <si>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</si>
  <si>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</si>
  <si>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</si>
  <si>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</si>
  <si>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</si>
  <si>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</si>
  <si>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</si>
  <si>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</si>
  <si>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</si>
  <si>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</si>
  <si>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</si>
  <si>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</si>
  <si>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</si>
  <si>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</si>
  <si>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</si>
  <si>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</si>
  <si>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</si>
  <si>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</si>
  <si>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</si>
  <si>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</si>
  <si>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</si>
  <si>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</si>
  <si>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</si>
  <si>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</si>
  <si>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</si>
  <si>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</si>
  <si>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</si>
  <si>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</si>
  <si>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</si>
  <si>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</si>
  <si>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35014SA</t>
  </si>
  <si>
    <t>KIT ANCLAJE TECHO PARA GUIA PLADUR PLUS DEMONTABLE</t>
  </si>
  <si>
    <t>Tope Domo Decor</t>
  </si>
  <si>
    <t>35016NE</t>
  </si>
  <si>
    <t>PERNO + PRISIONERO P/KIT DIVISOR HORIZ. NEGRO</t>
  </si>
  <si>
    <t>PERFIL 3 MTS REDUCTOR PARA VIDRIO 6mm</t>
  </si>
  <si>
    <t>35018AP</t>
  </si>
  <si>
    <t>KIT PERF.CERRADERO PICO ANOD.PLATA MATE</t>
  </si>
  <si>
    <t>35018BL</t>
  </si>
  <si>
    <t>KIT PERF.CERRADERO PICO LAC.BLANCO MATE 9003</t>
  </si>
  <si>
    <t>35018MS</t>
  </si>
  <si>
    <t>KIT PERF.CERRADERO PICO LAC.MARS (OXIDO)</t>
  </si>
  <si>
    <t>35018NT</t>
  </si>
  <si>
    <t>KIT PERF.CERRADERO PICO LAC.NEGRO TEXTURADO</t>
  </si>
  <si>
    <t>35019AP</t>
  </si>
  <si>
    <t>PA CERRAD+EMB.C/CILINDRO ANOD.PLATA MATE</t>
  </si>
  <si>
    <t>35019BL</t>
  </si>
  <si>
    <t>PA CERRAD+EMB.C/CILINDRO LAC.BLANCO MATE 9003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</si>
  <si>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</si>
  <si>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</si>
  <si>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</si>
  <si>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</si>
  <si>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</si>
  <si>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</si>
  <si>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</si>
  <si>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</si>
  <si>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</si>
  <si>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</si>
  <si>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</si>
  <si>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</si>
  <si>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</si>
  <si>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</si>
  <si>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</si>
  <si>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</si>
  <si>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</si>
  <si>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</si>
  <si>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35020AP</t>
  </si>
  <si>
    <t>PA CERRAD+EMB.S/CILINDRO ANOD.PLATA MATE</t>
  </si>
  <si>
    <t>35020BL</t>
  </si>
  <si>
    <t>PA CERRAD+EMB.S/CILINDRO LAC.BLANCO MATE 9003</t>
  </si>
  <si>
    <t>35020MS</t>
  </si>
  <si>
    <t>PA CERRAD+EMB.S/CILINDRO LAC.MARS (OXIDO)</t>
  </si>
  <si>
    <t>35020NE</t>
  </si>
  <si>
    <t>PA CERRAD+EMB.S/CILINDRO LAC.NEGRO MATE</t>
  </si>
  <si>
    <t>35020NT</t>
  </si>
  <si>
    <t>PA CERRAD+EMB.S/CILINDRO LAC.NEGRO TEXTURADO</t>
  </si>
  <si>
    <t>35021AP</t>
  </si>
  <si>
    <t>PA CERRAD+EMB.CONDENA ANOD.PLATA MATE</t>
  </si>
  <si>
    <t>35021BL</t>
  </si>
  <si>
    <t>PA CERRAD+EMB.CONDENA LAC.BLANCO MATE 9003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</si>
  <si>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</si>
  <si>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</si>
  <si>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</si>
  <si>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</si>
  <si>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</si>
  <si>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</si>
  <si>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</si>
  <si>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</si>
  <si>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</si>
  <si>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</si>
  <si>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</si>
  <si>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</si>
  <si>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</si>
  <si>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</si>
  <si>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</si>
  <si>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</si>
  <si>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</si>
  <si>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</si>
  <si>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35022AP</t>
  </si>
  <si>
    <t>PA CERRADURA PICO+TIRADOR ANOD.PLATA MATE</t>
  </si>
  <si>
    <t>35022BL</t>
  </si>
  <si>
    <t>PA CERRADURA PICO+TIRADOR LAC.BLANCO MATE 9003</t>
  </si>
  <si>
    <t>35022MS</t>
  </si>
  <si>
    <t>PA CERRADURA PICO+TIRADOR LAC.MARS (OXIDO)</t>
  </si>
  <si>
    <t>35022NE</t>
  </si>
  <si>
    <t>PA CERRADURA PICO+TIRADOR LAC.NEGRO MATE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</si>
  <si>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</si>
  <si>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</si>
  <si>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</si>
  <si>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</si>
  <si>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</si>
  <si>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</si>
  <si>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35025NE</t>
  </si>
  <si>
    <t>PA CIERRE MAGNETICO NEGRO</t>
  </si>
  <si>
    <t>35026SA</t>
  </si>
  <si>
    <t>GUIADOR INFERIOR PUERTA PA</t>
  </si>
  <si>
    <t>35027AP</t>
  </si>
  <si>
    <t>GUIADOR FIJO PA ANOD.PLATA MATE</t>
  </si>
  <si>
    <t>35027BL</t>
  </si>
  <si>
    <t>GUIADOR FIJO PA LAC.BLANCO MATE 9003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</si>
  <si>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</si>
  <si>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</si>
  <si>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</si>
  <si>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</si>
  <si>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</si>
  <si>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</si>
  <si>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</si>
  <si>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</si>
  <si>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</si>
  <si>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</si>
  <si>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</si>
  <si>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</si>
  <si>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</si>
  <si>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</si>
  <si>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GUIADOR FIJO PA LAC.NEGRO TEXTURADO</t>
  </si>
  <si>
    <t>35028DAP</t>
  </si>
  <si>
    <t>ARRASTRE PUERTA PA DCHA ANOD.PLATA MATE</t>
  </si>
  <si>
    <t>35028DBL</t>
  </si>
  <si>
    <t>ARRASTRE PUERTA PA DCHA LAC.BLANCO MATE 9003</t>
  </si>
  <si>
    <t>35028DCR</t>
  </si>
  <si>
    <t>ARRASTRE PUERTA PA IZQ CRUDO</t>
  </si>
  <si>
    <t>35028DMS</t>
  </si>
  <si>
    <t>ARRASTRE PUERTA PA DCHA LAC.MARS (OXIDO)</t>
  </si>
  <si>
    <t>35028DNE</t>
  </si>
  <si>
    <t>ARRASTRE PUERTA PA DCHA LAC.NEGRO MATE</t>
  </si>
  <si>
    <t>35028IAP</t>
  </si>
  <si>
    <t>ARRASTRE PUERTA PA IZQ ANOD.PLATA MATE</t>
  </si>
  <si>
    <t>35028IBL</t>
  </si>
  <si>
    <t>ARRASTRE PUERTA PA IZQ LAC.BLANCO MATE 9003</t>
  </si>
  <si>
    <t>35028ICR</t>
  </si>
  <si>
    <t>35028ILC</t>
  </si>
  <si>
    <t>ARRASTRE PUERTA PA IZQ LACADO COLOR</t>
  </si>
  <si>
    <t>35028IMS</t>
  </si>
  <si>
    <t>ARRASTRE PUERTA PA IZQ LAC.MARS (OXIDO)</t>
  </si>
  <si>
    <t>35028INE</t>
  </si>
  <si>
    <t>ARRASTRE PUERTA PA IZQ LAC.NEGRO MATE</t>
  </si>
  <si>
    <t>CARRO SKY MADERA 60KG</t>
  </si>
  <si>
    <t>35038SA</t>
  </si>
  <si>
    <t>CARRO SKY MADERA 120KG</t>
  </si>
  <si>
    <t>35039GDSA</t>
  </si>
  <si>
    <t>KIT AMORTIGUADOR SKY GUIA DESMONT. 60KG FORMATO CORT</t>
  </si>
  <si>
    <t>35039SA</t>
  </si>
  <si>
    <t>KIT AMORTIGUADOR SKY 60KG FORMATO CORTO</t>
  </si>
  <si>
    <t>35040GDSA</t>
  </si>
  <si>
    <t>KIT AMORTIGUADOR SKY GUIA DESMONT. BIDIRECCIONAL 60KG</t>
  </si>
  <si>
    <t>KIT AMORTIGUADOR SKY BIDIRECCIONAL 60KG</t>
  </si>
  <si>
    <t>35041GDSA</t>
  </si>
  <si>
    <t>KIT AMORTIGUADOR SKY GUIA DESMONT. BIDIRECCIONAL 80KG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</si>
  <si>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</si>
  <si>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</si>
  <si>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</si>
  <si>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</si>
  <si>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</si>
  <si>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</si>
  <si>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</si>
  <si>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</si>
  <si>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</si>
  <si>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</si>
  <si>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</si>
  <si>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</si>
  <si>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</si>
  <si>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</si>
  <si>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</si>
  <si>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</si>
  <si>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35049AP</t>
  </si>
  <si>
    <t>TAPETA LAT. GUIA SKY PARED PLUS PLATA MATE</t>
  </si>
  <si>
    <t>35049BL</t>
  </si>
  <si>
    <t>TAPETA LAT. GUIA SKY PARED PLUS BLANCO</t>
  </si>
  <si>
    <t>35049MS</t>
  </si>
  <si>
    <t>TAPETA LAT. GUIA SKY PARED PLUS MARS (OXIDO)</t>
  </si>
  <si>
    <t>35049NE</t>
  </si>
  <si>
    <t>TAPETA LAT. GUIA SKY PARED PLUS NEGRO MATE</t>
  </si>
  <si>
    <t>35050BL</t>
  </si>
  <si>
    <t>MANETA TOULON LAC.BLANCO MATE 9003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</si>
  <si>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</si>
  <si>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</si>
  <si>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</si>
  <si>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</si>
  <si>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</si>
  <si>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</si>
  <si>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35052AP</t>
  </si>
  <si>
    <t>TIRADOR RECT.CAVE ANOD.PLATA MATE: 2 UDS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</si>
  <si>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</si>
  <si>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</si>
  <si>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</si>
  <si>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</si>
  <si>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</si>
  <si>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</si>
  <si>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</si>
  <si>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</si>
  <si>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</si>
  <si>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</si>
  <si>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</si>
  <si>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</si>
  <si>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35052NT</t>
  </si>
  <si>
    <t>TIRADOR RECT.CAVE LAC.NEGRO TEXTURADO: 2 UDS</t>
  </si>
  <si>
    <t>35053AP</t>
  </si>
  <si>
    <t>TIRADOR RECT.HOLE ANOD.PLATA MATE: 2 UDS</t>
  </si>
  <si>
    <t>35053BL</t>
  </si>
  <si>
    <t>TIRADOR RECT.HOLE LAC.BLANCO MATE 9003: 2 UDS</t>
  </si>
  <si>
    <t>35053MS</t>
  </si>
  <si>
    <t>TIRADOR RECT.HOLE LAC.MARS (OXIDO): 2 UDS</t>
  </si>
  <si>
    <t>35053NT</t>
  </si>
  <si>
    <t>TIRADOR RECT.HOLE LAC.NEGRO TEXTURADO: 2 UDS</t>
  </si>
  <si>
    <t>35054AP</t>
  </si>
  <si>
    <t>TIRADOR RECT.ADH CAVE ANOD.PLATA MATE: 2 UDS</t>
  </si>
  <si>
    <t>35054BL</t>
  </si>
  <si>
    <t>TIRADOR RECT.ADH CAVE LAC.BLANCO MATE 9003: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</si>
  <si>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</si>
  <si>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</si>
  <si>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</si>
  <si>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</si>
  <si>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</si>
  <si>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</si>
  <si>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</si>
  <si>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</si>
  <si>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</si>
  <si>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</si>
  <si>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</si>
  <si>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</si>
  <si>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</si>
  <si>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</si>
  <si>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TIRADOR RECT.ADH CAVE LAC.NEGRO TEXTURADO: 2 UDS</t>
  </si>
  <si>
    <t>35055AP</t>
  </si>
  <si>
    <t>TIRADOR 30X180 ANOD.PLATA MATE: 2 UDS</t>
  </si>
  <si>
    <t>35055BL</t>
  </si>
  <si>
    <t>TIRADOR 30X180 LAC.BLANCO MATE 9003: 2 UDS</t>
  </si>
  <si>
    <t>35055MS</t>
  </si>
  <si>
    <t>TIRADOR 30X180 LAC.MARS (OXIDO): 2 UDS</t>
  </si>
  <si>
    <t>35055NE</t>
  </si>
  <si>
    <t>TIRADOR 30X180 LAC.NEGRO MATE: 2 UDS</t>
  </si>
  <si>
    <t>35056AP</t>
  </si>
  <si>
    <t>TIRADOR L 30X180 ANOD.PLATA MATE: 2 UDS</t>
  </si>
  <si>
    <t>35056BL</t>
  </si>
  <si>
    <t>TIRADOR L 30X180 LAC.BLANCO MATE 9003: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</si>
  <si>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</si>
  <si>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</si>
  <si>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</si>
  <si>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</si>
  <si>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</si>
  <si>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</si>
  <si>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</si>
  <si>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</si>
  <si>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</si>
  <si>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</si>
  <si>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</si>
  <si>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</si>
  <si>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</si>
  <si>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</si>
  <si>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35056NT</t>
  </si>
  <si>
    <t>TIRADOR L 30X180 LAC.NEGRO TEXTURADO: 2 UDS</t>
  </si>
  <si>
    <t>35060SA</t>
  </si>
  <si>
    <t>TAPA PERFIL REVESTIMIENTO 15X30 MM</t>
  </si>
  <si>
    <t>35061SA</t>
  </si>
  <si>
    <t>TAPA PERFIL REVESTIMIENTO 30X30 MM</t>
  </si>
  <si>
    <t>35062SA</t>
  </si>
  <si>
    <t>TAPA PERFIL REVESTIMIENTO 60X30 MM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</si>
  <si>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</si>
  <si>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</si>
  <si>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</si>
  <si>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</si>
  <si>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</si>
  <si>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</si>
  <si>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</si>
  <si>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</si>
  <si>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</si>
  <si>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</si>
  <si>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</si>
  <si>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</si>
  <si>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</si>
  <si>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</si>
  <si>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</si>
  <si>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</si>
  <si>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35071M01</t>
  </si>
  <si>
    <t>PERFIL 6 MT REVEST 15 CHAPA ROBLE</t>
  </si>
  <si>
    <t>35071M02</t>
  </si>
  <si>
    <t>PERFIL 6 MT REVEST 15 CHAPA SAPELLY</t>
  </si>
  <si>
    <t>35071M03</t>
  </si>
  <si>
    <t>PERFIL 6 MT REVEST 15 CHAPA CEREZO</t>
  </si>
  <si>
    <t>35071M04</t>
  </si>
  <si>
    <t>PERFIL 6 MT REVEST 15 CHAPA PINO</t>
  </si>
  <si>
    <t>35071M05</t>
  </si>
  <si>
    <t>PERFIL 6 MT REVEST 15 CHAPA HAYA</t>
  </si>
  <si>
    <t>35071M06</t>
  </si>
  <si>
    <t>PERFIL 6 MT REVEST 15 CHAPA HAYA VAPOR</t>
  </si>
  <si>
    <t>35071M07</t>
  </si>
  <si>
    <t>PERFIL 6 MT REVEST 15 CHAPA FRESNO</t>
  </si>
  <si>
    <t>35071MD</t>
  </si>
  <si>
    <t>PERFIL 6 MT REVEST 15 CHAPA LAC. MADERA</t>
  </si>
  <si>
    <t>35071ST</t>
  </si>
  <si>
    <t>PERFIL 6 MT REVEST 15 CHAPA LAC. STANDARD</t>
  </si>
  <si>
    <t>35071V04</t>
  </si>
  <si>
    <t>PERFIL 6 MT REVEST 15 VINILO HALIFAX NATURAL</t>
  </si>
  <si>
    <t>35072BL60</t>
  </si>
  <si>
    <t>PERFIL 6 MT REVEST 30 BLANCO</t>
  </si>
  <si>
    <t>35072CR40</t>
  </si>
  <si>
    <t>PERFIL 4 MT REVEST 30 CRUDO</t>
  </si>
  <si>
    <t>35072CR60</t>
  </si>
  <si>
    <t>PERFIL 6 MT REVEST 30 CRUDO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</si>
  <si>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</si>
  <si>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</si>
  <si>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</si>
  <si>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</si>
  <si>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</si>
  <si>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</si>
  <si>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</si>
  <si>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</si>
  <si>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</si>
  <si>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PERFIL 6 MT REVEST 30 CHAPA ROBLE</t>
  </si>
  <si>
    <t>35072M0260</t>
  </si>
  <si>
    <t>PERFIL 6 MT REVEST 30 CHAPA SAPELLY</t>
  </si>
  <si>
    <t>35072M0360</t>
  </si>
  <si>
    <t>PERFIL 6 MT REVEST 30 CHAPA CEREZO</t>
  </si>
  <si>
    <t>35072M0460</t>
  </si>
  <si>
    <t>PERFIL 6 MT REVEST 30 CHAPA PINO</t>
  </si>
  <si>
    <t>35072M0560</t>
  </si>
  <si>
    <t>PERFIL 6 MT REVEST 30 CHAPA HAYA</t>
  </si>
  <si>
    <t>35072M0660</t>
  </si>
  <si>
    <t>PERFIL 6 MT REVEST 30 CHAPA HAYA VAPOR</t>
  </si>
  <si>
    <t>35072M0760</t>
  </si>
  <si>
    <t>PERFIL 6 MT REVEST 30 CHAPA FRESNO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</si>
  <si>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</si>
  <si>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</si>
  <si>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</si>
  <si>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</si>
  <si>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</si>
  <si>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</si>
  <si>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</si>
  <si>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PERFIL 6 MT REVEST 30 VINILO HALIFAX NATURAL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</si>
  <si>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</si>
  <si>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</si>
  <si>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</si>
  <si>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</si>
  <si>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</si>
  <si>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</si>
  <si>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</si>
  <si>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</si>
  <si>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</si>
  <si>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</si>
  <si>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</si>
  <si>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</si>
  <si>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35073M01</t>
  </si>
  <si>
    <t>PERFIL 6 MT REVEST 60 CHAPA ROBLE</t>
  </si>
  <si>
    <t>35073M02</t>
  </si>
  <si>
    <t>PERFIL 6 MT REVEST 60 CHAPA SAPELLY</t>
  </si>
  <si>
    <t>35073M03</t>
  </si>
  <si>
    <t>PERFIL 6 MT REVEST 60 CHAPA CEREZO</t>
  </si>
  <si>
    <t>35073M04</t>
  </si>
  <si>
    <t>PERFIL 6 MT REVEST 60 CHAPA PINO</t>
  </si>
  <si>
    <t>35073M05</t>
  </si>
  <si>
    <t>PERFIL 6 MT REVEST 60 CHAPA HAYA</t>
  </si>
  <si>
    <t>35073M06</t>
  </si>
  <si>
    <t>PERFIL 6 MT REVEST 60 CHAPA HAYA VAPOR</t>
  </si>
  <si>
    <t>35073M07</t>
  </si>
  <si>
    <t>PERFIL 6 MT REVEST 60 CHAPA FRESNO</t>
  </si>
  <si>
    <t>35073MD</t>
  </si>
  <si>
    <t>PERFIL 6 MT REVEST 60 LAC. MADERA</t>
  </si>
  <si>
    <t>35073ST</t>
  </si>
  <si>
    <t>PERFIL 6 MT REVEST 60 LAC. STANDARD</t>
  </si>
  <si>
    <t>35073V04</t>
  </si>
  <si>
    <t>PERFIL 6 MT REVEST 60 VINILO HALIFAX NATURAL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</si>
  <si>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</si>
  <si>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</si>
  <si>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</si>
  <si>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</si>
  <si>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</si>
  <si>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</si>
  <si>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</si>
  <si>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</si>
  <si>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</si>
  <si>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</si>
  <si>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</si>
  <si>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</si>
  <si>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35074M01</t>
  </si>
  <si>
    <t>PERFIL 6 MT REVEST 30X30 CHAPA ROBLE</t>
  </si>
  <si>
    <t>35074M02</t>
  </si>
  <si>
    <t>PERFIL 6 MT REVEST 30X30 CHAPA SAPELLY</t>
  </si>
  <si>
    <t>35074M03</t>
  </si>
  <si>
    <t>PERFIL 6 MT REVEST 30X30 CHAPA CEREZO</t>
  </si>
  <si>
    <t>35074M04</t>
  </si>
  <si>
    <t>PERFIL 6 MT REVEST 30X30 CHAPA PINO</t>
  </si>
  <si>
    <t>35074M05</t>
  </si>
  <si>
    <t>PERFIL 6 MT REVEST 30X30 CHAPA HAYA</t>
  </si>
  <si>
    <t>35074M06</t>
  </si>
  <si>
    <t>PERFIL 6 MT REVEST 30X30 CHAPA HAYA Y</t>
  </si>
  <si>
    <t>35074M07</t>
  </si>
  <si>
    <t>PERFIL 6 MT REVEST 30X30 CHAPA FRESNO</t>
  </si>
  <si>
    <t>35074MD</t>
  </si>
  <si>
    <t>PERFIL 6 MT REVEST 30X30 CHAPA LAC. MADERA</t>
  </si>
  <si>
    <t>35074ST</t>
  </si>
  <si>
    <t>PERFIL 6 MT REVEST 30X30 CHAPA LAC. STANDARD</t>
  </si>
  <si>
    <t>35074V04</t>
  </si>
  <si>
    <t>PERFIL 6 MT REVEST 30X30 VINILO HALIFAX NATURAL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</si>
  <si>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</si>
  <si>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</si>
  <si>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</si>
  <si>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</si>
  <si>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</si>
  <si>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</si>
  <si>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</si>
  <si>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</si>
  <si>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</si>
  <si>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</si>
  <si>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</si>
  <si>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</si>
  <si>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35075M01</t>
  </si>
  <si>
    <t>PERFIL 6 MT REVEST 30X150 CHAPA ROBLE</t>
  </si>
  <si>
    <t>35075M02</t>
  </si>
  <si>
    <t>PERFIL 6 MT REVEST 30X150 CHAPA SAPELLY</t>
  </si>
  <si>
    <t>35075M03</t>
  </si>
  <si>
    <t>PERFIL 6 MT REVEST 30X150 CHAPA CEREZO</t>
  </si>
  <si>
    <t>35075M04</t>
  </si>
  <si>
    <t>PERFIL 6 MT REVEST 30X150 CHAPA PINO</t>
  </si>
  <si>
    <t>35075M05</t>
  </si>
  <si>
    <t>PERFIL 6 MT REVEST 30X150 CHAPA HAYA</t>
  </si>
  <si>
    <t>35075M06</t>
  </si>
  <si>
    <t>PERFIL 6 MT REVEST 30X150 CHAPA HAYA VAPOR</t>
  </si>
  <si>
    <t>35075M07</t>
  </si>
  <si>
    <t>PERFIL 6 MT REVEST 30X150 CHAPA FRESNO</t>
  </si>
  <si>
    <t>35075MD</t>
  </si>
  <si>
    <t>PERFIL 6 MT REVEST 30X150 CHAPA LAC. MADERA</t>
  </si>
  <si>
    <t>35075ST</t>
  </si>
  <si>
    <t>PERFIL 6 MT REVEST 30X150 CHAPA LAC. STANDARD</t>
  </si>
  <si>
    <t>35075V04</t>
  </si>
  <si>
    <t>PERFIL 6 MT REVEST 30X150 VINILO HALIFAX NATURAL</t>
  </si>
  <si>
    <t>35075V06</t>
  </si>
  <si>
    <t>PERFIL 6 MT REVEST 30X150 VINILO HALIFAX BLANCO</t>
  </si>
  <si>
    <t>35081BL2</t>
  </si>
  <si>
    <t>CASC.TRIPLE GUIA DESM.LAC.BLANCO MATE 9003-2 MTS</t>
  </si>
  <si>
    <t>35081BL3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</si>
  <si>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</si>
  <si>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</si>
  <si>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</si>
  <si>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</si>
  <si>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</si>
  <si>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</si>
  <si>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</si>
  <si>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</si>
  <si>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</si>
  <si>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</si>
  <si>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</si>
  <si>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</si>
  <si>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</si>
  <si>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</si>
  <si>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</si>
  <si>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</si>
  <si>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</si>
  <si>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</si>
  <si>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</si>
  <si>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</si>
  <si>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</si>
  <si>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</si>
  <si>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</si>
  <si>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</si>
  <si>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</si>
  <si>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</si>
  <si>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</si>
  <si>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</si>
  <si>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</si>
  <si>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</si>
  <si>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</si>
  <si>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</si>
  <si>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</si>
  <si>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</si>
  <si>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</si>
  <si>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</si>
  <si>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</si>
  <si>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</si>
  <si>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</si>
  <si>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</si>
  <si>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</si>
  <si>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</si>
  <si>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</si>
  <si>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</si>
  <si>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</si>
  <si>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35100BL</t>
  </si>
  <si>
    <t>MARCO MAGNET PUERTA DOBLE LAC.BLANCO MATE 9003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</si>
  <si>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</si>
  <si>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</si>
  <si>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</si>
  <si>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</si>
  <si>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</si>
  <si>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</si>
  <si>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</si>
  <si>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</si>
  <si>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</si>
  <si>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</si>
  <si>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</si>
  <si>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</si>
  <si>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35100NT</t>
  </si>
  <si>
    <t>MARCO MAGNET PUERTA DOBLE LAC.NEGRO TEXTURADO</t>
  </si>
  <si>
    <t>35900BL30</t>
  </si>
  <si>
    <t>GUIA 44MM D-DECOR FIJO BLANCO 9003 MATE 3 MTS</t>
  </si>
  <si>
    <t>35900BL65</t>
  </si>
  <si>
    <t>GUIA 44MM D-DECOR FIJO BLANCO 9003 MATE 6,5 MTS</t>
  </si>
  <si>
    <t>35900CR30</t>
  </si>
  <si>
    <t>GUIA 44MM D-DECOR FIJO CRUDO 3 MTS</t>
  </si>
  <si>
    <t>35900CR65</t>
  </si>
  <si>
    <t>GUIA 44MM D-DECOR FIJO CRUDO 6,5 MTS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</si>
  <si>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</si>
  <si>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</si>
  <si>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</si>
  <si>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</si>
  <si>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</si>
  <si>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</si>
  <si>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</si>
  <si>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</si>
  <si>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35900MS30</t>
  </si>
  <si>
    <t>GUIA 44MM D-DECOR FIJO MARS (OXIDO)3 MTS</t>
  </si>
  <si>
    <t>35900MS65</t>
  </si>
  <si>
    <t>GUIA 44MM D-DECOR FIJO MARS (OXIDO) 6,5 MTS</t>
  </si>
  <si>
    <t>35900NT30</t>
  </si>
  <si>
    <t>GUIA 44MM D-DECOR FIJO NEGRO TEXT 3 MTS</t>
  </si>
  <si>
    <t>35900NT65</t>
  </si>
  <si>
    <t>GUIA 44MM D-DECOR FIJO NEGRO TEXT 6,5 MTS</t>
  </si>
  <si>
    <t>35901AP65</t>
  </si>
  <si>
    <t>ANCLAJE TAPA 35MM D-DECOR FIJO ANOD. PLATA 6,5 MTS</t>
  </si>
  <si>
    <t>35901BL30</t>
  </si>
  <si>
    <t>ANCLAJE TAPA 35MM D-DECOR FIJO BLANCO 9003 M 3 MT</t>
  </si>
  <si>
    <t>35901BL65</t>
  </si>
  <si>
    <t>ANCLAJE TAPA 35MM D-DECOR FIJO BLAN 9003 M 6,5 MT</t>
  </si>
  <si>
    <t>35901CR30</t>
  </si>
  <si>
    <t>ANCLAJE TAPA 35MM D-DECOR FIJO CRUDO 3 MTS</t>
  </si>
  <si>
    <t>35901CR65</t>
  </si>
  <si>
    <t>ANCLAJE TAPA 35MM D-DECOR FIJO CRUDO 6,5 MTS</t>
  </si>
  <si>
    <t>35901LC330</t>
  </si>
  <si>
    <t>ANCLAJE TAPA 35MM D-DECOR FIJO LAC.ESP.1 3 MTS</t>
  </si>
  <si>
    <t>35901LC365</t>
  </si>
  <si>
    <t>ANCLAJE TAPA 35MM D-DECOR FIJO LAC.ESP.1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</si>
  <si>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</si>
  <si>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</si>
  <si>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</si>
  <si>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</si>
  <si>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</si>
  <si>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</si>
  <si>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</si>
  <si>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</si>
  <si>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</si>
  <si>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</si>
  <si>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</si>
  <si>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</si>
  <si>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</si>
  <si>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</si>
  <si>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</si>
  <si>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</si>
  <si>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</si>
  <si>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</si>
  <si>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35901NT30</t>
  </si>
  <si>
    <t>ANCLAJE TAPA 35MM D-DECOR FIJO NEGRO TEXT 3 MTS</t>
  </si>
  <si>
    <t>ANCLAJE TAPA 35MM D-DECOR FIJO NEGRO TEXT 6,5 MTS</t>
  </si>
  <si>
    <t>35902BL30</t>
  </si>
  <si>
    <t>PERFIL MINIMALISTA D-DECOR FIJO BLANCO 9003 M 3 MT</t>
  </si>
  <si>
    <t>35902BL65</t>
  </si>
  <si>
    <t>PERFIL MINIMAL. D-DECOR FIJO BLANCO 9003 M 6,5 MT</t>
  </si>
  <si>
    <t>35902CR30</t>
  </si>
  <si>
    <t>PERFIL MINIMALISTA D-DECOR FIJO CRUDO 3 MTS</t>
  </si>
  <si>
    <t>35902CR65</t>
  </si>
  <si>
    <t>PERFIL MINIMALISTA D-DECOR FIJO CRUDO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</si>
  <si>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</si>
  <si>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</si>
  <si>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</si>
  <si>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</si>
  <si>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</si>
  <si>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</si>
  <si>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</si>
  <si>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</si>
  <si>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</si>
  <si>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</si>
  <si>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</si>
  <si>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</si>
  <si>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</si>
  <si>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</si>
  <si>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</si>
  <si>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</si>
  <si>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</si>
  <si>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</si>
  <si>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PERFIL MINIMALISTA D-DECOR FIJO NEGRO TEXT 3 MTS</t>
  </si>
  <si>
    <t>35902NT65</t>
  </si>
  <si>
    <t>PERFIL MINIMALISTA D-DECOR FIJO NEGRO TEXT 6,5 MTS</t>
  </si>
  <si>
    <t>35903AP65</t>
  </si>
  <si>
    <t>MARCO FIJOS 35MM D-DECOR FIJO ANOD.PLATA 6,5 MTS</t>
  </si>
  <si>
    <t>35903BL30</t>
  </si>
  <si>
    <t>MARCO FIJOS 35MM D-DECOR FIJO BLAN 9003 MATE 3 MT</t>
  </si>
  <si>
    <t>35903BL65</t>
  </si>
  <si>
    <t>MARCO FIJOS 35MM D-DECOR FIJO BLANCO 9003 M 6,5 MT</t>
  </si>
  <si>
    <t>35903CR30</t>
  </si>
  <si>
    <t>MARCO FIJOS 35MM D-DECOR FIJO CRUDO 3 MTS</t>
  </si>
  <si>
    <t>35903CR65</t>
  </si>
  <si>
    <t>MARCO FIJOS 35MM D-DECOR FIJO CRUDO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</si>
  <si>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</si>
  <si>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</si>
  <si>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</si>
  <si>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</si>
  <si>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</si>
  <si>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</si>
  <si>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</si>
  <si>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</si>
  <si>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</si>
  <si>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</si>
  <si>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</si>
  <si>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</si>
  <si>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</si>
  <si>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</si>
  <si>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</si>
  <si>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</si>
  <si>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</si>
  <si>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</si>
  <si>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</si>
  <si>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</si>
  <si>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</si>
  <si>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</si>
  <si>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</si>
  <si>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35903NT30</t>
  </si>
  <si>
    <t>MARCO FIJOS 35MM D-DECOR FIJO NEGRO TEXT 3 MTS</t>
  </si>
  <si>
    <t>MARCO FIJOS 35MM D-DECOR FIJO NEGRO TEXT 6,5 MTS</t>
  </si>
  <si>
    <t>35904BL30</t>
  </si>
  <si>
    <t>TAPA GUIA 40MM D-DECOR FIJO BLANCO 9003 MATE 3 MTS</t>
  </si>
  <si>
    <t>35904BL65</t>
  </si>
  <si>
    <t>TAPA GUIA 40MM D-DECOR FIJO BLANCO 9003 M. 6,5 MT</t>
  </si>
  <si>
    <t>35904CR30</t>
  </si>
  <si>
    <t>TAPA GUIA 40MM D-DECOR FIJO CRUDO 3 MTS</t>
  </si>
  <si>
    <t>35904CR65</t>
  </si>
  <si>
    <t>TAPA GUIA 40MM D-DECOR FIJO CRUDO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</si>
  <si>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</si>
  <si>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</si>
  <si>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</si>
  <si>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</si>
  <si>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</si>
  <si>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</si>
  <si>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</si>
  <si>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</si>
  <si>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35904MS30</t>
  </si>
  <si>
    <t>TAPA GUIA 40MM D-DECOR FIJO MARS (OXIDO) 3 MTS</t>
  </si>
  <si>
    <t>35904MS65</t>
  </si>
  <si>
    <t>TAPA GUIA 40MM D-DECOR FIJO MARS (OXIDO) 6,5 MTS</t>
  </si>
  <si>
    <t>35904NT30</t>
  </si>
  <si>
    <t>TAPA GUIA 40MM D-DECOR FIJO NEGRO TEXT 3 MTS</t>
  </si>
  <si>
    <t>35904NT65</t>
  </si>
  <si>
    <t>TAPA GUIA 40MM D-DECOR FIJO NEGRO TEXT 6,5 MTS</t>
  </si>
  <si>
    <t>35905AP65</t>
  </si>
  <si>
    <t>TAPA MARCO 35MM D-DECOR FIJO ANOD.PLATA 6,5 MTS</t>
  </si>
  <si>
    <t>35905BL30</t>
  </si>
  <si>
    <t>TAPA MARCO 35MM D-DECOR FIJO BLANCO 9003 MATE 3 MT</t>
  </si>
  <si>
    <t>35905BL65</t>
  </si>
  <si>
    <t>TAPA MARCO 35MM D-DECOR FIJO BLANCO 9003 M. 6,5 MT</t>
  </si>
  <si>
    <t>35905CR30</t>
  </si>
  <si>
    <t>TAPA MARCO 35MM D-DECOR FIJO CRUDO 3 MTS</t>
  </si>
  <si>
    <t>35905CR65</t>
  </si>
  <si>
    <t>TAPA MARCO 35MM D-DECOR FIJO CRUDO 6,5 MTS</t>
  </si>
  <si>
    <t>35905LC330</t>
  </si>
  <si>
    <t>TAPA MARCO 35MM D-DECOR FIJO LAC.ESP.1 3 MTS</t>
  </si>
  <si>
    <t>35905LC365</t>
  </si>
  <si>
    <t>TAPA MARCO 35MM D-DECOR FIJO LAC.ESP.1 6,5 MTS</t>
  </si>
  <si>
    <t>35905LC530</t>
  </si>
  <si>
    <t>TAPA MARCO 35MM D-DECOR FIJO LAC MADERA 5 3 MTS</t>
  </si>
  <si>
    <t>35905LC565</t>
  </si>
  <si>
    <t>TAPA MARCO 35MM D-DECOR FIJO LAC MADERA 5 6,5 MTS</t>
  </si>
  <si>
    <t>35905LC630</t>
  </si>
  <si>
    <t>TAPA MARCO 35MM D-DECOR FIJO LAC.ESP.2 3 MTS</t>
  </si>
  <si>
    <t>35905LC665</t>
  </si>
  <si>
    <t>TAPA MARCO 35MM D-DECOR FIJO LAC.ESP.2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</si>
  <si>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</si>
  <si>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</si>
  <si>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</si>
  <si>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</si>
  <si>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</si>
  <si>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</si>
  <si>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</si>
  <si>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</si>
  <si>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</si>
  <si>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</si>
  <si>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</si>
  <si>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</si>
  <si>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</si>
  <si>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</si>
  <si>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</si>
  <si>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</si>
  <si>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35905NT30</t>
  </si>
  <si>
    <t>TAPA MARCO 35MM D-DECOR FIJO NEGRO TEXT 3 MTS</t>
  </si>
  <si>
    <t>TAPA MARCO 35MM D-DECOR FIJO NEGRO TEXT 6,5 MTS</t>
  </si>
  <si>
    <t>35905ST30</t>
  </si>
  <si>
    <t>TAPA MARCO 35MM D-DECOR FIJO LAC.ESTANDAR 3 MTS</t>
  </si>
  <si>
    <t>35905ST65</t>
  </si>
  <si>
    <t>TAPA MARCO 35MM D-DECOR FIJO LAC.ESTANDAR 6,5 MTS</t>
  </si>
  <si>
    <t>35906BL30</t>
  </si>
  <si>
    <t>COMPLEMENTO D-DECOR FIJO BLANCO 9003 MATE 3 MTS</t>
  </si>
  <si>
    <t>35906BL65</t>
  </si>
  <si>
    <t>COMPLEMENTO D-DECOR FIJO BLANCO 9003 MATE 6,5 MTS</t>
  </si>
  <si>
    <t>35906CR30</t>
  </si>
  <si>
    <t>COMPLEMENTO D-DECOR FIJO CRUDO 3 MTS</t>
  </si>
  <si>
    <t>35906CR65</t>
  </si>
  <si>
    <t>COMPLEMENTO D-DECOR FIJO CRUDO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</si>
  <si>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</si>
  <si>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</si>
  <si>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</si>
  <si>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</si>
  <si>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</si>
  <si>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</si>
  <si>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</si>
  <si>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</si>
  <si>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</si>
  <si>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</si>
  <si>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</si>
  <si>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</si>
  <si>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</si>
  <si>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</si>
  <si>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35906NT30</t>
  </si>
  <si>
    <t>COMPLEMENTO D-DECOR FIJO NEGRO TEXT 3 MTS</t>
  </si>
  <si>
    <t>35906NT65</t>
  </si>
  <si>
    <t>COMPLEMENTO D-DECOR FIJO NEGRO TEXT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</si>
  <si>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</si>
  <si>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</si>
  <si>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</si>
  <si>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</si>
  <si>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</si>
  <si>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</si>
  <si>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</si>
  <si>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</si>
  <si>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</si>
  <si>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</si>
  <si>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</si>
  <si>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</si>
  <si>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</si>
  <si>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</si>
  <si>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</si>
  <si>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</si>
  <si>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</si>
  <si>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</si>
  <si>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</si>
  <si>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</si>
  <si>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</si>
  <si>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</si>
  <si>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</si>
  <si>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</si>
  <si>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</si>
  <si>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</si>
  <si>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35908NT30</t>
  </si>
  <si>
    <t>TAPA MARCO 46MM D-DECOR FIJO NEGRO TEXT 3 MTS</t>
  </si>
  <si>
    <t>35908NT65</t>
  </si>
  <si>
    <t>TAPA MARCO 46MM D-DECOR FIJO NEGRO TEXTURADO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</si>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</sst>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"/>
    <numFmt numFmtId="165" formatCode="#,##0.00\ [$€-C0A];[Red]\-#,##0.00\ [$€-C0A]"/>
    <numFmt numFmtId="166" formatCode="0.000"/>
    <numFmt numFmtId="167" formatCode="D/M/YYYY"/>
    <numFmt numFmtId="168" formatCode="_-* #,##0.00\ &quot;€&quot;_-;\-* #,##0.00\ &quot;€&quot;_-;_-* &quot;-&quot;??\ &quot;€&quot;_-;_-@"/>
  </numFmts>
  <fonts count="16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71B49"/>
      <name val="Calibri"/>
    </font>
    <font>
      <b/>
      <sz val="11.0"/>
      <color rgb="FF000000"/>
      <name val="Calibri"/>
    </font>
    <font>
      <b/>
      <sz val="14.0"/>
      <color rgb="FF071B49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sz val="11.0"/>
      <color rgb="FF00B050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sz val="14.0"/>
      <color theme="1"/>
      <name val="Arial"/>
    </font>
    <font>
      <sz val="11.0"/>
      <color rgb="FFC9211E"/>
      <name val="Calibri"/>
    </font>
    <font>
      <sz val="11.0"/>
      <color rgb="FFFF0000"/>
      <name val="Calibri"/>
    </font>
    <font>
      <b/>
      <sz val="11.0"/>
      <color rgb="FFC9211E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203864"/>
        <bgColor rgb="FF203864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4B183"/>
        <bgColor rgb="FFF4B183"/>
      </patternFill>
    </fill>
    <fill>
      <patternFill patternType="solid">
        <fgColor rgb="FFA9D18E"/>
        <bgColor rgb="FFA9D18E"/>
      </patternFill>
    </fill>
    <fill>
      <patternFill patternType="solid">
        <fgColor rgb="FFFFC000"/>
        <bgColor rgb="FFFFC000"/>
      </patternFill>
    </fill>
  </fills>
  <borders count="10">
    <border/>
    <border>
      <left/>
      <top/>
      <bottom/>
    </border>
    <border>
      <right/>
      <top/>
      <bottom/>
    </border>
    <border>
      <left/>
      <right/>
      <top/>
      <bottom/>
    </border>
    <border>
      <left/>
      <right/>
      <top/>
      <bottom style="thin">
        <color rgb="FF808080"/>
      </bottom>
    </border>
    <border>
      <left/>
      <right/>
      <top style="thin">
        <color rgb="FF808080"/>
      </top>
      <bottom/>
    </border>
    <border>
      <left/>
      <right style="thin">
        <color rgb="FF000000"/>
      </right>
      <top/>
      <bottom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top/>
      <bottom/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vertical="center"/>
    </xf>
    <xf borderId="2" fillId="0" fontId="5" numFmtId="0" xfId="0" applyBorder="1" applyFont="1"/>
    <xf borderId="3" fillId="3" fontId="1" numFmtId="0" xfId="0" applyBorder="1" applyFill="1" applyFont="1"/>
    <xf borderId="3" fillId="4" fontId="6" numFmtId="0" xfId="0" applyAlignment="1" applyBorder="1" applyFill="1" applyFont="1">
      <alignment horizontal="center" vertical="center"/>
    </xf>
    <xf borderId="3" fillId="4" fontId="6" numFmtId="0" xfId="0" applyAlignment="1" applyBorder="1" applyFont="1">
      <alignment horizontal="right" vertical="center"/>
    </xf>
    <xf borderId="0" fillId="0" fontId="3" numFmtId="0" xfId="0" applyFont="1"/>
    <xf borderId="0" fillId="0" fontId="1" numFmtId="0" xfId="0" applyAlignment="1" applyFont="1">
      <alignment horizontal="right"/>
    </xf>
    <xf borderId="0" fillId="0" fontId="3" numFmtId="164" xfId="0" applyFont="1" applyNumberFormat="1"/>
    <xf borderId="0" fillId="0" fontId="3" numFmtId="0" xfId="0" applyAlignment="1" applyFont="1">
      <alignment vertical="top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left" vertical="center"/>
    </xf>
    <xf borderId="4" fillId="4" fontId="3" numFmtId="49" xfId="0" applyAlignment="1" applyBorder="1" applyFont="1" applyNumberFormat="1">
      <alignment horizontal="left" vertical="center"/>
    </xf>
    <xf borderId="4" fillId="4" fontId="3" numFmtId="0" xfId="0" applyAlignment="1" applyBorder="1" applyFont="1">
      <alignment horizontal="left" vertical="center"/>
    </xf>
    <xf borderId="4" fillId="4" fontId="3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right" vertical="center"/>
    </xf>
    <xf borderId="0" fillId="0" fontId="7" numFmtId="0" xfId="0" applyFont="1"/>
    <xf borderId="3" fillId="4" fontId="3" numFmtId="0" xfId="0" applyAlignment="1" applyBorder="1" applyFont="1">
      <alignment horizontal="left" vertical="center"/>
    </xf>
    <xf borderId="1" fillId="4" fontId="1" numFmtId="0" xfId="0" applyAlignment="1" applyBorder="1" applyFont="1">
      <alignment horizontal="left" vertical="center"/>
    </xf>
    <xf borderId="3" fillId="4" fontId="1" numFmtId="0" xfId="0" applyAlignment="1" applyBorder="1" applyFont="1">
      <alignment horizontal="center" vertical="center"/>
    </xf>
    <xf borderId="3" fillId="4" fontId="1" numFmtId="165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vertical="center"/>
    </xf>
    <xf borderId="0" fillId="0" fontId="7" numFmtId="165" xfId="0" applyFont="1" applyNumberFormat="1"/>
    <xf borderId="3" fillId="4" fontId="8" numFmtId="165" xfId="0" applyAlignment="1" applyBorder="1" applyFont="1" applyNumberFormat="1">
      <alignment horizontal="right" vertical="center"/>
    </xf>
    <xf borderId="5" fillId="4" fontId="3" numFmtId="0" xfId="0" applyAlignment="1" applyBorder="1" applyFont="1">
      <alignment vertical="center"/>
    </xf>
    <xf borderId="5" fillId="4" fontId="1" numFmtId="166" xfId="0" applyAlignment="1" applyBorder="1" applyFont="1" applyNumberFormat="1">
      <alignment horizontal="right" vertical="center"/>
    </xf>
    <xf borderId="5" fillId="4" fontId="3" numFmtId="165" xfId="0" applyAlignment="1" applyBorder="1" applyFont="1" applyNumberFormat="1">
      <alignment horizontal="right" vertical="center"/>
    </xf>
    <xf borderId="3" fillId="4" fontId="3" numFmtId="0" xfId="0" applyBorder="1" applyFont="1"/>
    <xf borderId="3" fillId="4" fontId="1" numFmtId="0" xfId="0" applyBorder="1" applyFont="1"/>
    <xf borderId="3" fillId="4" fontId="1" numFmtId="166" xfId="0" applyAlignment="1" applyBorder="1" applyFont="1" applyNumberFormat="1">
      <alignment horizontal="right" vertical="center"/>
    </xf>
    <xf borderId="3" fillId="4" fontId="1" numFmtId="0" xfId="0" applyAlignment="1" applyBorder="1" applyFont="1">
      <alignment vertical="top"/>
    </xf>
    <xf borderId="3" fillId="4" fontId="1" numFmtId="0" xfId="0" applyAlignment="1" applyBorder="1" applyFont="1">
      <alignment shrinkToFit="0" vertical="top" wrapText="1"/>
    </xf>
    <xf borderId="3" fillId="4" fontId="1" numFmtId="0" xfId="0" applyAlignment="1" applyBorder="1" applyFont="1">
      <alignment horizontal="left" vertical="top"/>
    </xf>
    <xf borderId="4" fillId="4" fontId="1" numFmtId="0" xfId="0" applyAlignment="1" applyBorder="1" applyFont="1">
      <alignment horizontal="left" vertical="top"/>
    </xf>
    <xf borderId="4" fillId="4" fontId="1" numFmtId="0" xfId="0" applyAlignment="1" applyBorder="1" applyFont="1">
      <alignment shrinkToFit="0" vertical="top" wrapText="1"/>
    </xf>
    <xf borderId="3" fillId="4" fontId="9" numFmtId="0" xfId="0" applyAlignment="1" applyBorder="1" applyFont="1">
      <alignment vertical="top"/>
    </xf>
    <xf borderId="3" fillId="4" fontId="1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6" fillId="5" fontId="10" numFmtId="0" xfId="0" applyBorder="1" applyFill="1" applyFont="1"/>
    <xf borderId="3" fillId="5" fontId="10" numFmtId="0" xfId="0" applyAlignment="1" applyBorder="1" applyFont="1">
      <alignment vertical="top"/>
    </xf>
    <xf borderId="6" fillId="4" fontId="1" numFmtId="0" xfId="0" applyBorder="1" applyFont="1"/>
    <xf borderId="0" fillId="0" fontId="1" numFmtId="0" xfId="0" applyAlignment="1" applyFont="1">
      <alignment horizontal="center"/>
    </xf>
    <xf borderId="3" fillId="5" fontId="11" numFmtId="0" xfId="0" applyAlignment="1" applyBorder="1" applyFont="1">
      <alignment horizontal="center" vertical="center"/>
    </xf>
    <xf borderId="3" fillId="5" fontId="11" numFmtId="0" xfId="0" applyAlignment="1" applyBorder="1" applyFont="1">
      <alignment horizontal="center" shrinkToFit="0" vertical="center" wrapText="1"/>
    </xf>
    <xf borderId="3" fillId="6" fontId="11" numFmtId="0" xfId="0" applyAlignment="1" applyBorder="1" applyFill="1" applyFont="1">
      <alignment horizontal="center" vertical="center"/>
    </xf>
    <xf borderId="3" fillId="6" fontId="1" numFmtId="0" xfId="0" applyBorder="1" applyFont="1"/>
    <xf borderId="7" fillId="5" fontId="11" numFmtId="0" xfId="0" applyAlignment="1" applyBorder="1" applyFont="1">
      <alignment horizontal="center" vertical="center"/>
    </xf>
    <xf borderId="8" fillId="4" fontId="9" numFmtId="0" xfId="0" applyAlignment="1" applyBorder="1" applyFont="1">
      <alignment horizontal="left" shrinkToFit="0" vertical="top" wrapText="1"/>
    </xf>
    <xf borderId="8" fillId="5" fontId="11" numFmtId="0" xfId="0" applyAlignment="1" applyBorder="1" applyFont="1">
      <alignment horizontal="center" vertical="center"/>
    </xf>
    <xf borderId="0" fillId="0" fontId="7" numFmtId="0" xfId="0" applyFont="1"/>
    <xf borderId="1" fillId="3" fontId="12" numFmtId="0" xfId="0" applyAlignment="1" applyBorder="1" applyFont="1">
      <alignment horizontal="left" vertical="center"/>
    </xf>
    <xf borderId="9" fillId="0" fontId="5" numFmtId="0" xfId="0" applyBorder="1" applyFont="1"/>
    <xf borderId="3" fillId="3" fontId="6" numFmtId="0" xfId="0" applyAlignment="1" applyBorder="1" applyFont="1">
      <alignment vertical="center"/>
    </xf>
    <xf borderId="3" fillId="3" fontId="6" numFmtId="0" xfId="0" applyAlignment="1" applyBorder="1" applyFont="1">
      <alignment horizontal="center" vertical="center"/>
    </xf>
    <xf borderId="3" fillId="3" fontId="6" numFmtId="0" xfId="0" applyAlignment="1" applyBorder="1" applyFont="1">
      <alignment horizontal="right" vertical="center"/>
    </xf>
    <xf borderId="0" fillId="0" fontId="1" numFmtId="167" xfId="0" applyAlignment="1" applyFont="1" applyNumberFormat="1">
      <alignment horizontal="right" vertical="center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vertical="top"/>
    </xf>
    <xf borderId="0" fillId="0" fontId="3" numFmtId="0" xfId="0" applyAlignment="1" applyFont="1">
      <alignment horizontal="left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shrinkToFit="0" vertical="top" wrapText="1"/>
    </xf>
    <xf borderId="0" fillId="0" fontId="3" numFmtId="0" xfId="0" applyAlignment="1" applyFont="1">
      <alignment horizontal="left" vertical="top"/>
    </xf>
    <xf borderId="3" fillId="7" fontId="3" numFmtId="0" xfId="0" applyAlignment="1" applyBorder="1" applyFill="1" applyFont="1">
      <alignment horizontal="left" vertical="center"/>
    </xf>
    <xf borderId="3" fillId="7" fontId="3" numFmtId="0" xfId="0" applyAlignment="1" applyBorder="1" applyFont="1">
      <alignment vertical="center"/>
    </xf>
    <xf borderId="3" fillId="7" fontId="1" numFmtId="0" xfId="0" applyAlignment="1" applyBorder="1" applyFont="1">
      <alignment shrinkToFit="0" vertical="top" wrapText="1"/>
    </xf>
    <xf borderId="3" fillId="7" fontId="1" numFmtId="0" xfId="0" applyAlignment="1" applyBorder="1" applyFont="1">
      <alignment vertical="center"/>
    </xf>
    <xf borderId="3" fillId="7" fontId="1" numFmtId="0" xfId="0" applyAlignment="1" applyBorder="1" applyFont="1">
      <alignment horizontal="left" vertical="center"/>
    </xf>
    <xf borderId="3" fillId="7" fontId="1" numFmtId="0" xfId="0" applyBorder="1" applyFont="1"/>
    <xf borderId="3" fillId="7" fontId="13" numFmtId="0" xfId="0" applyAlignment="1" applyBorder="1" applyFont="1">
      <alignment vertical="top"/>
    </xf>
    <xf borderId="3" fillId="7" fontId="1" numFmtId="0" xfId="0" applyAlignment="1" applyBorder="1" applyFont="1">
      <alignment horizontal="left" shrinkToFit="0" vertical="top" wrapText="1"/>
    </xf>
    <xf borderId="1" fillId="2" fontId="14" numFmtId="0" xfId="0" applyAlignment="1" applyBorder="1" applyFont="1">
      <alignment shrinkToFit="0" vertical="center" wrapText="1"/>
    </xf>
    <xf borderId="3" fillId="2" fontId="14" numFmtId="0" xfId="0" applyAlignment="1" applyBorder="1" applyFont="1">
      <alignment vertical="center"/>
    </xf>
    <xf borderId="3" fillId="2" fontId="14" numFmtId="9" xfId="0" applyAlignment="1" applyBorder="1" applyFont="1" applyNumberFormat="1">
      <alignment vertical="center"/>
    </xf>
    <xf borderId="3" fillId="2" fontId="14" numFmtId="165" xfId="0" applyAlignment="1" applyBorder="1" applyFont="1" applyNumberFormat="1">
      <alignment vertical="center"/>
    </xf>
    <xf borderId="1" fillId="8" fontId="3" numFmtId="0" xfId="0" applyAlignment="1" applyBorder="1" applyFill="1" applyFont="1">
      <alignment shrinkToFit="0" vertical="center" wrapText="1"/>
    </xf>
    <xf borderId="3" fillId="8" fontId="1" numFmtId="0" xfId="0" applyAlignment="1" applyBorder="1" applyFont="1">
      <alignment vertical="center"/>
    </xf>
    <xf borderId="1" fillId="8" fontId="3" numFmtId="165" xfId="0" applyAlignment="1" applyBorder="1" applyFont="1" applyNumberFormat="1">
      <alignment horizontal="right" vertical="center"/>
    </xf>
    <xf borderId="1" fillId="9" fontId="15" numFmtId="0" xfId="0" applyAlignment="1" applyBorder="1" applyFill="1" applyFont="1">
      <alignment horizontal="left" vertical="center"/>
    </xf>
    <xf borderId="3" fillId="10" fontId="3" numFmtId="0" xfId="0" applyBorder="1" applyFill="1" applyFont="1"/>
    <xf borderId="3" fillId="11" fontId="1" numFmtId="0" xfId="0" applyBorder="1" applyFill="1" applyFont="1"/>
    <xf borderId="0" fillId="0" fontId="1" numFmtId="0" xfId="0" applyAlignment="1" applyFont="1">
      <alignment horizontal="left"/>
    </xf>
    <xf borderId="3" fillId="12" fontId="3" numFmtId="0" xfId="0" applyAlignment="1" applyBorder="1" applyFill="1" applyFont="1">
      <alignment horizontal="right"/>
    </xf>
    <xf borderId="0" fillId="0" fontId="1" numFmtId="168" xfId="0" applyFont="1" applyNumberFormat="1"/>
    <xf borderId="0" fillId="0" fontId="1" numFmtId="9" xfId="0" applyFont="1" applyNumberFormat="1"/>
    <xf borderId="0" fillId="0" fontId="1" numFmtId="168" xfId="0" applyAlignment="1" applyFont="1" applyNumberFormat="1">
      <alignment horizontal="right"/>
    </xf>
    <xf borderId="0" fillId="0" fontId="1" numFmtId="9" xfId="0" applyAlignment="1" applyFont="1" applyNumberFormat="1">
      <alignment horizontal="righ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DESPIECE (MATANALYSIS)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0</xdr:rowOff>
    </xdr:from>
    <xdr:ext cx="866775" cy="885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0</xdr:row>
      <xdr:rowOff>19050</xdr:rowOff>
    </xdr:from>
    <xdr:ext cx="733425" cy="7429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76:C79" displayName="Table_1" name="Table_1" id="1">
  <tableColumns count="1">
    <tableColumn name="LAC. NEGRO TEXTURADO" id="1"/>
  </tableColumns>
  <tableStyleInfo name="DESPIECE (MATANALYSI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7.57"/>
    <col customWidth="1" min="3" max="3" width="30.0"/>
    <col customWidth="1" min="4" max="4" width="24.0"/>
    <col customWidth="1" min="5" max="5" width="6.29"/>
    <col customWidth="1" min="6" max="26" width="16.43"/>
  </cols>
  <sheetData>
    <row r="1">
      <c r="H1" s="1"/>
      <c r="I1" s="1"/>
      <c r="J1" s="1"/>
      <c r="K1" s="1"/>
      <c r="L1" s="1"/>
    </row>
    <row r="2" ht="40.5" customHeight="1">
      <c r="G2" s="2" t="s">
        <v>0</v>
      </c>
      <c r="H2" s="1"/>
      <c r="I2" s="1"/>
      <c r="J2" s="1"/>
      <c r="K2" s="1"/>
      <c r="L2" s="1"/>
    </row>
    <row r="3">
      <c r="E3" s="3" t="s">
        <v>1</v>
      </c>
      <c r="H3" s="4"/>
    </row>
    <row r="5">
      <c r="B5" s="5" t="s">
        <v>2</v>
      </c>
      <c r="C5" s="6"/>
      <c r="D5" s="7"/>
      <c r="E5" s="8"/>
      <c r="F5" s="8"/>
      <c r="G5" s="9" t="s">
        <v>3</v>
      </c>
    </row>
    <row r="7">
      <c r="B7" s="10" t="s">
        <v>4</v>
      </c>
      <c r="C7" s="11">
        <v>2.0250113E7</v>
      </c>
      <c r="G7" s="12">
        <f>TODAY()</f>
        <v>45797</v>
      </c>
    </row>
    <row r="8">
      <c r="B8" s="13" t="s">
        <v>5</v>
      </c>
      <c r="C8" s="14" t="s">
        <v>6</v>
      </c>
    </row>
    <row r="9">
      <c r="B9" s="4" t="s">
        <v>7</v>
      </c>
      <c r="C9" s="14" t="s">
        <v>8</v>
      </c>
      <c r="H9" s="1"/>
      <c r="I9" s="1"/>
      <c r="J9" s="1"/>
      <c r="K9" s="1"/>
      <c r="L9" s="1"/>
    </row>
    <row r="10">
      <c r="B10" s="4"/>
      <c r="C10" s="15"/>
      <c r="H10" s="1"/>
      <c r="I10" s="1"/>
      <c r="J10" s="1"/>
      <c r="K10" s="1"/>
      <c r="L10" s="1"/>
    </row>
    <row r="11">
      <c r="B11" s="4"/>
      <c r="C11" s="15"/>
      <c r="H11" s="1"/>
      <c r="I11" s="1"/>
      <c r="J11" s="1"/>
      <c r="K11" s="1"/>
      <c r="L11" s="1"/>
    </row>
    <row r="12">
      <c r="B12" s="16" t="s">
        <v>9</v>
      </c>
      <c r="C12" s="17" t="s">
        <v>10</v>
      </c>
      <c r="D12" s="18"/>
      <c r="E12" s="18" t="s">
        <v>11</v>
      </c>
      <c r="F12" s="19" t="s">
        <v>12</v>
      </c>
      <c r="G12" s="19" t="s">
        <v>13</v>
      </c>
      <c r="H12" s="1"/>
    </row>
    <row r="13">
      <c r="A13" s="20" t="s">
        <v>14</v>
      </c>
      <c r="B13" s="21" t="s">
        <v>15</v>
      </c>
      <c r="C13" s="22" t="str">
        <f>IFERROR(VLOOKUP($B13,Tarifa_all_20240711!$A$2:$G$660,2,FALSE()),"-")</f>
        <v>GUIA SUP TECHO PLUS LAC.NEGRO MATE-3 MTS</v>
      </c>
      <c r="D13" s="6"/>
      <c r="E13" s="23">
        <v>1.0</v>
      </c>
      <c r="F13" s="24">
        <f>IFERROR(VLOOKUP($B13,Tarifa_all_20240711!$A$2:$G$660,5,FALSE()),"-")</f>
        <v>65.19</v>
      </c>
      <c r="G13" s="24">
        <f t="shared" ref="G13:G30" si="1">IFERROR(E13*F13,"-")</f>
        <v>65.19</v>
      </c>
      <c r="H13" s="1"/>
    </row>
    <row r="14">
      <c r="A14" s="20" t="s">
        <v>16</v>
      </c>
      <c r="B14" s="21" t="s">
        <v>17</v>
      </c>
      <c r="C14" s="22" t="str">
        <f>IFERROR(VLOOKUP($B14,Tarifa_all_20240711!$A$2:$G$660,2,FALSE()),"-")</f>
        <v>TAPETA LAT. GUIA TECHO NEGRO</v>
      </c>
      <c r="D14" s="6"/>
      <c r="E14" s="23">
        <v>2.0</v>
      </c>
      <c r="F14" s="24">
        <f>IFERROR(VLOOKUP($B14,Tarifa_all_20240711!$A$2:$G$660,5,FALSE()),"-")</f>
        <v>10.485</v>
      </c>
      <c r="G14" s="24">
        <f t="shared" si="1"/>
        <v>20.97</v>
      </c>
      <c r="H14" s="1"/>
    </row>
    <row r="15">
      <c r="A15" s="20" t="s">
        <v>18</v>
      </c>
      <c r="B15" s="21"/>
      <c r="C15" s="22" t="str">
        <f>IFERROR(VLOOKUP($B15,Tarifa_all_20240711!$A$2:$G$660,2,FALSE()),"-")</f>
        <v>-</v>
      </c>
      <c r="D15" s="6"/>
      <c r="E15" s="23"/>
      <c r="F15" s="24" t="str">
        <f>IFERROR(VLOOKUP($B15,Tarifa_all_20240711!$A$2:$G$660,5,FALSE()),"-")</f>
        <v>-</v>
      </c>
      <c r="G15" s="24" t="str">
        <f t="shared" si="1"/>
        <v>-</v>
      </c>
      <c r="H15" s="1"/>
    </row>
    <row r="16">
      <c r="A16" s="20" t="s">
        <v>19</v>
      </c>
      <c r="B16" s="21" t="s">
        <v>20</v>
      </c>
      <c r="C16" s="22" t="str">
        <f>IFERROR(VLOOKUP($B16,Tarifa_all_20240711!$A$2:$G$660,2,FALSE()),"-")</f>
        <v>KIT AMORTIGUADOR SKY BIDIRECCIONAL 60KG</v>
      </c>
      <c r="D16" s="6"/>
      <c r="E16" s="23">
        <v>1.0</v>
      </c>
      <c r="F16" s="24">
        <f>IFERROR(VLOOKUP($B16,Tarifa_all_20240711!$A$2:$G$660,5,FALSE()),"-")</f>
        <v>30.6</v>
      </c>
      <c r="G16" s="24">
        <f t="shared" si="1"/>
        <v>30.6</v>
      </c>
      <c r="H16" s="1"/>
    </row>
    <row r="17">
      <c r="A17" s="20" t="s">
        <v>21</v>
      </c>
      <c r="B17" s="21" t="s">
        <v>22</v>
      </c>
      <c r="C17" s="22" t="str">
        <f>IFERROR(VLOOKUP($B17,Tarifa_all_20240711!$A$2:$G$660,2,FALSE()),"-")</f>
        <v>KIT PUERTA PA CORREDERA LAC.NEGRO TEXTURADO</v>
      </c>
      <c r="D17" s="6"/>
      <c r="E17" s="23">
        <v>1.0</v>
      </c>
      <c r="F17" s="24">
        <f>IFERROR(VLOOKUP($B17,Tarifa_all_20240711!$A$2:$G$660,5,FALSE()),"-")</f>
        <v>215.655</v>
      </c>
      <c r="G17" s="24">
        <f t="shared" si="1"/>
        <v>215.655</v>
      </c>
      <c r="H17" s="1"/>
    </row>
    <row r="18">
      <c r="A18" s="20" t="s">
        <v>23</v>
      </c>
      <c r="B18" s="21" t="s">
        <v>24</v>
      </c>
      <c r="C18" s="22" t="str">
        <f>IFERROR(VLOOKUP($B18,Tarifa_all_20240711!$A$2:$G$660,2,FALSE()),"-")</f>
        <v>CARRO SKY MADERA 60KG</v>
      </c>
      <c r="D18" s="6"/>
      <c r="E18" s="23">
        <v>1.0</v>
      </c>
      <c r="F18" s="24">
        <f>IFERROR(VLOOKUP($B18,Tarifa_all_20240711!$A$2:$G$660,5,FALSE()),"-")</f>
        <v>16.635</v>
      </c>
      <c r="G18" s="24">
        <f t="shared" si="1"/>
        <v>16.635</v>
      </c>
      <c r="H18" s="1"/>
    </row>
    <row r="19">
      <c r="A19" s="20" t="s">
        <v>25</v>
      </c>
      <c r="B19" s="21" t="s">
        <v>26</v>
      </c>
      <c r="C19" s="22" t="str">
        <f>IFERROR(VLOOKUP($B19,Tarifa_all_20240711!$A$2:$G$660,2,FALSE()),"-")</f>
        <v>TIRADOR RECT.ADH CAVE LAC.NEGRO TEXTURADO: 2 UDS</v>
      </c>
      <c r="D19" s="6"/>
      <c r="E19" s="23">
        <v>1.0</v>
      </c>
      <c r="F19" s="24">
        <f>IFERROR(VLOOKUP($B19,Tarifa_all_20240711!$A$2:$G$660,5,FALSE()),"-")</f>
        <v>59.1225</v>
      </c>
      <c r="G19" s="24">
        <f t="shared" si="1"/>
        <v>59.1225</v>
      </c>
      <c r="H19" s="1"/>
    </row>
    <row r="20">
      <c r="A20" s="20" t="s">
        <v>27</v>
      </c>
      <c r="B20" s="21" t="s">
        <v>28</v>
      </c>
      <c r="C20" s="22" t="str">
        <f>IFERROR(VLOOKUP($B20,Tarifa_all_20240711!$A$2:$G$660,2,FALSE()),"-")</f>
        <v>GUIADOR FIJO PA LAC.NEGRO TEXTURADO</v>
      </c>
      <c r="D20" s="6"/>
      <c r="E20" s="23">
        <v>1.0</v>
      </c>
      <c r="F20" s="24">
        <f>IFERROR(VLOOKUP($B20,Tarifa_all_20240711!$A$2:$G$660,5,FALSE()),"-")</f>
        <v>8.61</v>
      </c>
      <c r="G20" s="24">
        <f t="shared" si="1"/>
        <v>8.61</v>
      </c>
      <c r="H20" s="25">
        <f>SUM(G13:G20)</f>
        <v>416.7825</v>
      </c>
    </row>
    <row r="21" ht="15.75" customHeight="1">
      <c r="A21" s="20" t="s">
        <v>29</v>
      </c>
      <c r="B21" s="21" t="s">
        <v>30</v>
      </c>
      <c r="C21" s="22" t="str">
        <f>IFERROR(VLOOKUP($B21,Tarifa_all_20240711!$A$2:$G$660,2,FALSE()),"-")</f>
        <v>PERFIL EMBELL.HORIZ. ADH LAC.NEGRO TEXTURADO</v>
      </c>
      <c r="D21" s="6"/>
      <c r="E21" s="23">
        <v>8.0</v>
      </c>
      <c r="F21" s="24">
        <f>IFERROR(VLOOKUP($B21,Tarifa_all_20240711!$A$2:$G$660,5,FALSE()),"-")</f>
        <v>21.795</v>
      </c>
      <c r="G21" s="24">
        <f t="shared" si="1"/>
        <v>174.36</v>
      </c>
      <c r="I21" s="26">
        <f>H20+(G21/2)</f>
        <v>503.9625</v>
      </c>
    </row>
    <row r="22" ht="15.75" customHeight="1">
      <c r="B22" s="21"/>
      <c r="C22" s="22" t="str">
        <f>IFERROR(VLOOKUP($B22,Tarifa_all_20240711!$A$2:$G$660,2,FALSE()),"-")</f>
        <v>-</v>
      </c>
      <c r="D22" s="6"/>
      <c r="E22" s="23"/>
      <c r="F22" s="24" t="str">
        <f>IFERROR(VLOOKUP($B22,Tarifa_all_20240711!$A$2:$G$660,5,FALSE()),"-")</f>
        <v>-</v>
      </c>
      <c r="G22" s="24" t="str">
        <f t="shared" si="1"/>
        <v>-</v>
      </c>
      <c r="H22" s="1"/>
    </row>
    <row r="23" ht="15.75" customHeight="1">
      <c r="B23" s="21" t="s">
        <v>31</v>
      </c>
      <c r="C23" s="22" t="str">
        <f>IFERROR(VLOOKUP($B23,Tarifa_all_20240711!$A$2:$G$660,2,FALSE()),"-")</f>
        <v>MARCO FIJOS 35MM D-DECOR FIJO NEGRO TEXT 6,5 MTS</v>
      </c>
      <c r="D23" s="6"/>
      <c r="E23" s="23">
        <v>1.0</v>
      </c>
      <c r="F23" s="24">
        <f>IFERROR(VLOOKUP($B23,Tarifa_all_20240711!$A$2:$G$660,5,FALSE()),"-")</f>
        <v>60.045</v>
      </c>
      <c r="G23" s="27">
        <f t="shared" si="1"/>
        <v>60.045</v>
      </c>
      <c r="H23" s="1"/>
    </row>
    <row r="24" ht="15.75" customHeight="1">
      <c r="B24" s="21" t="s">
        <v>32</v>
      </c>
      <c r="C24" s="22" t="str">
        <f>IFERROR(VLOOKUP($B24,Tarifa_all_20240711!$A$2:$G$660,2,FALSE()),"-")</f>
        <v>ANCLAJE TAPA 35MM D-DECOR FIJO NEGRO TEXT 6,5 MTS</v>
      </c>
      <c r="D24" s="6"/>
      <c r="E24" s="23">
        <v>1.0</v>
      </c>
      <c r="F24" s="24">
        <f>IFERROR(VLOOKUP($B24,Tarifa_all_20240711!$A$2:$G$660,5,FALSE()),"-")</f>
        <v>29.0625</v>
      </c>
      <c r="G24" s="27">
        <f t="shared" si="1"/>
        <v>29.0625</v>
      </c>
      <c r="H24" s="1"/>
    </row>
    <row r="25" ht="15.75" customHeight="1">
      <c r="B25" s="21" t="s">
        <v>33</v>
      </c>
      <c r="C25" s="22" t="str">
        <f>IFERROR(VLOOKUP($B25,Tarifa_all_20240711!$A$2:$G$660,2,FALSE()),"-")</f>
        <v>TAPA MARCO 35MM D-DECOR FIJO NEGRO TEXT 6,5 MTS</v>
      </c>
      <c r="D25" s="6"/>
      <c r="E25" s="23">
        <v>1.0</v>
      </c>
      <c r="F25" s="24">
        <f>IFERROR(VLOOKUP($B25,Tarifa_all_20240711!$A$2:$G$660,5,FALSE()),"-")</f>
        <v>24.4875</v>
      </c>
      <c r="G25" s="27">
        <f t="shared" si="1"/>
        <v>24.4875</v>
      </c>
      <c r="H25" s="1"/>
    </row>
    <row r="26" ht="15.75" customHeight="1">
      <c r="B26" s="21" t="s">
        <v>34</v>
      </c>
      <c r="C26" s="22" t="str">
        <f>IFERROR(VLOOKUP($B26,Tarifa_all_20240711!$A$2:$G$660,2,FALSE()),"-")</f>
        <v>PERFIL MINIMALISTA D-DECOR FIJO NEGRO TEXT 3 MTS</v>
      </c>
      <c r="D26" s="6"/>
      <c r="E26" s="23">
        <v>1.0</v>
      </c>
      <c r="F26" s="24">
        <f>IFERROR(VLOOKUP($B26,Tarifa_all_20240711!$A$2:$G$660,5,FALSE()),"-")</f>
        <v>36.72</v>
      </c>
      <c r="G26" s="27">
        <f t="shared" si="1"/>
        <v>36.72</v>
      </c>
      <c r="H26" s="1"/>
    </row>
    <row r="27" ht="15.75" customHeight="1">
      <c r="B27" s="21" t="s">
        <v>35</v>
      </c>
      <c r="C27" s="22" t="str">
        <f>IFERROR(VLOOKUP($B27,Tarifa_all_20240711!$A$2:$G$660,2,FALSE()),"-")</f>
        <v>Tope Domo Decor</v>
      </c>
      <c r="D27" s="6"/>
      <c r="E27" s="23">
        <v>8.0</v>
      </c>
      <c r="F27" s="24">
        <f>IFERROR(VLOOKUP($B27,Tarifa_all_20240711!$A$2:$G$660,5,FALSE()),"-")</f>
        <v>1.4175</v>
      </c>
      <c r="G27" s="24">
        <f t="shared" si="1"/>
        <v>11.34</v>
      </c>
      <c r="H27" s="1"/>
    </row>
    <row r="28" ht="15.75" customHeight="1">
      <c r="B28" s="21" t="s">
        <v>36</v>
      </c>
      <c r="C28" s="22" t="str">
        <f>IFERROR(VLOOKUP($B28,Tarifa_all_20240711!$A$2:$G$660,2,FALSE()),"-")</f>
        <v>PERFIL 3 MTS REDUCTOR PARA VIDRIO 6mm</v>
      </c>
      <c r="D28" s="6"/>
      <c r="E28" s="23">
        <v>4.0</v>
      </c>
      <c r="F28" s="24">
        <f>IFERROR(VLOOKUP($B28,Tarifa_all_20240711!$A$2:$G$660,5,FALSE()),"-")</f>
        <v>3.4275</v>
      </c>
      <c r="G28" s="24">
        <f t="shared" si="1"/>
        <v>13.71</v>
      </c>
      <c r="H28" s="1"/>
    </row>
    <row r="29" ht="15.75" customHeight="1">
      <c r="B29" s="21">
        <v>31229.0</v>
      </c>
      <c r="C29" s="22" t="str">
        <f>IFERROR(VLOOKUP($B29,Tarifa_all_20240711!$A$2:$G$660,2,FALSE()),"-")</f>
        <v>COMPLEMENTO FIJACION DOMO DECOR: BARRAS 3 MTS</v>
      </c>
      <c r="D29" s="6"/>
      <c r="E29" s="23">
        <v>3.0</v>
      </c>
      <c r="F29" s="24">
        <f>IFERROR(VLOOKUP($B29,Tarifa_all_20240711!$A$2:$G$660,5,FALSE()),"-")</f>
        <v>11.3175</v>
      </c>
      <c r="G29" s="24">
        <f t="shared" si="1"/>
        <v>33.9525</v>
      </c>
      <c r="H29" s="25">
        <f>SUM(G23:G29)</f>
        <v>209.3175</v>
      </c>
      <c r="I29" s="26">
        <f>H29+(G21/2)</f>
        <v>296.4975</v>
      </c>
    </row>
    <row r="30" ht="15.75" customHeight="1">
      <c r="B30" s="21"/>
      <c r="C30" s="22" t="str">
        <f>IFERROR(VLOOKUP($B30,Tarifa_all_20240711!$A$2:$G$660,2,FALSE()),"-")</f>
        <v>-</v>
      </c>
      <c r="D30" s="6"/>
      <c r="E30" s="23"/>
      <c r="F30" s="24" t="str">
        <f>IFERROR(VLOOKUP($B30,Tarifa_all_20240711!$A$2:$G$660,5,FALSE()),"-")</f>
        <v>-</v>
      </c>
      <c r="G30" s="24" t="str">
        <f t="shared" si="1"/>
        <v>-</v>
      </c>
      <c r="H30" s="1"/>
    </row>
    <row r="31" ht="15.75" customHeight="1">
      <c r="B31" s="28"/>
      <c r="C31" s="28"/>
      <c r="D31" s="28"/>
      <c r="E31" s="28"/>
      <c r="F31" s="29"/>
      <c r="G31" s="30">
        <f>SUM(G13:G30)</f>
        <v>800.46</v>
      </c>
    </row>
    <row r="32" ht="15.75" customHeight="1">
      <c r="B32" s="28"/>
      <c r="C32" s="28"/>
      <c r="D32" s="28"/>
      <c r="E32" s="28"/>
      <c r="F32" s="29"/>
      <c r="G32" s="29"/>
    </row>
    <row r="33" ht="15.75" customHeight="1">
      <c r="B33" s="31" t="s">
        <v>37</v>
      </c>
      <c r="C33" s="32"/>
      <c r="D33" s="32"/>
      <c r="E33" s="32"/>
      <c r="F33" s="32"/>
      <c r="G33" s="33"/>
    </row>
    <row r="34" ht="15.0" customHeight="1">
      <c r="B34" s="34" t="s">
        <v>38</v>
      </c>
      <c r="C34" s="35" t="s">
        <v>39</v>
      </c>
      <c r="D34" s="35"/>
      <c r="E34" s="35"/>
      <c r="F34" s="35"/>
      <c r="G34" s="33"/>
    </row>
    <row r="35" ht="15.75" customHeight="1">
      <c r="B35" s="36" t="s">
        <v>40</v>
      </c>
      <c r="C35" s="35"/>
      <c r="D35" s="35"/>
      <c r="E35" s="35"/>
      <c r="F35" s="35"/>
      <c r="G35" s="33"/>
    </row>
    <row r="36" ht="15.75" customHeight="1">
      <c r="B36" s="37" t="s">
        <v>41</v>
      </c>
      <c r="C36" s="38"/>
      <c r="D36" s="38"/>
      <c r="E36" s="38"/>
      <c r="F36" s="38"/>
      <c r="G36" s="33"/>
    </row>
    <row r="37" ht="15.75" customHeight="1">
      <c r="B37" s="36"/>
      <c r="C37" s="35"/>
      <c r="D37" s="35"/>
      <c r="E37" s="35"/>
      <c r="F37" s="35"/>
      <c r="G37" s="29"/>
    </row>
    <row r="38" ht="15.75" customHeight="1">
      <c r="B38" s="36"/>
      <c r="C38" s="35"/>
      <c r="D38" s="35"/>
      <c r="E38" s="35"/>
      <c r="F38" s="35"/>
      <c r="G38" s="33"/>
    </row>
    <row r="39" ht="15.75" customHeight="1">
      <c r="B39" s="39"/>
      <c r="C39" s="40"/>
      <c r="D39" s="40"/>
      <c r="E39" s="40"/>
      <c r="F39" s="40"/>
      <c r="G39" s="33"/>
    </row>
    <row r="40" ht="15.75" customHeight="1">
      <c r="B40" s="36"/>
      <c r="C40" s="40"/>
      <c r="D40" s="40"/>
      <c r="E40" s="40"/>
      <c r="F40" s="40"/>
      <c r="G40" s="33"/>
    </row>
    <row r="41" ht="15.75" customHeight="1">
      <c r="B41" s="35"/>
      <c r="C41" s="35"/>
      <c r="D41" s="35"/>
      <c r="E41" s="35"/>
      <c r="F41" s="35"/>
      <c r="G41" s="33"/>
    </row>
    <row r="42" ht="15.75" customHeight="1">
      <c r="B42" s="41"/>
      <c r="D42" s="41"/>
      <c r="E42" s="41"/>
      <c r="F42" s="41"/>
    </row>
    <row r="43" ht="15.75" customHeight="1">
      <c r="C43" s="42" t="s">
        <v>42</v>
      </c>
      <c r="D43" s="43" t="s">
        <v>43</v>
      </c>
      <c r="E43" s="43"/>
      <c r="F43" s="43"/>
    </row>
    <row r="44" ht="15.75" customHeight="1">
      <c r="C44" s="44" t="s">
        <v>44</v>
      </c>
      <c r="D44" s="32" t="s">
        <v>44</v>
      </c>
      <c r="E44" s="32"/>
      <c r="F44" s="32"/>
    </row>
    <row r="45" ht="15.75" customHeight="1">
      <c r="C45" s="44" t="s">
        <v>45</v>
      </c>
      <c r="D45" s="32" t="s">
        <v>45</v>
      </c>
      <c r="E45" s="32"/>
      <c r="F45" s="32"/>
    </row>
    <row r="46" ht="15.75" customHeight="1">
      <c r="C46" s="44" t="s">
        <v>46</v>
      </c>
      <c r="D46" s="32" t="s">
        <v>47</v>
      </c>
      <c r="E46" s="32"/>
      <c r="F46" s="32"/>
    </row>
    <row r="47" ht="15.75" customHeight="1">
      <c r="C47" s="44" t="s">
        <v>48</v>
      </c>
      <c r="D47" s="32" t="s">
        <v>46</v>
      </c>
      <c r="E47" s="32"/>
      <c r="F47" s="32"/>
    </row>
    <row r="48" ht="15.75" customHeight="1">
      <c r="C48" s="44" t="s">
        <v>49</v>
      </c>
      <c r="D48" s="32" t="s">
        <v>50</v>
      </c>
      <c r="E48" s="32"/>
      <c r="F48" s="32"/>
    </row>
    <row r="49" ht="15.75" customHeight="1">
      <c r="C49" s="44" t="s">
        <v>51</v>
      </c>
      <c r="D49" s="32" t="s">
        <v>52</v>
      </c>
      <c r="E49" s="32"/>
      <c r="F49" s="32"/>
    </row>
    <row r="50" ht="15.75" customHeight="1">
      <c r="C50" s="44" t="s">
        <v>53</v>
      </c>
      <c r="D50" s="32" t="s">
        <v>53</v>
      </c>
      <c r="E50" s="32"/>
      <c r="F50" s="32"/>
    </row>
    <row r="51" ht="15.75" customHeight="1">
      <c r="C51" s="44" t="s">
        <v>54</v>
      </c>
      <c r="D51" s="32" t="s">
        <v>55</v>
      </c>
      <c r="E51" s="32"/>
      <c r="F51" s="32"/>
    </row>
    <row r="52" ht="15.75" customHeight="1">
      <c r="C52" s="44" t="s">
        <v>56</v>
      </c>
      <c r="D52" s="45"/>
    </row>
    <row r="53" ht="15.75" customHeight="1"/>
    <row r="54" ht="15.75" customHeight="1"/>
    <row r="55" ht="15.75" customHeight="1">
      <c r="C55" s="46" t="s">
        <v>57</v>
      </c>
      <c r="D55" s="47" t="s">
        <v>58</v>
      </c>
    </row>
    <row r="56" ht="15.75" customHeight="1">
      <c r="C56" s="48" t="s">
        <v>59</v>
      </c>
      <c r="D56" s="49"/>
    </row>
    <row r="57" ht="15.75" customHeight="1">
      <c r="C57" s="50" t="s">
        <v>60</v>
      </c>
      <c r="D57" s="51" t="s">
        <v>61</v>
      </c>
    </row>
    <row r="58" ht="15.75" customHeight="1">
      <c r="C58" s="50" t="s">
        <v>62</v>
      </c>
      <c r="D58" s="51" t="s">
        <v>63</v>
      </c>
    </row>
    <row r="59" ht="15.75" customHeight="1">
      <c r="C59" s="50" t="s">
        <v>64</v>
      </c>
      <c r="D59" s="51" t="s">
        <v>65</v>
      </c>
    </row>
    <row r="60" ht="15.75" customHeight="1">
      <c r="C60" s="50" t="s">
        <v>66</v>
      </c>
      <c r="D60" s="51" t="s">
        <v>67</v>
      </c>
    </row>
    <row r="61" ht="15.75" customHeight="1">
      <c r="C61" s="50" t="s">
        <v>68</v>
      </c>
      <c r="D61" s="51" t="s">
        <v>69</v>
      </c>
    </row>
    <row r="62" ht="15.75" customHeight="1">
      <c r="C62" s="50" t="s">
        <v>70</v>
      </c>
      <c r="D62" s="51" t="s">
        <v>71</v>
      </c>
    </row>
    <row r="63" ht="15.75" customHeight="1">
      <c r="C63" s="50" t="s">
        <v>72</v>
      </c>
      <c r="D63" s="51" t="s">
        <v>73</v>
      </c>
    </row>
    <row r="64" ht="15.75" customHeight="1">
      <c r="C64" s="48" t="s">
        <v>74</v>
      </c>
      <c r="D64" s="49"/>
    </row>
    <row r="65" ht="15.75" customHeight="1">
      <c r="C65" s="50" t="s">
        <v>75</v>
      </c>
      <c r="D65" s="51" t="s">
        <v>76</v>
      </c>
    </row>
    <row r="66" ht="15.75" customHeight="1">
      <c r="C66" s="52" t="s">
        <v>77</v>
      </c>
      <c r="D66" s="51" t="s">
        <v>78</v>
      </c>
    </row>
    <row r="67" ht="15.75" customHeight="1">
      <c r="C67" s="52" t="s">
        <v>79</v>
      </c>
      <c r="D67" s="51" t="s">
        <v>80</v>
      </c>
    </row>
    <row r="68" ht="15.75" customHeight="1">
      <c r="C68" s="52" t="s">
        <v>81</v>
      </c>
      <c r="D68" s="51" t="s">
        <v>82</v>
      </c>
    </row>
    <row r="69" ht="15.75" customHeight="1">
      <c r="C69" s="52" t="s">
        <v>83</v>
      </c>
      <c r="D69" s="51" t="s">
        <v>84</v>
      </c>
    </row>
    <row r="70" ht="15.75" customHeight="1">
      <c r="C70" s="52" t="s">
        <v>85</v>
      </c>
      <c r="D70" s="51" t="s">
        <v>86</v>
      </c>
    </row>
    <row r="71" ht="15.75" customHeight="1">
      <c r="C71" s="52" t="s">
        <v>87</v>
      </c>
      <c r="D71" s="51" t="s">
        <v>88</v>
      </c>
    </row>
    <row r="72" ht="15.75" customHeight="1">
      <c r="C72" s="52" t="s">
        <v>89</v>
      </c>
      <c r="D72" s="51" t="s">
        <v>90</v>
      </c>
    </row>
    <row r="73" ht="15.75" customHeight="1"/>
    <row r="74" ht="15.75" customHeight="1"/>
    <row r="75" ht="15.75" customHeight="1"/>
    <row r="76" ht="15.75" customHeight="1">
      <c r="C76" s="53" t="s">
        <v>39</v>
      </c>
    </row>
    <row r="77" ht="15.75" customHeight="1">
      <c r="C77" s="53" t="s">
        <v>91</v>
      </c>
    </row>
    <row r="78" ht="15.75" customHeight="1">
      <c r="C78" s="53" t="s">
        <v>92</v>
      </c>
    </row>
    <row r="79" ht="15.75" customHeight="1">
      <c r="C79" s="53" t="s">
        <v>93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E3:G3"/>
    <mergeCell ref="H3:L3"/>
    <mergeCell ref="B5:C5"/>
    <mergeCell ref="C13:D13"/>
    <mergeCell ref="C14:D14"/>
    <mergeCell ref="C15:D15"/>
    <mergeCell ref="C16:D16"/>
    <mergeCell ref="C24:D24"/>
    <mergeCell ref="C25:D25"/>
    <mergeCell ref="C26:D26"/>
    <mergeCell ref="C27:D27"/>
    <mergeCell ref="C28:D28"/>
    <mergeCell ref="C29:D29"/>
    <mergeCell ref="C30:D30"/>
    <mergeCell ref="D52:F52"/>
    <mergeCell ref="C17:D17"/>
    <mergeCell ref="C18:D18"/>
    <mergeCell ref="C19:D19"/>
    <mergeCell ref="C20:D20"/>
    <mergeCell ref="C21:D21"/>
    <mergeCell ref="C22:D22"/>
    <mergeCell ref="C23:D23"/>
  </mergeCells>
  <printOptions/>
  <pageMargins bottom="0.75" footer="0.0" header="0.0" left="0.7" right="0.7" top="0.75"/>
  <pageSetup paperSize="9" scale="80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71"/>
    <col customWidth="1" min="3" max="3" width="12.57"/>
    <col customWidth="1" min="4" max="6" width="10.71"/>
    <col customWidth="1" min="7" max="7" width="20.43"/>
    <col customWidth="1" min="8" max="26" width="10.71"/>
  </cols>
  <sheetData>
    <row r="1">
      <c r="C1" s="1"/>
      <c r="D1" s="1"/>
      <c r="E1" s="1"/>
    </row>
    <row r="2">
      <c r="E2" s="3" t="s">
        <v>94</v>
      </c>
    </row>
    <row r="3" ht="18.0" customHeight="1">
      <c r="E3" s="3" t="s">
        <v>1</v>
      </c>
    </row>
    <row r="4">
      <c r="C4" s="1"/>
      <c r="D4" s="1"/>
      <c r="E4" s="1"/>
    </row>
    <row r="5">
      <c r="C5" s="1"/>
      <c r="D5" s="1"/>
      <c r="E5" s="1"/>
    </row>
    <row r="6">
      <c r="A6" s="54" t="s">
        <v>95</v>
      </c>
      <c r="B6" s="55"/>
      <c r="C6" s="6"/>
      <c r="D6" s="7"/>
      <c r="E6" s="56"/>
      <c r="F6" s="57"/>
      <c r="G6" s="58" t="s">
        <v>3</v>
      </c>
    </row>
    <row r="8">
      <c r="C8" s="1"/>
      <c r="D8" s="1"/>
      <c r="E8" s="1"/>
    </row>
    <row r="9">
      <c r="A9" s="4" t="s">
        <v>96</v>
      </c>
      <c r="B9" s="15" t="str">
        <f>'DESPIECE (MATANALYSIS)'!C8</f>
        <v>Cristalum Gandia</v>
      </c>
      <c r="F9" s="4" t="s">
        <v>97</v>
      </c>
      <c r="G9" s="59">
        <f>TODAY()</f>
        <v>45797</v>
      </c>
    </row>
    <row r="10">
      <c r="A10" s="4" t="s">
        <v>98</v>
      </c>
      <c r="B10" s="15" t="str">
        <f>'DESPIECE (MATANALYSIS)'!C9</f>
        <v>1H2F</v>
      </c>
      <c r="C10" s="60"/>
      <c r="D10" s="60"/>
      <c r="E10" s="61"/>
      <c r="F10" s="62" t="s">
        <v>99</v>
      </c>
      <c r="G10" s="11">
        <f>'DESPIECE (MATANALYSIS)'!C7</f>
        <v>20250113</v>
      </c>
    </row>
    <row r="11">
      <c r="A11" s="63"/>
      <c r="B11" s="1"/>
      <c r="E11" s="64"/>
    </row>
    <row r="12">
      <c r="B12" s="65"/>
      <c r="C12" s="65"/>
      <c r="E12" s="64"/>
    </row>
    <row r="13">
      <c r="B13" s="65"/>
      <c r="C13" s="65"/>
      <c r="E13" s="1"/>
    </row>
    <row r="14">
      <c r="B14" s="65"/>
      <c r="C14" s="65"/>
      <c r="E14" s="1"/>
    </row>
    <row r="15">
      <c r="C15" s="1"/>
      <c r="D15" s="1"/>
      <c r="E15" s="1"/>
    </row>
    <row r="16">
      <c r="C16" s="1"/>
      <c r="D16" s="1"/>
      <c r="E16" s="1"/>
    </row>
    <row r="17">
      <c r="C17" s="1"/>
      <c r="D17" s="1"/>
      <c r="E17" s="1"/>
    </row>
    <row r="18">
      <c r="C18" s="1"/>
      <c r="D18" s="1"/>
      <c r="E18" s="1"/>
    </row>
    <row r="19">
      <c r="C19" s="1"/>
      <c r="D19" s="1"/>
      <c r="E19" s="1"/>
    </row>
    <row r="20">
      <c r="C20" s="1"/>
      <c r="D20" s="1"/>
      <c r="E20" s="1"/>
    </row>
    <row r="21" ht="15.75" customHeight="1">
      <c r="C21" s="1"/>
      <c r="D21" s="1"/>
      <c r="E21" s="1"/>
    </row>
    <row r="22" ht="15.75" customHeight="1">
      <c r="C22" s="1"/>
      <c r="D22" s="1"/>
      <c r="E22" s="1"/>
    </row>
    <row r="23" ht="15.75" customHeight="1">
      <c r="C23" s="1"/>
      <c r="D23" s="1"/>
      <c r="E23" s="1"/>
    </row>
    <row r="24" ht="15.75" customHeight="1">
      <c r="C24" s="1"/>
      <c r="D24" s="1"/>
      <c r="E24" s="1"/>
    </row>
    <row r="25" ht="15.75" customHeight="1">
      <c r="C25" s="1"/>
      <c r="D25" s="1"/>
      <c r="E25" s="1"/>
    </row>
    <row r="26" ht="15.75" customHeight="1">
      <c r="C26" s="1"/>
      <c r="D26" s="1"/>
      <c r="E26" s="1"/>
    </row>
    <row r="27" ht="15.75" customHeight="1">
      <c r="C27" s="1"/>
      <c r="D27" s="1"/>
      <c r="E27" s="1"/>
    </row>
    <row r="28" ht="15.75" customHeight="1">
      <c r="C28" s="1"/>
      <c r="D28" s="1"/>
      <c r="E28" s="1"/>
    </row>
    <row r="29" ht="15.75" customHeight="1">
      <c r="C29" s="1"/>
      <c r="D29" s="1"/>
      <c r="E29" s="1"/>
    </row>
    <row r="30" ht="15.75" customHeight="1">
      <c r="A30" s="66"/>
      <c r="C30" s="1"/>
      <c r="D30" s="1"/>
      <c r="E30" s="1"/>
    </row>
    <row r="31" ht="15.75" customHeight="1">
      <c r="A31" s="67" t="s">
        <v>100</v>
      </c>
      <c r="B31" s="68"/>
      <c r="C31" s="68"/>
      <c r="D31" s="69"/>
      <c r="E31" s="69"/>
      <c r="F31" s="69"/>
      <c r="G31" s="69"/>
    </row>
    <row r="32" ht="15.75" customHeight="1">
      <c r="A32" s="67" t="s">
        <v>101</v>
      </c>
      <c r="B32" s="70" t="s">
        <v>102</v>
      </c>
      <c r="C32" s="68"/>
      <c r="D32" s="69"/>
      <c r="E32" s="69"/>
      <c r="F32" s="69"/>
      <c r="G32" s="69"/>
    </row>
    <row r="33" ht="15.75" customHeight="1">
      <c r="A33" s="71" t="s">
        <v>38</v>
      </c>
      <c r="B33" s="70" t="str">
        <f>'DESPIECE (MATANALYSIS)'!C34</f>
        <v>LAC. NEGRO TEXTURADO</v>
      </c>
      <c r="C33" s="70"/>
      <c r="D33" s="70"/>
      <c r="E33" s="70"/>
      <c r="F33" s="70"/>
      <c r="G33" s="70"/>
    </row>
    <row r="34" ht="15.75" customHeight="1">
      <c r="A34" s="71" t="s">
        <v>103</v>
      </c>
      <c r="B34" s="70" t="s">
        <v>104</v>
      </c>
      <c r="C34" s="70"/>
      <c r="D34" s="70"/>
      <c r="E34" s="70"/>
      <c r="F34" s="70"/>
      <c r="G34" s="70"/>
    </row>
    <row r="35" ht="15.75" customHeight="1">
      <c r="A35" s="71" t="s">
        <v>105</v>
      </c>
      <c r="B35" s="70" t="s">
        <v>106</v>
      </c>
      <c r="C35" s="70"/>
      <c r="D35" s="70"/>
      <c r="E35" s="70"/>
      <c r="F35" s="70"/>
      <c r="G35" s="70"/>
    </row>
    <row r="36" ht="15.75" customHeight="1">
      <c r="A36" s="71" t="s">
        <v>107</v>
      </c>
      <c r="B36" s="70"/>
      <c r="C36" s="70"/>
      <c r="D36" s="70"/>
      <c r="E36" s="70"/>
      <c r="F36" s="70"/>
      <c r="G36" s="70"/>
    </row>
    <row r="37" ht="15.75" customHeight="1">
      <c r="A37" s="71" t="s">
        <v>108</v>
      </c>
      <c r="B37" s="70"/>
      <c r="C37" s="70"/>
      <c r="D37" s="70"/>
      <c r="E37" s="70"/>
      <c r="F37" s="70"/>
      <c r="G37" s="70"/>
    </row>
    <row r="38" ht="15.75" customHeight="1">
      <c r="A38" s="71" t="s">
        <v>109</v>
      </c>
      <c r="B38" s="70" t="s">
        <v>110</v>
      </c>
      <c r="C38" s="70"/>
      <c r="D38" s="70"/>
      <c r="E38" s="70"/>
      <c r="F38" s="70"/>
      <c r="G38" s="70"/>
    </row>
    <row r="39" ht="15.75" customHeight="1">
      <c r="A39" s="71" t="s">
        <v>111</v>
      </c>
      <c r="B39" s="70" t="s">
        <v>112</v>
      </c>
      <c r="C39" s="70"/>
      <c r="D39" s="70"/>
      <c r="E39" s="70"/>
      <c r="F39" s="70"/>
      <c r="G39" s="70"/>
    </row>
    <row r="40" ht="15.75" customHeight="1">
      <c r="A40" s="71" t="s">
        <v>113</v>
      </c>
      <c r="B40" s="70" t="s">
        <v>114</v>
      </c>
      <c r="C40" s="70"/>
      <c r="D40" s="70"/>
      <c r="E40" s="70"/>
      <c r="F40" s="70"/>
      <c r="G40" s="70"/>
    </row>
    <row r="41" ht="15.75" customHeight="1">
      <c r="A41" s="71"/>
      <c r="B41" s="70"/>
      <c r="C41" s="70"/>
      <c r="D41" s="70"/>
      <c r="E41" s="70"/>
      <c r="F41" s="70"/>
      <c r="G41" s="70"/>
    </row>
    <row r="42" ht="15.75" customHeight="1">
      <c r="A42" s="67" t="s">
        <v>115</v>
      </c>
      <c r="B42" s="72"/>
      <c r="C42" s="70"/>
      <c r="D42" s="70"/>
      <c r="E42" s="70"/>
      <c r="F42" s="70"/>
      <c r="G42" s="70"/>
    </row>
    <row r="43" ht="15.75" customHeight="1">
      <c r="A43" s="73" t="s">
        <v>116</v>
      </c>
      <c r="B43" s="69"/>
      <c r="C43" s="69"/>
      <c r="D43" s="69"/>
      <c r="E43" s="69"/>
      <c r="F43" s="69"/>
      <c r="G43" s="69"/>
    </row>
    <row r="44" ht="15.75" customHeight="1">
      <c r="A44" s="73"/>
      <c r="B44" s="69"/>
      <c r="C44" s="69"/>
      <c r="D44" s="69"/>
      <c r="E44" s="69"/>
      <c r="F44" s="69"/>
      <c r="G44" s="69"/>
    </row>
    <row r="45" ht="15.75" customHeight="1">
      <c r="A45" s="74"/>
      <c r="B45" s="74"/>
      <c r="C45" s="74"/>
      <c r="D45" s="74"/>
      <c r="E45" s="74"/>
      <c r="F45" s="74"/>
      <c r="G45" s="74"/>
    </row>
    <row r="46" ht="22.5" customHeight="1">
      <c r="A46" s="75"/>
      <c r="B46" s="6"/>
      <c r="C46" s="76"/>
      <c r="D46" s="76"/>
      <c r="E46" s="76"/>
      <c r="F46" s="77"/>
      <c r="G46" s="78"/>
    </row>
    <row r="47" ht="22.5" customHeight="1">
      <c r="A47" s="79" t="s">
        <v>117</v>
      </c>
      <c r="B47" s="6"/>
      <c r="C47" s="80"/>
      <c r="D47" s="80"/>
      <c r="E47" s="80"/>
      <c r="F47" s="81">
        <f>'DESPIECE (MATANALYSIS)'!G31</f>
        <v>800.46</v>
      </c>
      <c r="G47" s="6"/>
    </row>
    <row r="48" ht="22.5" customHeight="1">
      <c r="A48" s="82" t="s">
        <v>118</v>
      </c>
      <c r="B48" s="55"/>
      <c r="C48" s="55"/>
      <c r="D48" s="55"/>
      <c r="E48" s="55"/>
      <c r="F48" s="55"/>
      <c r="G48" s="6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/>
    <row r="50" ht="15.75" customHeight="1">
      <c r="D50" s="83" t="s">
        <v>42</v>
      </c>
      <c r="E50" s="83"/>
      <c r="F50" s="83"/>
    </row>
    <row r="51" ht="15.75" customHeight="1">
      <c r="D51" s="84" t="s">
        <v>44</v>
      </c>
      <c r="E51" s="84"/>
      <c r="F51" s="84"/>
    </row>
    <row r="52" ht="15.75" customHeight="1">
      <c r="D52" s="84" t="s">
        <v>45</v>
      </c>
      <c r="E52" s="84"/>
      <c r="F52" s="84"/>
    </row>
    <row r="53" ht="15.75" customHeight="1">
      <c r="D53" s="84" t="s">
        <v>48</v>
      </c>
      <c r="E53" s="84"/>
      <c r="F53" s="84"/>
    </row>
    <row r="54" ht="15.75" customHeight="1">
      <c r="D54" s="84" t="s">
        <v>49</v>
      </c>
      <c r="E54" s="84"/>
      <c r="F54" s="84"/>
    </row>
    <row r="55" ht="15.75" customHeight="1">
      <c r="D55" s="84" t="s">
        <v>51</v>
      </c>
      <c r="E55" s="84"/>
      <c r="F55" s="84"/>
    </row>
    <row r="56" ht="15.75" customHeight="1">
      <c r="D56" s="84" t="s">
        <v>46</v>
      </c>
      <c r="E56" s="84"/>
      <c r="F56" s="84"/>
    </row>
    <row r="57" ht="15.75" customHeight="1">
      <c r="D57" s="84" t="s">
        <v>53</v>
      </c>
      <c r="E57" s="84"/>
      <c r="F57" s="84"/>
    </row>
    <row r="58" ht="15.75" customHeight="1">
      <c r="D58" s="84" t="s">
        <v>54</v>
      </c>
      <c r="E58" s="84"/>
      <c r="F58" s="84"/>
    </row>
    <row r="59" ht="15.75" customHeight="1">
      <c r="D59" s="84" t="s">
        <v>55</v>
      </c>
      <c r="E59" s="84"/>
      <c r="F59" s="84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E2:G2"/>
    <mergeCell ref="E3:G3"/>
    <mergeCell ref="A6:C6"/>
    <mergeCell ref="B9:D9"/>
    <mergeCell ref="A46:B46"/>
    <mergeCell ref="A47:B47"/>
    <mergeCell ref="F47:G47"/>
    <mergeCell ref="A48:G48"/>
  </mergeCells>
  <printOptions/>
  <pageMargins bottom="0.75" footer="0.0" header="0.0" left="0.7" right="0.621527777777778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20" t="s">
        <v>119</v>
      </c>
    </row>
    <row r="2">
      <c r="A2" s="20" t="s">
        <v>39</v>
      </c>
    </row>
    <row r="3">
      <c r="A3" s="20" t="s">
        <v>91</v>
      </c>
    </row>
    <row r="4">
      <c r="A4" s="20" t="s">
        <v>93</v>
      </c>
    </row>
    <row r="5">
      <c r="A5" s="20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86"/>
    <col customWidth="1" min="2" max="2" width="55.0"/>
    <col customWidth="1" min="3" max="5" width="11.57"/>
    <col customWidth="1" min="6" max="6" width="19.71"/>
    <col customWidth="1" min="7" max="26" width="11.57"/>
  </cols>
  <sheetData>
    <row r="1">
      <c r="A1" s="85"/>
    </row>
    <row r="2">
      <c r="A2" s="62" t="s">
        <v>121</v>
      </c>
      <c r="B2" s="10" t="s">
        <v>10</v>
      </c>
      <c r="C2" s="10" t="s">
        <v>122</v>
      </c>
      <c r="D2" s="10" t="s">
        <v>123</v>
      </c>
      <c r="E2" s="86" t="s">
        <v>12</v>
      </c>
      <c r="F2" s="10" t="s">
        <v>124</v>
      </c>
      <c r="G2" s="10" t="s">
        <v>125</v>
      </c>
    </row>
    <row r="3" ht="19.5" customHeight="1">
      <c r="A3" s="85">
        <v>31229.0</v>
      </c>
      <c r="B3" s="20" t="s">
        <v>126</v>
      </c>
      <c r="C3" s="87">
        <v>13.72</v>
      </c>
      <c r="D3" s="88">
        <v>0.2</v>
      </c>
      <c r="E3" s="87">
        <f t="shared" ref="E3:E656" si="1">C3*(1-D3)</f>
        <v>10.976</v>
      </c>
      <c r="F3" s="20" t="s">
        <v>127</v>
      </c>
      <c r="G3" s="20" t="s">
        <v>128</v>
      </c>
    </row>
    <row r="4" ht="19.5" customHeight="1">
      <c r="A4" s="85" t="s">
        <v>129</v>
      </c>
      <c r="B4" s="20" t="s">
        <v>130</v>
      </c>
      <c r="C4" s="87">
        <v>284.96</v>
      </c>
      <c r="D4" s="88">
        <v>0.2</v>
      </c>
      <c r="E4" s="87">
        <f t="shared" si="1"/>
        <v>227.968</v>
      </c>
      <c r="F4" s="20" t="s">
        <v>131</v>
      </c>
      <c r="G4" s="20" t="s">
        <v>132</v>
      </c>
    </row>
    <row r="5" ht="19.5" customHeight="1">
      <c r="A5" s="85" t="s">
        <v>133</v>
      </c>
      <c r="B5" s="20" t="s">
        <v>134</v>
      </c>
      <c r="C5" s="87">
        <v>293.63</v>
      </c>
      <c r="D5" s="88">
        <v>0.2</v>
      </c>
      <c r="E5" s="87">
        <f t="shared" si="1"/>
        <v>234.904</v>
      </c>
      <c r="F5" s="20" t="s">
        <v>131</v>
      </c>
      <c r="G5" s="20" t="s">
        <v>132</v>
      </c>
    </row>
    <row r="6" ht="19.5" customHeight="1">
      <c r="A6" s="85" t="s">
        <v>135</v>
      </c>
      <c r="B6" s="20" t="s">
        <v>136</v>
      </c>
      <c r="C6" s="87">
        <v>587.26</v>
      </c>
      <c r="D6" s="88">
        <v>0.2</v>
      </c>
      <c r="E6" s="87">
        <f t="shared" si="1"/>
        <v>469.808</v>
      </c>
      <c r="F6" s="20" t="s">
        <v>131</v>
      </c>
      <c r="G6" s="20" t="s">
        <v>132</v>
      </c>
    </row>
    <row r="7" ht="19.5" customHeight="1">
      <c r="A7" s="85" t="s">
        <v>137</v>
      </c>
      <c r="B7" s="20" t="s">
        <v>138</v>
      </c>
      <c r="C7" s="87">
        <v>460.33</v>
      </c>
      <c r="D7" s="88">
        <v>0.2</v>
      </c>
      <c r="E7" s="87">
        <f t="shared" si="1"/>
        <v>368.264</v>
      </c>
      <c r="F7" s="20" t="s">
        <v>131</v>
      </c>
      <c r="G7" s="20" t="s">
        <v>132</v>
      </c>
    </row>
    <row r="8" ht="19.5" customHeight="1">
      <c r="A8" s="85" t="s">
        <v>139</v>
      </c>
      <c r="B8" s="20" t="s">
        <v>140</v>
      </c>
      <c r="C8" s="87">
        <v>305.38</v>
      </c>
      <c r="D8" s="88">
        <v>0.2</v>
      </c>
      <c r="E8" s="87">
        <f t="shared" si="1"/>
        <v>244.304</v>
      </c>
      <c r="F8" s="20" t="s">
        <v>131</v>
      </c>
      <c r="G8" s="20" t="s">
        <v>132</v>
      </c>
    </row>
    <row r="9" ht="19.5" customHeight="1">
      <c r="A9" s="85" t="s">
        <v>141</v>
      </c>
      <c r="B9" s="20" t="s">
        <v>142</v>
      </c>
      <c r="C9" s="87">
        <v>314.18</v>
      </c>
      <c r="D9" s="88">
        <v>0.2</v>
      </c>
      <c r="E9" s="87">
        <f t="shared" si="1"/>
        <v>251.344</v>
      </c>
      <c r="F9" s="20" t="s">
        <v>131</v>
      </c>
      <c r="G9" s="20" t="s">
        <v>132</v>
      </c>
    </row>
    <row r="10" ht="19.5" customHeight="1">
      <c r="A10" s="85" t="s">
        <v>143</v>
      </c>
      <c r="B10" s="20" t="s">
        <v>144</v>
      </c>
      <c r="C10" s="87">
        <v>352.36</v>
      </c>
      <c r="D10" s="88">
        <v>0.2</v>
      </c>
      <c r="E10" s="87">
        <f t="shared" si="1"/>
        <v>281.888</v>
      </c>
      <c r="F10" s="20" t="s">
        <v>131</v>
      </c>
      <c r="G10" s="20" t="s">
        <v>132</v>
      </c>
    </row>
    <row r="11" ht="19.5" customHeight="1">
      <c r="A11" s="85" t="s">
        <v>145</v>
      </c>
      <c r="B11" s="20" t="s">
        <v>146</v>
      </c>
      <c r="C11" s="87">
        <v>322.99</v>
      </c>
      <c r="D11" s="88">
        <v>0.2</v>
      </c>
      <c r="E11" s="87">
        <f t="shared" si="1"/>
        <v>258.392</v>
      </c>
      <c r="F11" s="20" t="s">
        <v>131</v>
      </c>
      <c r="G11" s="20" t="s">
        <v>132</v>
      </c>
    </row>
    <row r="12" ht="19.5" customHeight="1">
      <c r="A12" s="85" t="s">
        <v>147</v>
      </c>
      <c r="B12" s="20" t="s">
        <v>148</v>
      </c>
      <c r="C12" s="87">
        <v>337.67</v>
      </c>
      <c r="D12" s="88">
        <v>0.2</v>
      </c>
      <c r="E12" s="87">
        <f t="shared" si="1"/>
        <v>270.136</v>
      </c>
      <c r="F12" s="20" t="s">
        <v>131</v>
      </c>
      <c r="G12" s="20" t="s">
        <v>132</v>
      </c>
    </row>
    <row r="13" ht="19.5" customHeight="1">
      <c r="A13" s="85" t="s">
        <v>149</v>
      </c>
      <c r="B13" s="20" t="s">
        <v>150</v>
      </c>
      <c r="C13" s="87">
        <v>296.63</v>
      </c>
      <c r="D13" s="88">
        <v>0.2</v>
      </c>
      <c r="E13" s="87">
        <f t="shared" si="1"/>
        <v>237.304</v>
      </c>
      <c r="F13" s="20" t="s">
        <v>131</v>
      </c>
      <c r="G13" s="20" t="s">
        <v>132</v>
      </c>
    </row>
    <row r="14" ht="19.5" customHeight="1">
      <c r="A14" s="85" t="s">
        <v>151</v>
      </c>
      <c r="B14" s="20" t="s">
        <v>152</v>
      </c>
      <c r="C14" s="87">
        <v>293.63</v>
      </c>
      <c r="D14" s="88">
        <v>0.2</v>
      </c>
      <c r="E14" s="87">
        <f t="shared" si="1"/>
        <v>234.904</v>
      </c>
      <c r="F14" s="20" t="s">
        <v>131</v>
      </c>
      <c r="G14" s="20" t="s">
        <v>132</v>
      </c>
    </row>
    <row r="15" ht="19.5" customHeight="1">
      <c r="A15" s="85" t="s">
        <v>153</v>
      </c>
      <c r="B15" s="20" t="s">
        <v>154</v>
      </c>
      <c r="C15" s="87">
        <v>293.63</v>
      </c>
      <c r="D15" s="88">
        <v>0.2</v>
      </c>
      <c r="E15" s="87">
        <f t="shared" si="1"/>
        <v>234.904</v>
      </c>
      <c r="F15" s="20" t="s">
        <v>131</v>
      </c>
      <c r="G15" s="20" t="s">
        <v>132</v>
      </c>
    </row>
    <row r="16" ht="19.5" customHeight="1">
      <c r="A16" s="85" t="s">
        <v>155</v>
      </c>
      <c r="B16" s="20" t="s">
        <v>156</v>
      </c>
      <c r="C16" s="87">
        <v>587.26</v>
      </c>
      <c r="D16" s="88">
        <v>0.2</v>
      </c>
      <c r="E16" s="87">
        <f t="shared" si="1"/>
        <v>469.808</v>
      </c>
      <c r="F16" s="20" t="s">
        <v>131</v>
      </c>
      <c r="G16" s="20" t="s">
        <v>132</v>
      </c>
    </row>
    <row r="17" ht="19.5" customHeight="1">
      <c r="A17" s="85" t="s">
        <v>157</v>
      </c>
      <c r="B17" s="20" t="s">
        <v>158</v>
      </c>
      <c r="C17" s="87">
        <v>252.11</v>
      </c>
      <c r="D17" s="88">
        <v>0.2</v>
      </c>
      <c r="E17" s="87">
        <f t="shared" si="1"/>
        <v>201.688</v>
      </c>
      <c r="F17" s="20" t="s">
        <v>131</v>
      </c>
      <c r="G17" s="20" t="s">
        <v>132</v>
      </c>
    </row>
    <row r="18" ht="19.5" customHeight="1">
      <c r="A18" s="85" t="s">
        <v>159</v>
      </c>
      <c r="B18" s="20" t="s">
        <v>160</v>
      </c>
      <c r="C18" s="87">
        <v>261.26</v>
      </c>
      <c r="D18" s="88">
        <v>0.2</v>
      </c>
      <c r="E18" s="87">
        <f t="shared" si="1"/>
        <v>209.008</v>
      </c>
      <c r="F18" s="20" t="s">
        <v>131</v>
      </c>
      <c r="G18" s="20" t="s">
        <v>132</v>
      </c>
    </row>
    <row r="19" ht="19.5" customHeight="1">
      <c r="A19" s="85" t="s">
        <v>161</v>
      </c>
      <c r="B19" s="20" t="s">
        <v>162</v>
      </c>
      <c r="C19" s="87">
        <v>522.51</v>
      </c>
      <c r="D19" s="88">
        <v>0.2</v>
      </c>
      <c r="E19" s="87">
        <f t="shared" si="1"/>
        <v>418.008</v>
      </c>
      <c r="F19" s="20" t="s">
        <v>131</v>
      </c>
      <c r="G19" s="20" t="s">
        <v>132</v>
      </c>
    </row>
    <row r="20" ht="19.5" customHeight="1">
      <c r="A20" s="85" t="s">
        <v>163</v>
      </c>
      <c r="B20" s="20" t="s">
        <v>164</v>
      </c>
      <c r="C20" s="87">
        <v>407.26</v>
      </c>
      <c r="D20" s="88">
        <v>0.2</v>
      </c>
      <c r="E20" s="87">
        <f t="shared" si="1"/>
        <v>325.808</v>
      </c>
      <c r="F20" s="20" t="s">
        <v>131</v>
      </c>
      <c r="G20" s="20" t="s">
        <v>132</v>
      </c>
    </row>
    <row r="21" ht="19.5" customHeight="1">
      <c r="A21" s="85" t="s">
        <v>165</v>
      </c>
      <c r="B21" s="20" t="s">
        <v>166</v>
      </c>
      <c r="C21" s="87">
        <v>271.71</v>
      </c>
      <c r="D21" s="88">
        <v>0.2</v>
      </c>
      <c r="E21" s="87">
        <f t="shared" si="1"/>
        <v>217.368</v>
      </c>
      <c r="F21" s="20" t="s">
        <v>131</v>
      </c>
      <c r="G21" s="20" t="s">
        <v>132</v>
      </c>
    </row>
    <row r="22" ht="19.5" customHeight="1">
      <c r="A22" s="85" t="s">
        <v>167</v>
      </c>
      <c r="B22" s="20" t="s">
        <v>168</v>
      </c>
      <c r="C22" s="87">
        <v>279.55</v>
      </c>
      <c r="D22" s="88">
        <v>0.2</v>
      </c>
      <c r="E22" s="87">
        <f t="shared" si="1"/>
        <v>223.64</v>
      </c>
      <c r="F22" s="20" t="s">
        <v>131</v>
      </c>
      <c r="G22" s="20" t="s">
        <v>132</v>
      </c>
    </row>
    <row r="23" ht="19.5" customHeight="1">
      <c r="A23" s="85" t="s">
        <v>169</v>
      </c>
      <c r="B23" s="20" t="s">
        <v>170</v>
      </c>
      <c r="C23" s="87">
        <v>313.51</v>
      </c>
      <c r="D23" s="88">
        <v>0.2</v>
      </c>
      <c r="E23" s="87">
        <f t="shared" si="1"/>
        <v>250.808</v>
      </c>
      <c r="F23" s="20" t="s">
        <v>131</v>
      </c>
      <c r="G23" s="20" t="s">
        <v>132</v>
      </c>
    </row>
    <row r="24" ht="19.5" customHeight="1">
      <c r="A24" s="85" t="s">
        <v>171</v>
      </c>
      <c r="B24" s="20" t="s">
        <v>172</v>
      </c>
      <c r="C24" s="87">
        <v>287.39</v>
      </c>
      <c r="D24" s="88">
        <v>0.2</v>
      </c>
      <c r="E24" s="87">
        <f t="shared" si="1"/>
        <v>229.912</v>
      </c>
      <c r="F24" s="20" t="s">
        <v>131</v>
      </c>
      <c r="G24" s="20" t="s">
        <v>132</v>
      </c>
    </row>
    <row r="25" ht="19.5" customHeight="1">
      <c r="A25" s="85" t="s">
        <v>173</v>
      </c>
      <c r="B25" s="20" t="s">
        <v>174</v>
      </c>
      <c r="C25" s="87">
        <v>300.45</v>
      </c>
      <c r="D25" s="88">
        <v>0.2</v>
      </c>
      <c r="E25" s="87">
        <f t="shared" si="1"/>
        <v>240.36</v>
      </c>
      <c r="F25" s="20" t="s">
        <v>131</v>
      </c>
      <c r="G25" s="20" t="s">
        <v>132</v>
      </c>
    </row>
    <row r="26" ht="19.5" customHeight="1">
      <c r="A26" s="85" t="s">
        <v>175</v>
      </c>
      <c r="B26" s="20" t="s">
        <v>176</v>
      </c>
      <c r="C26" s="87">
        <v>261.26</v>
      </c>
      <c r="D26" s="88">
        <v>0.2</v>
      </c>
      <c r="E26" s="87">
        <f t="shared" si="1"/>
        <v>209.008</v>
      </c>
      <c r="F26" s="20" t="s">
        <v>131</v>
      </c>
      <c r="G26" s="20" t="s">
        <v>132</v>
      </c>
    </row>
    <row r="27" ht="19.5" customHeight="1">
      <c r="A27" s="85" t="s">
        <v>177</v>
      </c>
      <c r="B27" s="20" t="s">
        <v>178</v>
      </c>
      <c r="C27" s="87">
        <v>261.26</v>
      </c>
      <c r="D27" s="88">
        <v>0.2</v>
      </c>
      <c r="E27" s="87">
        <f t="shared" si="1"/>
        <v>209.008</v>
      </c>
      <c r="F27" s="20" t="s">
        <v>131</v>
      </c>
      <c r="G27" s="20" t="s">
        <v>132</v>
      </c>
    </row>
    <row r="28" ht="19.5" customHeight="1">
      <c r="A28" s="85" t="s">
        <v>179</v>
      </c>
      <c r="B28" s="20" t="s">
        <v>180</v>
      </c>
      <c r="C28" s="87">
        <v>522.51</v>
      </c>
      <c r="D28" s="88">
        <v>0.2</v>
      </c>
      <c r="E28" s="87">
        <f t="shared" si="1"/>
        <v>418.008</v>
      </c>
      <c r="F28" s="20" t="s">
        <v>131</v>
      </c>
      <c r="G28" s="20" t="s">
        <v>132</v>
      </c>
    </row>
    <row r="29" ht="19.5" customHeight="1">
      <c r="A29" s="85" t="s">
        <v>181</v>
      </c>
      <c r="B29" s="20" t="s">
        <v>182</v>
      </c>
      <c r="C29" s="87">
        <v>0.0</v>
      </c>
      <c r="D29" s="88">
        <v>0.2</v>
      </c>
      <c r="E29" s="87">
        <f t="shared" si="1"/>
        <v>0</v>
      </c>
      <c r="F29" s="20" t="s">
        <v>131</v>
      </c>
      <c r="G29" s="20" t="s">
        <v>132</v>
      </c>
    </row>
    <row r="30" ht="19.5" customHeight="1">
      <c r="A30" s="85" t="s">
        <v>183</v>
      </c>
      <c r="B30" s="20" t="s">
        <v>184</v>
      </c>
      <c r="C30" s="87">
        <v>234.21</v>
      </c>
      <c r="D30" s="88">
        <v>0.2</v>
      </c>
      <c r="E30" s="87">
        <f t="shared" si="1"/>
        <v>187.368</v>
      </c>
      <c r="F30" s="20" t="s">
        <v>131</v>
      </c>
      <c r="G30" s="20" t="s">
        <v>132</v>
      </c>
    </row>
    <row r="31" ht="19.5" customHeight="1">
      <c r="A31" s="85" t="s">
        <v>185</v>
      </c>
      <c r="B31" s="20" t="s">
        <v>186</v>
      </c>
      <c r="C31" s="87">
        <v>261.4</v>
      </c>
      <c r="D31" s="88">
        <v>0.2</v>
      </c>
      <c r="E31" s="87">
        <f t="shared" si="1"/>
        <v>209.12</v>
      </c>
      <c r="F31" s="20" t="s">
        <v>131</v>
      </c>
      <c r="G31" s="20" t="s">
        <v>132</v>
      </c>
    </row>
    <row r="32" ht="19.5" customHeight="1">
      <c r="A32" s="85" t="s">
        <v>187</v>
      </c>
      <c r="B32" s="20" t="s">
        <v>188</v>
      </c>
      <c r="C32" s="87">
        <v>522.81</v>
      </c>
      <c r="D32" s="88">
        <v>0.2</v>
      </c>
      <c r="E32" s="87">
        <f t="shared" si="1"/>
        <v>418.248</v>
      </c>
      <c r="F32" s="20" t="s">
        <v>131</v>
      </c>
      <c r="G32" s="20" t="s">
        <v>132</v>
      </c>
    </row>
    <row r="33" ht="19.5" customHeight="1">
      <c r="A33" s="85" t="s">
        <v>189</v>
      </c>
      <c r="B33" s="20" t="s">
        <v>190</v>
      </c>
      <c r="C33" s="87">
        <v>345.15</v>
      </c>
      <c r="D33" s="88">
        <v>0.2</v>
      </c>
      <c r="E33" s="87">
        <f t="shared" si="1"/>
        <v>276.12</v>
      </c>
      <c r="F33" s="20" t="s">
        <v>131</v>
      </c>
      <c r="G33" s="20" t="s">
        <v>132</v>
      </c>
    </row>
    <row r="34" ht="19.5" customHeight="1">
      <c r="A34" s="85" t="s">
        <v>191</v>
      </c>
      <c r="B34" s="20" t="s">
        <v>192</v>
      </c>
      <c r="C34" s="87">
        <v>271.86</v>
      </c>
      <c r="D34" s="88">
        <v>0.2</v>
      </c>
      <c r="E34" s="87">
        <f t="shared" si="1"/>
        <v>217.488</v>
      </c>
      <c r="F34" s="20" t="s">
        <v>131</v>
      </c>
      <c r="G34" s="20" t="s">
        <v>132</v>
      </c>
    </row>
    <row r="35" ht="19.5" customHeight="1">
      <c r="A35" s="85" t="s">
        <v>193</v>
      </c>
      <c r="B35" s="20" t="s">
        <v>194</v>
      </c>
      <c r="C35" s="87">
        <v>279.7</v>
      </c>
      <c r="D35" s="88">
        <v>0.2</v>
      </c>
      <c r="E35" s="87">
        <f t="shared" si="1"/>
        <v>223.76</v>
      </c>
      <c r="F35" s="20" t="s">
        <v>131</v>
      </c>
      <c r="G35" s="20" t="s">
        <v>132</v>
      </c>
    </row>
    <row r="36" ht="19.5" customHeight="1">
      <c r="A36" s="85" t="s">
        <v>195</v>
      </c>
      <c r="B36" s="20" t="s">
        <v>196</v>
      </c>
      <c r="C36" s="87">
        <v>313.68</v>
      </c>
      <c r="D36" s="88">
        <v>0.2</v>
      </c>
      <c r="E36" s="87">
        <f t="shared" si="1"/>
        <v>250.944</v>
      </c>
      <c r="F36" s="20" t="s">
        <v>131</v>
      </c>
      <c r="G36" s="20" t="s">
        <v>132</v>
      </c>
    </row>
    <row r="37" ht="19.5" customHeight="1">
      <c r="A37" s="85" t="s">
        <v>197</v>
      </c>
      <c r="B37" s="20" t="s">
        <v>198</v>
      </c>
      <c r="C37" s="87">
        <v>287.54</v>
      </c>
      <c r="D37" s="88">
        <v>0.2</v>
      </c>
      <c r="E37" s="87">
        <f t="shared" si="1"/>
        <v>230.032</v>
      </c>
      <c r="F37" s="20" t="s">
        <v>131</v>
      </c>
      <c r="G37" s="20" t="s">
        <v>132</v>
      </c>
    </row>
    <row r="38" ht="19.5" customHeight="1">
      <c r="A38" s="85" t="s">
        <v>199</v>
      </c>
      <c r="B38" s="20" t="s">
        <v>200</v>
      </c>
      <c r="C38" s="87">
        <v>300.61</v>
      </c>
      <c r="D38" s="88">
        <v>0.2</v>
      </c>
      <c r="E38" s="87">
        <f t="shared" si="1"/>
        <v>240.488</v>
      </c>
      <c r="F38" s="20" t="s">
        <v>131</v>
      </c>
      <c r="G38" s="20" t="s">
        <v>132</v>
      </c>
    </row>
    <row r="39" ht="19.5" customHeight="1">
      <c r="A39" s="85" t="s">
        <v>201</v>
      </c>
      <c r="B39" s="20" t="s">
        <v>202</v>
      </c>
      <c r="C39" s="87">
        <v>261.4</v>
      </c>
      <c r="D39" s="88">
        <v>0.2</v>
      </c>
      <c r="E39" s="87">
        <f t="shared" si="1"/>
        <v>209.12</v>
      </c>
      <c r="F39" s="20" t="s">
        <v>131</v>
      </c>
      <c r="G39" s="20" t="s">
        <v>132</v>
      </c>
    </row>
    <row r="40" ht="19.5" customHeight="1">
      <c r="A40" s="85" t="s">
        <v>203</v>
      </c>
      <c r="B40" s="20" t="s">
        <v>204</v>
      </c>
      <c r="C40" s="87">
        <v>261.4</v>
      </c>
      <c r="D40" s="88">
        <v>0.2</v>
      </c>
      <c r="E40" s="87">
        <f t="shared" si="1"/>
        <v>209.12</v>
      </c>
      <c r="F40" s="20" t="s">
        <v>131</v>
      </c>
      <c r="G40" s="20" t="s">
        <v>132</v>
      </c>
    </row>
    <row r="41" ht="19.5" customHeight="1">
      <c r="A41" s="85" t="s">
        <v>205</v>
      </c>
      <c r="B41" s="20" t="s">
        <v>206</v>
      </c>
      <c r="C41" s="87">
        <v>261.4</v>
      </c>
      <c r="D41" s="88">
        <v>0.2</v>
      </c>
      <c r="E41" s="87">
        <f t="shared" si="1"/>
        <v>209.12</v>
      </c>
      <c r="F41" s="20" t="s">
        <v>131</v>
      </c>
      <c r="G41" s="20" t="s">
        <v>132</v>
      </c>
    </row>
    <row r="42" ht="19.5" customHeight="1">
      <c r="A42" s="85" t="s">
        <v>207</v>
      </c>
      <c r="B42" s="20" t="s">
        <v>208</v>
      </c>
      <c r="C42" s="87">
        <v>522.81</v>
      </c>
      <c r="D42" s="88">
        <v>0.2</v>
      </c>
      <c r="E42" s="87">
        <f t="shared" si="1"/>
        <v>418.248</v>
      </c>
      <c r="F42" s="20" t="s">
        <v>131</v>
      </c>
      <c r="G42" s="20" t="s">
        <v>132</v>
      </c>
    </row>
    <row r="43" ht="19.5" customHeight="1">
      <c r="A43" s="85" t="s">
        <v>209</v>
      </c>
      <c r="B43" s="20" t="s">
        <v>210</v>
      </c>
      <c r="C43" s="87">
        <v>234.21</v>
      </c>
      <c r="D43" s="88">
        <v>0.2</v>
      </c>
      <c r="E43" s="87">
        <f t="shared" si="1"/>
        <v>187.368</v>
      </c>
      <c r="F43" s="20" t="s">
        <v>131</v>
      </c>
      <c r="G43" s="20" t="s">
        <v>132</v>
      </c>
    </row>
    <row r="44" ht="19.5" customHeight="1">
      <c r="A44" s="85" t="s">
        <v>211</v>
      </c>
      <c r="B44" s="20" t="s">
        <v>212</v>
      </c>
      <c r="C44" s="87">
        <v>261.4</v>
      </c>
      <c r="D44" s="88">
        <v>0.2</v>
      </c>
      <c r="E44" s="87">
        <f t="shared" si="1"/>
        <v>209.12</v>
      </c>
      <c r="F44" s="20" t="s">
        <v>131</v>
      </c>
      <c r="G44" s="20" t="s">
        <v>132</v>
      </c>
    </row>
    <row r="45" ht="19.5" customHeight="1">
      <c r="A45" s="85" t="s">
        <v>213</v>
      </c>
      <c r="B45" s="20" t="s">
        <v>214</v>
      </c>
      <c r="C45" s="87">
        <v>522.81</v>
      </c>
      <c r="D45" s="88">
        <v>0.2</v>
      </c>
      <c r="E45" s="87">
        <f t="shared" si="1"/>
        <v>418.248</v>
      </c>
      <c r="F45" s="20" t="s">
        <v>131</v>
      </c>
      <c r="G45" s="20" t="s">
        <v>132</v>
      </c>
    </row>
    <row r="46" ht="19.5" customHeight="1">
      <c r="A46" s="85" t="s">
        <v>215</v>
      </c>
      <c r="B46" s="20" t="s">
        <v>216</v>
      </c>
      <c r="C46" s="87">
        <v>345.15</v>
      </c>
      <c r="D46" s="88">
        <v>0.2</v>
      </c>
      <c r="E46" s="87">
        <f t="shared" si="1"/>
        <v>276.12</v>
      </c>
      <c r="F46" s="20" t="s">
        <v>131</v>
      </c>
      <c r="G46" s="20" t="s">
        <v>132</v>
      </c>
    </row>
    <row r="47" ht="19.5" customHeight="1">
      <c r="A47" s="85" t="s">
        <v>217</v>
      </c>
      <c r="B47" s="20" t="s">
        <v>218</v>
      </c>
      <c r="C47" s="87">
        <v>271.86</v>
      </c>
      <c r="D47" s="88">
        <v>0.2</v>
      </c>
      <c r="E47" s="87">
        <f t="shared" si="1"/>
        <v>217.488</v>
      </c>
      <c r="F47" s="20" t="s">
        <v>131</v>
      </c>
      <c r="G47" s="20" t="s">
        <v>132</v>
      </c>
    </row>
    <row r="48" ht="19.5" customHeight="1">
      <c r="A48" s="85" t="s">
        <v>219</v>
      </c>
      <c r="B48" s="20" t="s">
        <v>220</v>
      </c>
      <c r="C48" s="87">
        <v>279.7</v>
      </c>
      <c r="D48" s="88">
        <v>0.2</v>
      </c>
      <c r="E48" s="87">
        <f t="shared" si="1"/>
        <v>223.76</v>
      </c>
      <c r="F48" s="20" t="s">
        <v>131</v>
      </c>
      <c r="G48" s="20" t="s">
        <v>132</v>
      </c>
    </row>
    <row r="49" ht="19.5" customHeight="1">
      <c r="A49" s="85" t="s">
        <v>221</v>
      </c>
      <c r="B49" s="20" t="s">
        <v>222</v>
      </c>
      <c r="C49" s="87">
        <v>313.68</v>
      </c>
      <c r="D49" s="88">
        <v>0.2</v>
      </c>
      <c r="E49" s="87">
        <f t="shared" si="1"/>
        <v>250.944</v>
      </c>
      <c r="F49" s="20" t="s">
        <v>131</v>
      </c>
      <c r="G49" s="20" t="s">
        <v>132</v>
      </c>
    </row>
    <row r="50" ht="19.5" customHeight="1">
      <c r="A50" s="85" t="s">
        <v>223</v>
      </c>
      <c r="B50" s="20" t="s">
        <v>224</v>
      </c>
      <c r="C50" s="87">
        <v>287.54</v>
      </c>
      <c r="D50" s="88">
        <v>0.2</v>
      </c>
      <c r="E50" s="87">
        <f t="shared" si="1"/>
        <v>230.032</v>
      </c>
      <c r="F50" s="20" t="s">
        <v>131</v>
      </c>
      <c r="G50" s="20" t="s">
        <v>132</v>
      </c>
    </row>
    <row r="51" ht="19.5" customHeight="1">
      <c r="A51" s="85" t="s">
        <v>225</v>
      </c>
      <c r="B51" s="20" t="s">
        <v>226</v>
      </c>
      <c r="C51" s="87">
        <v>300.61</v>
      </c>
      <c r="D51" s="88">
        <v>0.2</v>
      </c>
      <c r="E51" s="87">
        <f t="shared" si="1"/>
        <v>240.488</v>
      </c>
      <c r="F51" s="20" t="s">
        <v>131</v>
      </c>
      <c r="G51" s="20" t="s">
        <v>132</v>
      </c>
    </row>
    <row r="52" ht="19.5" customHeight="1">
      <c r="A52" s="85" t="s">
        <v>227</v>
      </c>
      <c r="B52" s="20" t="s">
        <v>228</v>
      </c>
      <c r="C52" s="87">
        <v>261.4</v>
      </c>
      <c r="D52" s="88">
        <v>0.2</v>
      </c>
      <c r="E52" s="87">
        <f t="shared" si="1"/>
        <v>209.12</v>
      </c>
      <c r="F52" s="20" t="s">
        <v>131</v>
      </c>
      <c r="G52" s="20" t="s">
        <v>132</v>
      </c>
    </row>
    <row r="53" ht="19.5" customHeight="1">
      <c r="A53" s="85" t="s">
        <v>229</v>
      </c>
      <c r="B53" s="20" t="s">
        <v>230</v>
      </c>
      <c r="C53" s="87">
        <v>261.4</v>
      </c>
      <c r="D53" s="88">
        <v>0.2</v>
      </c>
      <c r="E53" s="87">
        <f t="shared" si="1"/>
        <v>209.12</v>
      </c>
      <c r="F53" s="20" t="s">
        <v>131</v>
      </c>
      <c r="G53" s="20" t="s">
        <v>132</v>
      </c>
    </row>
    <row r="54" ht="19.5" customHeight="1">
      <c r="A54" s="85" t="s">
        <v>231</v>
      </c>
      <c r="B54" s="20" t="s">
        <v>232</v>
      </c>
      <c r="C54" s="87">
        <v>522.81</v>
      </c>
      <c r="D54" s="88">
        <v>0.2</v>
      </c>
      <c r="E54" s="87">
        <f t="shared" si="1"/>
        <v>418.248</v>
      </c>
      <c r="F54" s="20" t="s">
        <v>131</v>
      </c>
      <c r="G54" s="20" t="s">
        <v>132</v>
      </c>
    </row>
    <row r="55" ht="19.5" customHeight="1">
      <c r="A55" s="85" t="s">
        <v>233</v>
      </c>
      <c r="B55" s="20" t="s">
        <v>234</v>
      </c>
      <c r="C55" s="87">
        <v>0.0</v>
      </c>
      <c r="D55" s="88">
        <v>0.2</v>
      </c>
      <c r="E55" s="87">
        <f t="shared" si="1"/>
        <v>0</v>
      </c>
      <c r="F55" s="20" t="s">
        <v>131</v>
      </c>
      <c r="G55" s="20" t="s">
        <v>132</v>
      </c>
    </row>
    <row r="56" ht="19.5" customHeight="1">
      <c r="A56" s="85" t="s">
        <v>235</v>
      </c>
      <c r="B56" s="20" t="s">
        <v>236</v>
      </c>
      <c r="C56" s="87">
        <v>0.0</v>
      </c>
      <c r="D56" s="88">
        <v>0.2</v>
      </c>
      <c r="E56" s="87">
        <f t="shared" si="1"/>
        <v>0</v>
      </c>
      <c r="F56" s="20" t="s">
        <v>131</v>
      </c>
      <c r="G56" s="20" t="s">
        <v>132</v>
      </c>
    </row>
    <row r="57" ht="19.5" customHeight="1">
      <c r="A57" s="85" t="s">
        <v>237</v>
      </c>
      <c r="B57" s="20" t="s">
        <v>238</v>
      </c>
      <c r="C57" s="87">
        <v>234.21</v>
      </c>
      <c r="D57" s="88">
        <v>0.2</v>
      </c>
      <c r="E57" s="87">
        <f t="shared" si="1"/>
        <v>187.368</v>
      </c>
      <c r="F57" s="20" t="s">
        <v>131</v>
      </c>
      <c r="G57" s="20" t="s">
        <v>132</v>
      </c>
    </row>
    <row r="58" ht="19.5" customHeight="1">
      <c r="A58" s="85" t="s">
        <v>239</v>
      </c>
      <c r="B58" s="20" t="s">
        <v>240</v>
      </c>
      <c r="C58" s="87">
        <v>261.4</v>
      </c>
      <c r="D58" s="88">
        <v>0.2</v>
      </c>
      <c r="E58" s="87">
        <f t="shared" si="1"/>
        <v>209.12</v>
      </c>
      <c r="F58" s="20" t="s">
        <v>131</v>
      </c>
      <c r="G58" s="20" t="s">
        <v>132</v>
      </c>
    </row>
    <row r="59" ht="19.5" customHeight="1">
      <c r="A59" s="85" t="s">
        <v>241</v>
      </c>
      <c r="B59" s="20" t="s">
        <v>242</v>
      </c>
      <c r="C59" s="87">
        <v>522.81</v>
      </c>
      <c r="D59" s="88">
        <v>0.2</v>
      </c>
      <c r="E59" s="87">
        <f t="shared" si="1"/>
        <v>418.248</v>
      </c>
      <c r="F59" s="20" t="s">
        <v>131</v>
      </c>
      <c r="G59" s="20" t="s">
        <v>132</v>
      </c>
    </row>
    <row r="60" ht="19.5" customHeight="1">
      <c r="A60" s="85" t="s">
        <v>243</v>
      </c>
      <c r="B60" s="20" t="s">
        <v>244</v>
      </c>
      <c r="C60" s="87">
        <v>345.15</v>
      </c>
      <c r="D60" s="88">
        <v>0.2</v>
      </c>
      <c r="E60" s="87">
        <f t="shared" si="1"/>
        <v>276.12</v>
      </c>
      <c r="F60" s="20" t="s">
        <v>131</v>
      </c>
      <c r="G60" s="20" t="s">
        <v>132</v>
      </c>
    </row>
    <row r="61" ht="19.5" customHeight="1">
      <c r="A61" s="85" t="s">
        <v>245</v>
      </c>
      <c r="B61" s="20" t="s">
        <v>246</v>
      </c>
      <c r="C61" s="87">
        <v>261.4</v>
      </c>
      <c r="D61" s="88">
        <v>0.2</v>
      </c>
      <c r="E61" s="87">
        <f t="shared" si="1"/>
        <v>209.12</v>
      </c>
      <c r="F61" s="20" t="s">
        <v>131</v>
      </c>
      <c r="G61" s="20" t="s">
        <v>132</v>
      </c>
    </row>
    <row r="62" ht="19.5" customHeight="1">
      <c r="A62" s="85" t="s">
        <v>22</v>
      </c>
      <c r="B62" s="20" t="s">
        <v>247</v>
      </c>
      <c r="C62" s="87">
        <v>261.4</v>
      </c>
      <c r="D62" s="88">
        <v>0.2</v>
      </c>
      <c r="E62" s="87">
        <f t="shared" si="1"/>
        <v>209.12</v>
      </c>
      <c r="F62" s="20" t="s">
        <v>131</v>
      </c>
      <c r="G62" s="20" t="s">
        <v>132</v>
      </c>
    </row>
    <row r="63" ht="19.5" customHeight="1">
      <c r="A63" s="85" t="s">
        <v>248</v>
      </c>
      <c r="B63" s="20" t="s">
        <v>249</v>
      </c>
      <c r="C63" s="87">
        <v>522.81</v>
      </c>
      <c r="D63" s="88">
        <v>0.2</v>
      </c>
      <c r="E63" s="87">
        <f t="shared" si="1"/>
        <v>418.248</v>
      </c>
      <c r="F63" s="20" t="s">
        <v>131</v>
      </c>
      <c r="G63" s="20" t="s">
        <v>132</v>
      </c>
    </row>
    <row r="64" ht="19.5" customHeight="1">
      <c r="A64" s="85" t="s">
        <v>250</v>
      </c>
      <c r="B64" s="20" t="s">
        <v>251</v>
      </c>
      <c r="C64" s="87">
        <v>72.26</v>
      </c>
      <c r="D64" s="88">
        <v>0.2</v>
      </c>
      <c r="E64" s="87">
        <f t="shared" si="1"/>
        <v>57.808</v>
      </c>
      <c r="F64" s="20" t="s">
        <v>131</v>
      </c>
      <c r="G64" s="20" t="s">
        <v>132</v>
      </c>
    </row>
    <row r="65" ht="19.5" customHeight="1">
      <c r="A65" s="85" t="s">
        <v>252</v>
      </c>
      <c r="B65" s="20" t="s">
        <v>253</v>
      </c>
      <c r="C65" s="87">
        <v>81.16</v>
      </c>
      <c r="D65" s="88">
        <v>0.2</v>
      </c>
      <c r="E65" s="87">
        <f t="shared" si="1"/>
        <v>64.928</v>
      </c>
      <c r="F65" s="20" t="s">
        <v>131</v>
      </c>
      <c r="G65" s="20" t="s">
        <v>132</v>
      </c>
    </row>
    <row r="66" ht="19.5" customHeight="1">
      <c r="A66" s="85" t="s">
        <v>254</v>
      </c>
      <c r="B66" s="20" t="s">
        <v>255</v>
      </c>
      <c r="C66" s="87">
        <v>81.77</v>
      </c>
      <c r="D66" s="88">
        <v>0.2</v>
      </c>
      <c r="E66" s="87">
        <f t="shared" si="1"/>
        <v>65.416</v>
      </c>
      <c r="F66" s="20" t="s">
        <v>131</v>
      </c>
      <c r="G66" s="20" t="s">
        <v>132</v>
      </c>
    </row>
    <row r="67" ht="19.5" customHeight="1">
      <c r="A67" s="85" t="s">
        <v>256</v>
      </c>
      <c r="B67" s="20" t="s">
        <v>257</v>
      </c>
      <c r="C67" s="87">
        <v>84.41</v>
      </c>
      <c r="D67" s="88">
        <v>0.2</v>
      </c>
      <c r="E67" s="87">
        <f t="shared" si="1"/>
        <v>67.528</v>
      </c>
      <c r="F67" s="20" t="s">
        <v>131</v>
      </c>
      <c r="G67" s="20" t="s">
        <v>132</v>
      </c>
    </row>
    <row r="68" ht="19.5" customHeight="1">
      <c r="A68" s="85" t="s">
        <v>258</v>
      </c>
      <c r="B68" s="20" t="s">
        <v>259</v>
      </c>
      <c r="C68" s="87">
        <v>86.84</v>
      </c>
      <c r="D68" s="88">
        <v>0.2</v>
      </c>
      <c r="E68" s="87">
        <f t="shared" si="1"/>
        <v>69.472</v>
      </c>
      <c r="F68" s="20" t="s">
        <v>131</v>
      </c>
      <c r="G68" s="20" t="s">
        <v>132</v>
      </c>
    </row>
    <row r="69" ht="19.5" customHeight="1">
      <c r="A69" s="85" t="s">
        <v>260</v>
      </c>
      <c r="B69" s="20" t="s">
        <v>261</v>
      </c>
      <c r="C69" s="87">
        <v>97.39</v>
      </c>
      <c r="D69" s="88">
        <v>0.2</v>
      </c>
      <c r="E69" s="87">
        <f t="shared" si="1"/>
        <v>77.912</v>
      </c>
      <c r="F69" s="20" t="s">
        <v>131</v>
      </c>
      <c r="G69" s="20" t="s">
        <v>132</v>
      </c>
    </row>
    <row r="70" ht="19.5" customHeight="1">
      <c r="A70" s="85" t="s">
        <v>262</v>
      </c>
      <c r="B70" s="20" t="s">
        <v>263</v>
      </c>
      <c r="C70" s="87">
        <v>89.28</v>
      </c>
      <c r="D70" s="88">
        <v>0.2</v>
      </c>
      <c r="E70" s="87">
        <f t="shared" si="1"/>
        <v>71.424</v>
      </c>
      <c r="F70" s="20" t="s">
        <v>131</v>
      </c>
      <c r="G70" s="20" t="s">
        <v>132</v>
      </c>
    </row>
    <row r="71" ht="19.5" customHeight="1">
      <c r="A71" s="85" t="s">
        <v>264</v>
      </c>
      <c r="B71" s="20" t="s">
        <v>265</v>
      </c>
      <c r="C71" s="87">
        <v>93.33</v>
      </c>
      <c r="D71" s="88">
        <v>0.2</v>
      </c>
      <c r="E71" s="87">
        <f t="shared" si="1"/>
        <v>74.664</v>
      </c>
      <c r="F71" s="20" t="s">
        <v>131</v>
      </c>
      <c r="G71" s="20" t="s">
        <v>132</v>
      </c>
    </row>
    <row r="72" ht="19.5" customHeight="1">
      <c r="A72" s="85" t="s">
        <v>266</v>
      </c>
      <c r="B72" s="20" t="s">
        <v>267</v>
      </c>
      <c r="C72" s="87">
        <v>81.16</v>
      </c>
      <c r="D72" s="88">
        <v>0.2</v>
      </c>
      <c r="E72" s="87">
        <f t="shared" si="1"/>
        <v>64.928</v>
      </c>
      <c r="F72" s="20" t="s">
        <v>131</v>
      </c>
      <c r="G72" s="20" t="s">
        <v>132</v>
      </c>
    </row>
    <row r="73" ht="19.5" customHeight="1">
      <c r="A73" s="85" t="s">
        <v>268</v>
      </c>
      <c r="B73" s="20" t="s">
        <v>269</v>
      </c>
      <c r="C73" s="87">
        <v>81.16</v>
      </c>
      <c r="D73" s="88">
        <v>0.2</v>
      </c>
      <c r="E73" s="87">
        <f t="shared" si="1"/>
        <v>64.928</v>
      </c>
      <c r="F73" s="20" t="s">
        <v>131</v>
      </c>
      <c r="G73" s="20" t="s">
        <v>132</v>
      </c>
    </row>
    <row r="74" ht="19.5" customHeight="1">
      <c r="A74" s="85" t="s">
        <v>270</v>
      </c>
      <c r="B74" s="20" t="s">
        <v>271</v>
      </c>
      <c r="C74" s="87">
        <v>24.71</v>
      </c>
      <c r="D74" s="88">
        <v>0.2</v>
      </c>
      <c r="E74" s="87">
        <f t="shared" si="1"/>
        <v>19.768</v>
      </c>
      <c r="F74" s="20" t="s">
        <v>131</v>
      </c>
      <c r="G74" s="20" t="s">
        <v>132</v>
      </c>
    </row>
    <row r="75" ht="19.5" customHeight="1">
      <c r="A75" s="85" t="s">
        <v>272</v>
      </c>
      <c r="B75" s="20" t="s">
        <v>273</v>
      </c>
      <c r="C75" s="87">
        <v>26.42</v>
      </c>
      <c r="D75" s="88">
        <v>0.2</v>
      </c>
      <c r="E75" s="87">
        <f t="shared" si="1"/>
        <v>21.136</v>
      </c>
      <c r="F75" s="20" t="s">
        <v>131</v>
      </c>
      <c r="G75" s="20" t="s">
        <v>132</v>
      </c>
    </row>
    <row r="76" ht="19.5" customHeight="1">
      <c r="A76" s="85" t="s">
        <v>274</v>
      </c>
      <c r="B76" s="20" t="s">
        <v>275</v>
      </c>
      <c r="C76" s="87">
        <v>25.42</v>
      </c>
      <c r="D76" s="88">
        <v>0.2</v>
      </c>
      <c r="E76" s="87">
        <f t="shared" si="1"/>
        <v>20.336</v>
      </c>
      <c r="F76" s="20" t="s">
        <v>131</v>
      </c>
      <c r="G76" s="20" t="s">
        <v>132</v>
      </c>
    </row>
    <row r="77" ht="19.5" customHeight="1">
      <c r="A77" s="85" t="s">
        <v>276</v>
      </c>
      <c r="B77" s="20" t="s">
        <v>277</v>
      </c>
      <c r="C77" s="87">
        <v>0.0</v>
      </c>
      <c r="D77" s="88">
        <v>0.2</v>
      </c>
      <c r="E77" s="87">
        <f t="shared" si="1"/>
        <v>0</v>
      </c>
      <c r="F77" s="20" t="s">
        <v>131</v>
      </c>
      <c r="G77" s="20" t="s">
        <v>132</v>
      </c>
    </row>
    <row r="78" ht="19.5" customHeight="1">
      <c r="A78" s="85" t="s">
        <v>278</v>
      </c>
      <c r="B78" s="20" t="s">
        <v>279</v>
      </c>
      <c r="C78" s="87">
        <v>27.48</v>
      </c>
      <c r="D78" s="88">
        <v>0.2</v>
      </c>
      <c r="E78" s="87">
        <f t="shared" si="1"/>
        <v>21.984</v>
      </c>
      <c r="F78" s="20" t="s">
        <v>131</v>
      </c>
      <c r="G78" s="20" t="s">
        <v>132</v>
      </c>
    </row>
    <row r="79" ht="19.5" customHeight="1">
      <c r="A79" s="85" t="s">
        <v>280</v>
      </c>
      <c r="B79" s="20" t="s">
        <v>281</v>
      </c>
      <c r="C79" s="87">
        <v>28.27</v>
      </c>
      <c r="D79" s="88">
        <v>0.2</v>
      </c>
      <c r="E79" s="87">
        <f t="shared" si="1"/>
        <v>22.616</v>
      </c>
      <c r="F79" s="20" t="s">
        <v>131</v>
      </c>
      <c r="G79" s="20" t="s">
        <v>132</v>
      </c>
    </row>
    <row r="80" ht="19.5" customHeight="1">
      <c r="A80" s="85" t="s">
        <v>282</v>
      </c>
      <c r="B80" s="20" t="s">
        <v>283</v>
      </c>
      <c r="C80" s="87">
        <v>31.7</v>
      </c>
      <c r="D80" s="88">
        <v>0.2</v>
      </c>
      <c r="E80" s="87">
        <f t="shared" si="1"/>
        <v>25.36</v>
      </c>
      <c r="F80" s="20" t="s">
        <v>131</v>
      </c>
      <c r="G80" s="20" t="s">
        <v>132</v>
      </c>
    </row>
    <row r="81" ht="19.5" customHeight="1">
      <c r="A81" s="85" t="s">
        <v>284</v>
      </c>
      <c r="B81" s="20" t="s">
        <v>285</v>
      </c>
      <c r="C81" s="87">
        <v>29.06</v>
      </c>
      <c r="D81" s="88">
        <v>0.2</v>
      </c>
      <c r="E81" s="87">
        <f t="shared" si="1"/>
        <v>23.248</v>
      </c>
      <c r="F81" s="20" t="s">
        <v>131</v>
      </c>
      <c r="G81" s="20" t="s">
        <v>132</v>
      </c>
    </row>
    <row r="82" ht="19.5" customHeight="1">
      <c r="A82" s="85" t="s">
        <v>286</v>
      </c>
      <c r="B82" s="20" t="s">
        <v>287</v>
      </c>
      <c r="C82" s="87">
        <v>30.38</v>
      </c>
      <c r="D82" s="88">
        <v>0.2</v>
      </c>
      <c r="E82" s="87">
        <f t="shared" si="1"/>
        <v>24.304</v>
      </c>
      <c r="F82" s="20" t="s">
        <v>131</v>
      </c>
      <c r="G82" s="20" t="s">
        <v>132</v>
      </c>
    </row>
    <row r="83" ht="19.5" customHeight="1">
      <c r="A83" s="85" t="s">
        <v>288</v>
      </c>
      <c r="B83" s="20" t="s">
        <v>289</v>
      </c>
      <c r="C83" s="87">
        <v>26.42</v>
      </c>
      <c r="D83" s="88">
        <v>0.2</v>
      </c>
      <c r="E83" s="87">
        <f t="shared" si="1"/>
        <v>21.136</v>
      </c>
      <c r="F83" s="20" t="s">
        <v>131</v>
      </c>
      <c r="G83" s="20" t="s">
        <v>132</v>
      </c>
    </row>
    <row r="84" ht="19.5" customHeight="1">
      <c r="A84" s="85" t="s">
        <v>30</v>
      </c>
      <c r="B84" s="20" t="s">
        <v>290</v>
      </c>
      <c r="C84" s="87">
        <v>26.42</v>
      </c>
      <c r="D84" s="88">
        <v>0.2</v>
      </c>
      <c r="E84" s="87">
        <f t="shared" si="1"/>
        <v>21.136</v>
      </c>
      <c r="F84" s="20" t="s">
        <v>131</v>
      </c>
      <c r="G84" s="20" t="s">
        <v>132</v>
      </c>
    </row>
    <row r="85" ht="19.5" customHeight="1">
      <c r="A85" s="85" t="s">
        <v>291</v>
      </c>
      <c r="B85" s="20" t="s">
        <v>292</v>
      </c>
      <c r="C85" s="87">
        <v>52.68</v>
      </c>
      <c r="D85" s="88">
        <v>0.2</v>
      </c>
      <c r="E85" s="87">
        <f t="shared" si="1"/>
        <v>42.144</v>
      </c>
      <c r="F85" s="20" t="s">
        <v>131</v>
      </c>
      <c r="G85" s="20" t="s">
        <v>132</v>
      </c>
    </row>
    <row r="86" ht="19.5" customHeight="1">
      <c r="A86" s="85" t="s">
        <v>293</v>
      </c>
      <c r="B86" s="20" t="s">
        <v>294</v>
      </c>
      <c r="C86" s="87">
        <v>79.02</v>
      </c>
      <c r="D86" s="88">
        <v>0.2</v>
      </c>
      <c r="E86" s="87">
        <f t="shared" si="1"/>
        <v>63.216</v>
      </c>
      <c r="F86" s="20" t="s">
        <v>131</v>
      </c>
      <c r="G86" s="20" t="s">
        <v>132</v>
      </c>
    </row>
    <row r="87" ht="19.5" customHeight="1">
      <c r="A87" s="85" t="s">
        <v>295</v>
      </c>
      <c r="B87" s="20" t="s">
        <v>296</v>
      </c>
      <c r="C87" s="87">
        <v>105.36</v>
      </c>
      <c r="D87" s="88">
        <v>0.2</v>
      </c>
      <c r="E87" s="87">
        <f t="shared" si="1"/>
        <v>84.288</v>
      </c>
      <c r="F87" s="20" t="s">
        <v>131</v>
      </c>
      <c r="G87" s="20" t="s">
        <v>132</v>
      </c>
    </row>
    <row r="88" ht="19.5" customHeight="1">
      <c r="A88" s="85" t="s">
        <v>297</v>
      </c>
      <c r="B88" s="20" t="s">
        <v>298</v>
      </c>
      <c r="C88" s="87">
        <v>158.04</v>
      </c>
      <c r="D88" s="88">
        <v>0.2</v>
      </c>
      <c r="E88" s="87">
        <f t="shared" si="1"/>
        <v>126.432</v>
      </c>
      <c r="F88" s="20" t="s">
        <v>131</v>
      </c>
      <c r="G88" s="20" t="s">
        <v>132</v>
      </c>
    </row>
    <row r="89" ht="19.5" customHeight="1">
      <c r="A89" s="85" t="s">
        <v>299</v>
      </c>
      <c r="B89" s="20" t="s">
        <v>300</v>
      </c>
      <c r="C89" s="87">
        <v>54.79</v>
      </c>
      <c r="D89" s="88">
        <v>0.2</v>
      </c>
      <c r="E89" s="87">
        <f t="shared" si="1"/>
        <v>43.832</v>
      </c>
      <c r="F89" s="20" t="s">
        <v>131</v>
      </c>
      <c r="G89" s="20" t="s">
        <v>132</v>
      </c>
    </row>
    <row r="90" ht="19.5" customHeight="1">
      <c r="A90" s="85" t="s">
        <v>301</v>
      </c>
      <c r="B90" s="20" t="s">
        <v>302</v>
      </c>
      <c r="C90" s="87">
        <v>82.18</v>
      </c>
      <c r="D90" s="88">
        <v>0.2</v>
      </c>
      <c r="E90" s="87">
        <f t="shared" si="1"/>
        <v>65.744</v>
      </c>
      <c r="F90" s="20" t="s">
        <v>131</v>
      </c>
      <c r="G90" s="20" t="s">
        <v>132</v>
      </c>
    </row>
    <row r="91" ht="19.5" customHeight="1">
      <c r="A91" s="85" t="s">
        <v>303</v>
      </c>
      <c r="B91" s="20" t="s">
        <v>304</v>
      </c>
      <c r="C91" s="87">
        <v>109.57</v>
      </c>
      <c r="D91" s="88">
        <v>0.2</v>
      </c>
      <c r="E91" s="87">
        <f t="shared" si="1"/>
        <v>87.656</v>
      </c>
      <c r="F91" s="20" t="s">
        <v>131</v>
      </c>
      <c r="G91" s="20" t="s">
        <v>132</v>
      </c>
    </row>
    <row r="92" ht="19.5" customHeight="1">
      <c r="A92" s="85" t="s">
        <v>305</v>
      </c>
      <c r="B92" s="20" t="s">
        <v>306</v>
      </c>
      <c r="C92" s="87">
        <v>164.36</v>
      </c>
      <c r="D92" s="88">
        <v>0.2</v>
      </c>
      <c r="E92" s="87">
        <f t="shared" si="1"/>
        <v>131.488</v>
      </c>
      <c r="F92" s="20" t="s">
        <v>131</v>
      </c>
      <c r="G92" s="20" t="s">
        <v>132</v>
      </c>
    </row>
    <row r="93" ht="19.5" customHeight="1">
      <c r="A93" s="85" t="s">
        <v>307</v>
      </c>
      <c r="B93" s="20" t="s">
        <v>308</v>
      </c>
      <c r="C93" s="87">
        <v>56.37</v>
      </c>
      <c r="D93" s="88">
        <v>0.2</v>
      </c>
      <c r="E93" s="87">
        <f t="shared" si="1"/>
        <v>45.096</v>
      </c>
      <c r="F93" s="20" t="s">
        <v>131</v>
      </c>
      <c r="G93" s="20" t="s">
        <v>132</v>
      </c>
    </row>
    <row r="94" ht="19.5" customHeight="1">
      <c r="A94" s="85" t="s">
        <v>309</v>
      </c>
      <c r="B94" s="20" t="s">
        <v>310</v>
      </c>
      <c r="C94" s="87">
        <v>84.55</v>
      </c>
      <c r="D94" s="88">
        <v>0.2</v>
      </c>
      <c r="E94" s="87">
        <f t="shared" si="1"/>
        <v>67.64</v>
      </c>
      <c r="F94" s="20" t="s">
        <v>131</v>
      </c>
      <c r="G94" s="20" t="s">
        <v>132</v>
      </c>
    </row>
    <row r="95" ht="19.5" customHeight="1">
      <c r="A95" s="85" t="s">
        <v>311</v>
      </c>
      <c r="B95" s="20" t="s">
        <v>312</v>
      </c>
      <c r="C95" s="87">
        <v>112.74</v>
      </c>
      <c r="D95" s="88">
        <v>0.2</v>
      </c>
      <c r="E95" s="87">
        <f t="shared" si="1"/>
        <v>90.192</v>
      </c>
      <c r="F95" s="20" t="s">
        <v>131</v>
      </c>
      <c r="G95" s="20" t="s">
        <v>132</v>
      </c>
    </row>
    <row r="96" ht="19.5" customHeight="1">
      <c r="A96" s="85" t="s">
        <v>313</v>
      </c>
      <c r="B96" s="20" t="s">
        <v>314</v>
      </c>
      <c r="C96" s="87">
        <v>169.1</v>
      </c>
      <c r="D96" s="88">
        <v>0.2</v>
      </c>
      <c r="E96" s="87">
        <f t="shared" si="1"/>
        <v>135.28</v>
      </c>
      <c r="F96" s="20" t="s">
        <v>131</v>
      </c>
      <c r="G96" s="20" t="s">
        <v>132</v>
      </c>
    </row>
    <row r="97" ht="19.5" customHeight="1">
      <c r="A97" s="85" t="s">
        <v>315</v>
      </c>
      <c r="B97" s="20" t="s">
        <v>316</v>
      </c>
      <c r="C97" s="87">
        <v>63.22</v>
      </c>
      <c r="D97" s="88">
        <v>0.2</v>
      </c>
      <c r="E97" s="87">
        <f t="shared" si="1"/>
        <v>50.576</v>
      </c>
      <c r="F97" s="20" t="s">
        <v>131</v>
      </c>
      <c r="G97" s="20" t="s">
        <v>132</v>
      </c>
    </row>
    <row r="98" ht="19.5" customHeight="1">
      <c r="A98" s="85" t="s">
        <v>317</v>
      </c>
      <c r="B98" s="20" t="s">
        <v>318</v>
      </c>
      <c r="C98" s="87">
        <v>94.82</v>
      </c>
      <c r="D98" s="88">
        <v>0.2</v>
      </c>
      <c r="E98" s="87">
        <f t="shared" si="1"/>
        <v>75.856</v>
      </c>
      <c r="F98" s="20" t="s">
        <v>131</v>
      </c>
      <c r="G98" s="20" t="s">
        <v>132</v>
      </c>
    </row>
    <row r="99" ht="19.5" customHeight="1">
      <c r="A99" s="85" t="s">
        <v>319</v>
      </c>
      <c r="B99" s="20" t="s">
        <v>320</v>
      </c>
      <c r="C99" s="87">
        <v>126.43</v>
      </c>
      <c r="D99" s="88">
        <v>0.2</v>
      </c>
      <c r="E99" s="87">
        <f t="shared" si="1"/>
        <v>101.144</v>
      </c>
      <c r="F99" s="20" t="s">
        <v>131</v>
      </c>
      <c r="G99" s="20" t="s">
        <v>132</v>
      </c>
    </row>
    <row r="100" ht="19.5" customHeight="1">
      <c r="A100" s="85" t="s">
        <v>321</v>
      </c>
      <c r="B100" s="20" t="s">
        <v>322</v>
      </c>
      <c r="C100" s="87">
        <v>189.65</v>
      </c>
      <c r="D100" s="88">
        <v>0.2</v>
      </c>
      <c r="E100" s="87">
        <f t="shared" si="1"/>
        <v>151.72</v>
      </c>
      <c r="F100" s="20" t="s">
        <v>131</v>
      </c>
      <c r="G100" s="20" t="s">
        <v>132</v>
      </c>
    </row>
    <row r="101" ht="19.5" customHeight="1">
      <c r="A101" s="85" t="s">
        <v>323</v>
      </c>
      <c r="B101" s="20" t="s">
        <v>324</v>
      </c>
      <c r="C101" s="87">
        <v>57.95</v>
      </c>
      <c r="D101" s="88">
        <v>0.2</v>
      </c>
      <c r="E101" s="87">
        <f t="shared" si="1"/>
        <v>46.36</v>
      </c>
      <c r="F101" s="20" t="s">
        <v>131</v>
      </c>
      <c r="G101" s="20" t="s">
        <v>132</v>
      </c>
    </row>
    <row r="102" ht="19.5" customHeight="1">
      <c r="A102" s="85" t="s">
        <v>325</v>
      </c>
      <c r="B102" s="20" t="s">
        <v>326</v>
      </c>
      <c r="C102" s="87">
        <v>86.92</v>
      </c>
      <c r="D102" s="88">
        <v>0.2</v>
      </c>
      <c r="E102" s="87">
        <f t="shared" si="1"/>
        <v>69.536</v>
      </c>
      <c r="F102" s="20" t="s">
        <v>131</v>
      </c>
      <c r="G102" s="20" t="s">
        <v>132</v>
      </c>
    </row>
    <row r="103" ht="19.5" customHeight="1">
      <c r="A103" s="85" t="s">
        <v>327</v>
      </c>
      <c r="B103" s="20" t="s">
        <v>328</v>
      </c>
      <c r="C103" s="87">
        <v>115.9</v>
      </c>
      <c r="D103" s="88">
        <v>0.2</v>
      </c>
      <c r="E103" s="87">
        <f t="shared" si="1"/>
        <v>92.72</v>
      </c>
      <c r="F103" s="20" t="s">
        <v>131</v>
      </c>
      <c r="G103" s="20" t="s">
        <v>132</v>
      </c>
    </row>
    <row r="104" ht="19.5" customHeight="1">
      <c r="A104" s="85" t="s">
        <v>329</v>
      </c>
      <c r="B104" s="20" t="s">
        <v>330</v>
      </c>
      <c r="C104" s="87">
        <v>173.84</v>
      </c>
      <c r="D104" s="88">
        <v>0.2</v>
      </c>
      <c r="E104" s="87">
        <f t="shared" si="1"/>
        <v>139.072</v>
      </c>
      <c r="F104" s="20" t="s">
        <v>131</v>
      </c>
      <c r="G104" s="20" t="s">
        <v>132</v>
      </c>
    </row>
    <row r="105" ht="19.5" customHeight="1">
      <c r="A105" s="85" t="s">
        <v>331</v>
      </c>
      <c r="B105" s="20" t="s">
        <v>332</v>
      </c>
      <c r="C105" s="87">
        <v>60.58</v>
      </c>
      <c r="D105" s="88">
        <v>0.2</v>
      </c>
      <c r="E105" s="87">
        <f t="shared" si="1"/>
        <v>48.464</v>
      </c>
      <c r="F105" s="20" t="s">
        <v>131</v>
      </c>
      <c r="G105" s="20" t="s">
        <v>132</v>
      </c>
    </row>
    <row r="106" ht="19.5" customHeight="1">
      <c r="A106" s="85" t="s">
        <v>333</v>
      </c>
      <c r="B106" s="20" t="s">
        <v>334</v>
      </c>
      <c r="C106" s="87">
        <v>90.87</v>
      </c>
      <c r="D106" s="88">
        <v>0.2</v>
      </c>
      <c r="E106" s="87">
        <f t="shared" si="1"/>
        <v>72.696</v>
      </c>
      <c r="F106" s="20" t="s">
        <v>131</v>
      </c>
      <c r="G106" s="20" t="s">
        <v>132</v>
      </c>
    </row>
    <row r="107" ht="19.5" customHeight="1">
      <c r="A107" s="85" t="s">
        <v>335</v>
      </c>
      <c r="B107" s="20" t="s">
        <v>336</v>
      </c>
      <c r="C107" s="87">
        <v>121.16</v>
      </c>
      <c r="D107" s="88">
        <v>0.2</v>
      </c>
      <c r="E107" s="87">
        <f t="shared" si="1"/>
        <v>96.928</v>
      </c>
      <c r="F107" s="20" t="s">
        <v>131</v>
      </c>
      <c r="G107" s="20" t="s">
        <v>132</v>
      </c>
    </row>
    <row r="108" ht="19.5" customHeight="1">
      <c r="A108" s="85" t="s">
        <v>337</v>
      </c>
      <c r="B108" s="20" t="s">
        <v>338</v>
      </c>
      <c r="C108" s="87">
        <v>181.75</v>
      </c>
      <c r="D108" s="88">
        <v>0.2</v>
      </c>
      <c r="E108" s="87">
        <f t="shared" si="1"/>
        <v>145.4</v>
      </c>
      <c r="F108" s="20" t="s">
        <v>131</v>
      </c>
      <c r="G108" s="20" t="s">
        <v>132</v>
      </c>
    </row>
    <row r="109" ht="19.5" customHeight="1">
      <c r="A109" s="85" t="s">
        <v>339</v>
      </c>
      <c r="B109" s="20" t="s">
        <v>340</v>
      </c>
      <c r="C109" s="87">
        <v>45.15</v>
      </c>
      <c r="D109" s="88">
        <v>0.2</v>
      </c>
      <c r="E109" s="87">
        <f t="shared" si="1"/>
        <v>36.12</v>
      </c>
      <c r="F109" s="20" t="s">
        <v>131</v>
      </c>
      <c r="G109" s="20" t="s">
        <v>132</v>
      </c>
    </row>
    <row r="110" ht="19.5" customHeight="1">
      <c r="A110" s="85" t="s">
        <v>341</v>
      </c>
      <c r="B110" s="20" t="s">
        <v>342</v>
      </c>
      <c r="C110" s="87">
        <v>67.74</v>
      </c>
      <c r="D110" s="88">
        <v>0.2</v>
      </c>
      <c r="E110" s="87">
        <f t="shared" si="1"/>
        <v>54.192</v>
      </c>
      <c r="F110" s="20" t="s">
        <v>131</v>
      </c>
      <c r="G110" s="20" t="s">
        <v>132</v>
      </c>
    </row>
    <row r="111" ht="19.5" customHeight="1">
      <c r="A111" s="85" t="s">
        <v>343</v>
      </c>
      <c r="B111" s="20" t="s">
        <v>344</v>
      </c>
      <c r="C111" s="87">
        <v>90.31</v>
      </c>
      <c r="D111" s="88">
        <v>0.2</v>
      </c>
      <c r="E111" s="87">
        <f t="shared" si="1"/>
        <v>72.248</v>
      </c>
      <c r="F111" s="20" t="s">
        <v>131</v>
      </c>
      <c r="G111" s="20" t="s">
        <v>132</v>
      </c>
    </row>
    <row r="112" ht="19.5" customHeight="1">
      <c r="A112" s="85" t="s">
        <v>345</v>
      </c>
      <c r="B112" s="20" t="s">
        <v>346</v>
      </c>
      <c r="C112" s="87">
        <v>135.47</v>
      </c>
      <c r="D112" s="88">
        <v>0.2</v>
      </c>
      <c r="E112" s="87">
        <f t="shared" si="1"/>
        <v>108.376</v>
      </c>
      <c r="F112" s="20" t="s">
        <v>131</v>
      </c>
      <c r="G112" s="20" t="s">
        <v>132</v>
      </c>
    </row>
    <row r="113" ht="19.5" customHeight="1">
      <c r="A113" s="85" t="s">
        <v>347</v>
      </c>
      <c r="B113" s="20" t="s">
        <v>348</v>
      </c>
      <c r="C113" s="87">
        <v>52.68</v>
      </c>
      <c r="D113" s="88">
        <v>0.2</v>
      </c>
      <c r="E113" s="87">
        <f t="shared" si="1"/>
        <v>42.144</v>
      </c>
      <c r="F113" s="20" t="s">
        <v>131</v>
      </c>
      <c r="G113" s="20" t="s">
        <v>132</v>
      </c>
    </row>
    <row r="114" ht="19.5" customHeight="1">
      <c r="A114" s="85" t="s">
        <v>349</v>
      </c>
      <c r="B114" s="20" t="s">
        <v>350</v>
      </c>
      <c r="C114" s="87">
        <v>79.02</v>
      </c>
      <c r="D114" s="88">
        <v>0.2</v>
      </c>
      <c r="E114" s="87">
        <f t="shared" si="1"/>
        <v>63.216</v>
      </c>
      <c r="F114" s="20" t="s">
        <v>131</v>
      </c>
      <c r="G114" s="20" t="s">
        <v>132</v>
      </c>
    </row>
    <row r="115" ht="19.5" customHeight="1">
      <c r="A115" s="85" t="s">
        <v>351</v>
      </c>
      <c r="B115" s="20" t="s">
        <v>352</v>
      </c>
      <c r="C115" s="87">
        <v>105.36</v>
      </c>
      <c r="D115" s="88">
        <v>0.2</v>
      </c>
      <c r="E115" s="87">
        <f t="shared" si="1"/>
        <v>84.288</v>
      </c>
      <c r="F115" s="20" t="s">
        <v>131</v>
      </c>
      <c r="G115" s="20" t="s">
        <v>132</v>
      </c>
    </row>
    <row r="116" ht="19.5" customHeight="1">
      <c r="A116" s="85" t="s">
        <v>353</v>
      </c>
      <c r="B116" s="20" t="s">
        <v>354</v>
      </c>
      <c r="C116" s="87">
        <v>158.04</v>
      </c>
      <c r="D116" s="88">
        <v>0.2</v>
      </c>
      <c r="E116" s="87">
        <f t="shared" si="1"/>
        <v>126.432</v>
      </c>
      <c r="F116" s="20" t="s">
        <v>131</v>
      </c>
      <c r="G116" s="20" t="s">
        <v>132</v>
      </c>
    </row>
    <row r="117" ht="19.5" customHeight="1">
      <c r="A117" s="85" t="s">
        <v>355</v>
      </c>
      <c r="B117" s="20" t="s">
        <v>356</v>
      </c>
      <c r="C117" s="87">
        <v>52.68</v>
      </c>
      <c r="D117" s="88">
        <v>0.2</v>
      </c>
      <c r="E117" s="87">
        <f t="shared" si="1"/>
        <v>42.144</v>
      </c>
      <c r="F117" s="20" t="s">
        <v>131</v>
      </c>
      <c r="G117" s="20" t="s">
        <v>132</v>
      </c>
    </row>
    <row r="118" ht="19.5" customHeight="1">
      <c r="A118" s="85" t="s">
        <v>357</v>
      </c>
      <c r="B118" s="20" t="s">
        <v>358</v>
      </c>
      <c r="C118" s="87">
        <v>79.02</v>
      </c>
      <c r="D118" s="88">
        <v>0.2</v>
      </c>
      <c r="E118" s="87">
        <f t="shared" si="1"/>
        <v>63.216</v>
      </c>
      <c r="F118" s="20" t="s">
        <v>131</v>
      </c>
      <c r="G118" s="20" t="s">
        <v>132</v>
      </c>
    </row>
    <row r="119" ht="19.5" customHeight="1">
      <c r="A119" s="85" t="s">
        <v>359</v>
      </c>
      <c r="B119" s="20" t="s">
        <v>360</v>
      </c>
      <c r="C119" s="87">
        <v>105.36</v>
      </c>
      <c r="D119" s="88">
        <v>0.2</v>
      </c>
      <c r="E119" s="87">
        <f t="shared" si="1"/>
        <v>84.288</v>
      </c>
      <c r="F119" s="20" t="s">
        <v>131</v>
      </c>
      <c r="G119" s="20" t="s">
        <v>132</v>
      </c>
    </row>
    <row r="120" ht="19.5" customHeight="1">
      <c r="A120" s="85" t="s">
        <v>361</v>
      </c>
      <c r="B120" s="20" t="s">
        <v>362</v>
      </c>
      <c r="C120" s="87">
        <v>158.04</v>
      </c>
      <c r="D120" s="88">
        <v>0.2</v>
      </c>
      <c r="E120" s="87">
        <f t="shared" si="1"/>
        <v>126.432</v>
      </c>
      <c r="F120" s="20" t="s">
        <v>131</v>
      </c>
      <c r="G120" s="20" t="s">
        <v>132</v>
      </c>
    </row>
    <row r="121" ht="19.5" customHeight="1">
      <c r="A121" s="85" t="s">
        <v>363</v>
      </c>
      <c r="B121" s="20" t="s">
        <v>364</v>
      </c>
      <c r="C121" s="87">
        <v>52.68</v>
      </c>
      <c r="D121" s="88">
        <v>0.2</v>
      </c>
      <c r="E121" s="87">
        <f t="shared" si="1"/>
        <v>42.144</v>
      </c>
      <c r="F121" s="20" t="s">
        <v>131</v>
      </c>
      <c r="G121" s="20" t="s">
        <v>132</v>
      </c>
    </row>
    <row r="122" ht="19.5" customHeight="1">
      <c r="A122" s="85" t="s">
        <v>15</v>
      </c>
      <c r="B122" s="20" t="s">
        <v>365</v>
      </c>
      <c r="C122" s="87">
        <v>79.02</v>
      </c>
      <c r="D122" s="88">
        <v>0.2</v>
      </c>
      <c r="E122" s="87">
        <f t="shared" si="1"/>
        <v>63.216</v>
      </c>
      <c r="F122" s="20" t="s">
        <v>131</v>
      </c>
      <c r="G122" s="20" t="s">
        <v>132</v>
      </c>
    </row>
    <row r="123" ht="19.5" customHeight="1">
      <c r="A123" s="85" t="s">
        <v>366</v>
      </c>
      <c r="B123" s="20" t="s">
        <v>367</v>
      </c>
      <c r="C123" s="87">
        <v>105.36</v>
      </c>
      <c r="D123" s="88">
        <v>0.2</v>
      </c>
      <c r="E123" s="87">
        <f t="shared" si="1"/>
        <v>84.288</v>
      </c>
      <c r="F123" s="20" t="s">
        <v>131</v>
      </c>
      <c r="G123" s="20" t="s">
        <v>132</v>
      </c>
    </row>
    <row r="124" ht="19.5" customHeight="1">
      <c r="A124" s="85" t="s">
        <v>368</v>
      </c>
      <c r="B124" s="20" t="s">
        <v>369</v>
      </c>
      <c r="C124" s="87">
        <v>158.04</v>
      </c>
      <c r="D124" s="88">
        <v>0.2</v>
      </c>
      <c r="E124" s="87">
        <f t="shared" si="1"/>
        <v>126.432</v>
      </c>
      <c r="F124" s="20" t="s">
        <v>131</v>
      </c>
      <c r="G124" s="20" t="s">
        <v>132</v>
      </c>
    </row>
    <row r="125" ht="19.5" customHeight="1">
      <c r="A125" s="85" t="s">
        <v>370</v>
      </c>
      <c r="B125" s="20" t="s">
        <v>371</v>
      </c>
      <c r="C125" s="87">
        <v>105.36</v>
      </c>
      <c r="D125" s="88">
        <v>0.2</v>
      </c>
      <c r="E125" s="87">
        <f t="shared" si="1"/>
        <v>84.288</v>
      </c>
      <c r="F125" s="20" t="s">
        <v>131</v>
      </c>
      <c r="G125" s="20" t="s">
        <v>132</v>
      </c>
    </row>
    <row r="126" ht="19.5" customHeight="1">
      <c r="A126" s="85" t="s">
        <v>372</v>
      </c>
      <c r="B126" s="20" t="s">
        <v>373</v>
      </c>
      <c r="C126" s="87">
        <v>158.04</v>
      </c>
      <c r="D126" s="88">
        <v>0.2</v>
      </c>
      <c r="E126" s="87">
        <f t="shared" si="1"/>
        <v>126.432</v>
      </c>
      <c r="F126" s="20" t="s">
        <v>131</v>
      </c>
      <c r="G126" s="20" t="s">
        <v>132</v>
      </c>
    </row>
    <row r="127" ht="19.5" customHeight="1">
      <c r="A127" s="85" t="s">
        <v>374</v>
      </c>
      <c r="B127" s="20" t="s">
        <v>375</v>
      </c>
      <c r="C127" s="87">
        <v>74.51</v>
      </c>
      <c r="D127" s="88">
        <v>0.2</v>
      </c>
      <c r="E127" s="87">
        <f t="shared" si="1"/>
        <v>59.608</v>
      </c>
      <c r="F127" s="20" t="s">
        <v>131</v>
      </c>
      <c r="G127" s="20" t="s">
        <v>132</v>
      </c>
    </row>
    <row r="128" ht="19.5" customHeight="1">
      <c r="A128" s="85" t="s">
        <v>376</v>
      </c>
      <c r="B128" s="20" t="s">
        <v>377</v>
      </c>
      <c r="C128" s="87">
        <v>111.77</v>
      </c>
      <c r="D128" s="88">
        <v>0.2</v>
      </c>
      <c r="E128" s="87">
        <f t="shared" si="1"/>
        <v>89.416</v>
      </c>
      <c r="F128" s="20" t="s">
        <v>131</v>
      </c>
      <c r="G128" s="20" t="s">
        <v>132</v>
      </c>
    </row>
    <row r="129" ht="19.5" customHeight="1">
      <c r="A129" s="85" t="s">
        <v>378</v>
      </c>
      <c r="B129" s="20" t="s">
        <v>379</v>
      </c>
      <c r="C129" s="87">
        <v>149.02</v>
      </c>
      <c r="D129" s="88">
        <v>0.2</v>
      </c>
      <c r="E129" s="87">
        <f t="shared" si="1"/>
        <v>119.216</v>
      </c>
      <c r="F129" s="20" t="s">
        <v>131</v>
      </c>
      <c r="G129" s="20" t="s">
        <v>132</v>
      </c>
    </row>
    <row r="130" ht="19.5" customHeight="1">
      <c r="A130" s="85" t="s">
        <v>380</v>
      </c>
      <c r="B130" s="20" t="s">
        <v>381</v>
      </c>
      <c r="C130" s="87">
        <v>223.54</v>
      </c>
      <c r="D130" s="88">
        <v>0.2</v>
      </c>
      <c r="E130" s="87">
        <f t="shared" si="1"/>
        <v>178.832</v>
      </c>
      <c r="F130" s="20" t="s">
        <v>131</v>
      </c>
      <c r="G130" s="20" t="s">
        <v>132</v>
      </c>
    </row>
    <row r="131" ht="19.5" customHeight="1">
      <c r="A131" s="85" t="s">
        <v>382</v>
      </c>
      <c r="B131" s="20" t="s">
        <v>383</v>
      </c>
      <c r="C131" s="87">
        <v>232.48</v>
      </c>
      <c r="D131" s="88">
        <v>0.2</v>
      </c>
      <c r="E131" s="87">
        <f t="shared" si="1"/>
        <v>185.984</v>
      </c>
      <c r="F131" s="20" t="s">
        <v>131</v>
      </c>
      <c r="G131" s="20" t="s">
        <v>132</v>
      </c>
    </row>
    <row r="132" ht="19.5" customHeight="1">
      <c r="A132" s="85" t="s">
        <v>384</v>
      </c>
      <c r="B132" s="20" t="s">
        <v>385</v>
      </c>
      <c r="C132" s="87">
        <v>239.19</v>
      </c>
      <c r="D132" s="88">
        <v>0.2</v>
      </c>
      <c r="E132" s="87">
        <f t="shared" si="1"/>
        <v>191.352</v>
      </c>
      <c r="F132" s="20" t="s">
        <v>131</v>
      </c>
      <c r="G132" s="20" t="s">
        <v>132</v>
      </c>
    </row>
    <row r="133" ht="19.5" customHeight="1">
      <c r="A133" s="85" t="s">
        <v>386</v>
      </c>
      <c r="B133" s="20" t="s">
        <v>387</v>
      </c>
      <c r="C133" s="87">
        <v>268.25</v>
      </c>
      <c r="D133" s="88">
        <v>0.2</v>
      </c>
      <c r="E133" s="87">
        <f t="shared" si="1"/>
        <v>214.6</v>
      </c>
      <c r="F133" s="20" t="s">
        <v>131</v>
      </c>
      <c r="G133" s="20" t="s">
        <v>132</v>
      </c>
    </row>
    <row r="134" ht="19.5" customHeight="1">
      <c r="A134" s="85" t="s">
        <v>388</v>
      </c>
      <c r="B134" s="20" t="s">
        <v>389</v>
      </c>
      <c r="C134" s="87">
        <v>245.89</v>
      </c>
      <c r="D134" s="88">
        <v>0.2</v>
      </c>
      <c r="E134" s="87">
        <f t="shared" si="1"/>
        <v>196.712</v>
      </c>
      <c r="F134" s="20" t="s">
        <v>131</v>
      </c>
      <c r="G134" s="20" t="s">
        <v>132</v>
      </c>
    </row>
    <row r="135" ht="19.5" customHeight="1">
      <c r="A135" s="85" t="s">
        <v>390</v>
      </c>
      <c r="B135" s="20" t="s">
        <v>391</v>
      </c>
      <c r="C135" s="87">
        <v>257.07</v>
      </c>
      <c r="D135" s="88">
        <v>0.2</v>
      </c>
      <c r="E135" s="87">
        <f t="shared" si="1"/>
        <v>205.656</v>
      </c>
      <c r="F135" s="20" t="s">
        <v>131</v>
      </c>
      <c r="G135" s="20" t="s">
        <v>132</v>
      </c>
    </row>
    <row r="136" ht="19.5" customHeight="1">
      <c r="A136" s="85" t="s">
        <v>392</v>
      </c>
      <c r="B136" s="20" t="s">
        <v>393</v>
      </c>
      <c r="C136" s="87">
        <v>63.86</v>
      </c>
      <c r="D136" s="88">
        <v>0.2</v>
      </c>
      <c r="E136" s="87">
        <f t="shared" si="1"/>
        <v>51.088</v>
      </c>
      <c r="F136" s="20" t="s">
        <v>131</v>
      </c>
      <c r="G136" s="20" t="s">
        <v>132</v>
      </c>
    </row>
    <row r="137" ht="19.5" customHeight="1">
      <c r="A137" s="85" t="s">
        <v>394</v>
      </c>
      <c r="B137" s="20" t="s">
        <v>395</v>
      </c>
      <c r="C137" s="87">
        <v>95.8</v>
      </c>
      <c r="D137" s="88">
        <v>0.2</v>
      </c>
      <c r="E137" s="87">
        <f t="shared" si="1"/>
        <v>76.64</v>
      </c>
      <c r="F137" s="20" t="s">
        <v>131</v>
      </c>
      <c r="G137" s="20" t="s">
        <v>132</v>
      </c>
    </row>
    <row r="138" ht="19.5" customHeight="1">
      <c r="A138" s="85" t="s">
        <v>396</v>
      </c>
      <c r="B138" s="20" t="s">
        <v>397</v>
      </c>
      <c r="C138" s="87">
        <v>127.73</v>
      </c>
      <c r="D138" s="88">
        <v>0.2</v>
      </c>
      <c r="E138" s="87">
        <f t="shared" si="1"/>
        <v>102.184</v>
      </c>
      <c r="F138" s="20" t="s">
        <v>131</v>
      </c>
      <c r="G138" s="20" t="s">
        <v>132</v>
      </c>
    </row>
    <row r="139" ht="19.5" customHeight="1">
      <c r="A139" s="85" t="s">
        <v>398</v>
      </c>
      <c r="B139" s="20" t="s">
        <v>399</v>
      </c>
      <c r="C139" s="87">
        <v>191.59</v>
      </c>
      <c r="D139" s="88">
        <v>0.2</v>
      </c>
      <c r="E139" s="87">
        <f t="shared" si="1"/>
        <v>153.272</v>
      </c>
      <c r="F139" s="20" t="s">
        <v>131</v>
      </c>
      <c r="G139" s="20" t="s">
        <v>132</v>
      </c>
    </row>
    <row r="140" ht="19.5" customHeight="1">
      <c r="A140" s="85" t="s">
        <v>400</v>
      </c>
      <c r="B140" s="20" t="s">
        <v>401</v>
      </c>
      <c r="C140" s="87">
        <v>74.51</v>
      </c>
      <c r="D140" s="88">
        <v>0.2</v>
      </c>
      <c r="E140" s="87">
        <f t="shared" si="1"/>
        <v>59.608</v>
      </c>
      <c r="F140" s="20" t="s">
        <v>131</v>
      </c>
      <c r="G140" s="20" t="s">
        <v>132</v>
      </c>
    </row>
    <row r="141" ht="19.5" customHeight="1">
      <c r="A141" s="85" t="s">
        <v>402</v>
      </c>
      <c r="B141" s="20" t="s">
        <v>403</v>
      </c>
      <c r="C141" s="87">
        <v>111.77</v>
      </c>
      <c r="D141" s="88">
        <v>0.2</v>
      </c>
      <c r="E141" s="87">
        <f t="shared" si="1"/>
        <v>89.416</v>
      </c>
      <c r="F141" s="20" t="s">
        <v>131</v>
      </c>
      <c r="G141" s="20" t="s">
        <v>132</v>
      </c>
    </row>
    <row r="142" ht="19.5" customHeight="1">
      <c r="A142" s="85" t="s">
        <v>404</v>
      </c>
      <c r="B142" s="20" t="s">
        <v>405</v>
      </c>
      <c r="C142" s="87">
        <v>149.02</v>
      </c>
      <c r="D142" s="88">
        <v>0.2</v>
      </c>
      <c r="E142" s="87">
        <f t="shared" si="1"/>
        <v>119.216</v>
      </c>
      <c r="F142" s="20" t="s">
        <v>131</v>
      </c>
      <c r="G142" s="20" t="s">
        <v>132</v>
      </c>
    </row>
    <row r="143" ht="19.5" customHeight="1">
      <c r="A143" s="85" t="s">
        <v>406</v>
      </c>
      <c r="B143" s="20" t="s">
        <v>407</v>
      </c>
      <c r="C143" s="87">
        <v>223.54</v>
      </c>
      <c r="D143" s="88">
        <v>0.2</v>
      </c>
      <c r="E143" s="87">
        <f t="shared" si="1"/>
        <v>178.832</v>
      </c>
      <c r="F143" s="20" t="s">
        <v>131</v>
      </c>
      <c r="G143" s="20" t="s">
        <v>132</v>
      </c>
    </row>
    <row r="144" ht="19.5" customHeight="1">
      <c r="A144" s="85" t="s">
        <v>408</v>
      </c>
      <c r="B144" s="20" t="s">
        <v>409</v>
      </c>
      <c r="C144" s="87">
        <v>74.51</v>
      </c>
      <c r="D144" s="88">
        <v>0.2</v>
      </c>
      <c r="E144" s="87">
        <f t="shared" si="1"/>
        <v>59.608</v>
      </c>
      <c r="F144" s="20" t="s">
        <v>131</v>
      </c>
      <c r="G144" s="20" t="s">
        <v>132</v>
      </c>
    </row>
    <row r="145" ht="19.5" customHeight="1">
      <c r="A145" s="85" t="s">
        <v>410</v>
      </c>
      <c r="B145" s="20" t="s">
        <v>411</v>
      </c>
      <c r="C145" s="87">
        <v>111.77</v>
      </c>
      <c r="D145" s="88">
        <v>0.2</v>
      </c>
      <c r="E145" s="87">
        <f t="shared" si="1"/>
        <v>89.416</v>
      </c>
      <c r="F145" s="20" t="s">
        <v>131</v>
      </c>
      <c r="G145" s="20" t="s">
        <v>132</v>
      </c>
    </row>
    <row r="146" ht="19.5" customHeight="1">
      <c r="A146" s="85" t="s">
        <v>412</v>
      </c>
      <c r="B146" s="20" t="s">
        <v>413</v>
      </c>
      <c r="C146" s="87">
        <v>149.02</v>
      </c>
      <c r="D146" s="88">
        <v>0.2</v>
      </c>
      <c r="E146" s="87">
        <f t="shared" si="1"/>
        <v>119.216</v>
      </c>
      <c r="F146" s="20" t="s">
        <v>131</v>
      </c>
      <c r="G146" s="20" t="s">
        <v>132</v>
      </c>
    </row>
    <row r="147" ht="19.5" customHeight="1">
      <c r="A147" s="85" t="s">
        <v>414</v>
      </c>
      <c r="B147" s="20" t="s">
        <v>415</v>
      </c>
      <c r="C147" s="87">
        <v>223.54</v>
      </c>
      <c r="D147" s="88">
        <v>0.2</v>
      </c>
      <c r="E147" s="87">
        <f t="shared" si="1"/>
        <v>178.832</v>
      </c>
      <c r="F147" s="20" t="s">
        <v>131</v>
      </c>
      <c r="G147" s="20" t="s">
        <v>132</v>
      </c>
    </row>
    <row r="148" ht="19.5" customHeight="1">
      <c r="A148" s="85" t="s">
        <v>416</v>
      </c>
      <c r="B148" s="20" t="s">
        <v>417</v>
      </c>
      <c r="C148" s="87">
        <v>74.51</v>
      </c>
      <c r="D148" s="88">
        <v>0.2</v>
      </c>
      <c r="E148" s="87">
        <f t="shared" si="1"/>
        <v>59.608</v>
      </c>
      <c r="F148" s="20" t="s">
        <v>131</v>
      </c>
      <c r="G148" s="20" t="s">
        <v>132</v>
      </c>
    </row>
    <row r="149" ht="19.5" customHeight="1">
      <c r="A149" s="85" t="s">
        <v>418</v>
      </c>
      <c r="B149" s="20" t="s">
        <v>419</v>
      </c>
      <c r="C149" s="87">
        <v>111.77</v>
      </c>
      <c r="D149" s="88">
        <v>0.2</v>
      </c>
      <c r="E149" s="87">
        <f t="shared" si="1"/>
        <v>89.416</v>
      </c>
      <c r="F149" s="20" t="s">
        <v>131</v>
      </c>
      <c r="G149" s="20" t="s">
        <v>132</v>
      </c>
    </row>
    <row r="150" ht="19.5" customHeight="1">
      <c r="A150" s="85" t="s">
        <v>420</v>
      </c>
      <c r="B150" s="20" t="s">
        <v>421</v>
      </c>
      <c r="C150" s="87">
        <v>149.02</v>
      </c>
      <c r="D150" s="88">
        <v>0.2</v>
      </c>
      <c r="E150" s="87">
        <f t="shared" si="1"/>
        <v>119.216</v>
      </c>
      <c r="F150" s="20" t="s">
        <v>131</v>
      </c>
      <c r="G150" s="20" t="s">
        <v>132</v>
      </c>
    </row>
    <row r="151" ht="19.5" customHeight="1">
      <c r="A151" s="85" t="s">
        <v>422</v>
      </c>
      <c r="B151" s="20" t="s">
        <v>423</v>
      </c>
      <c r="C151" s="87">
        <v>223.54</v>
      </c>
      <c r="D151" s="88">
        <v>0.2</v>
      </c>
      <c r="E151" s="87">
        <f t="shared" si="1"/>
        <v>178.832</v>
      </c>
      <c r="F151" s="20" t="s">
        <v>131</v>
      </c>
      <c r="G151" s="20" t="s">
        <v>132</v>
      </c>
    </row>
    <row r="152" ht="19.5" customHeight="1">
      <c r="A152" s="85" t="s">
        <v>424</v>
      </c>
      <c r="B152" s="20" t="s">
        <v>425</v>
      </c>
      <c r="C152" s="87">
        <v>74.51</v>
      </c>
      <c r="D152" s="88">
        <v>0.2</v>
      </c>
      <c r="E152" s="87">
        <f t="shared" si="1"/>
        <v>59.608</v>
      </c>
      <c r="F152" s="20" t="s">
        <v>131</v>
      </c>
      <c r="G152" s="20" t="s">
        <v>132</v>
      </c>
    </row>
    <row r="153" ht="19.5" customHeight="1">
      <c r="A153" s="85" t="s">
        <v>426</v>
      </c>
      <c r="B153" s="20" t="s">
        <v>427</v>
      </c>
      <c r="C153" s="87">
        <v>111.77</v>
      </c>
      <c r="D153" s="88">
        <v>0.2</v>
      </c>
      <c r="E153" s="87">
        <f t="shared" si="1"/>
        <v>89.416</v>
      </c>
      <c r="F153" s="20" t="s">
        <v>131</v>
      </c>
      <c r="G153" s="20" t="s">
        <v>132</v>
      </c>
    </row>
    <row r="154" ht="19.5" customHeight="1">
      <c r="A154" s="85" t="s">
        <v>428</v>
      </c>
      <c r="B154" s="20" t="s">
        <v>429</v>
      </c>
      <c r="C154" s="87">
        <v>86.17</v>
      </c>
      <c r="D154" s="88">
        <v>0.2</v>
      </c>
      <c r="E154" s="87">
        <f t="shared" si="1"/>
        <v>68.936</v>
      </c>
      <c r="F154" s="20" t="s">
        <v>131</v>
      </c>
      <c r="G154" s="20" t="s">
        <v>132</v>
      </c>
    </row>
    <row r="155" ht="19.5" customHeight="1">
      <c r="A155" s="85" t="s">
        <v>430</v>
      </c>
      <c r="B155" s="20" t="s">
        <v>431</v>
      </c>
      <c r="C155" s="87">
        <v>129.25</v>
      </c>
      <c r="D155" s="88">
        <v>0.2</v>
      </c>
      <c r="E155" s="87">
        <f t="shared" si="1"/>
        <v>103.4</v>
      </c>
      <c r="F155" s="20" t="s">
        <v>131</v>
      </c>
      <c r="G155" s="20" t="s">
        <v>132</v>
      </c>
    </row>
    <row r="156" ht="19.5" customHeight="1">
      <c r="A156" s="85" t="s">
        <v>432</v>
      </c>
      <c r="B156" s="20" t="s">
        <v>433</v>
      </c>
      <c r="C156" s="87">
        <v>172.33</v>
      </c>
      <c r="D156" s="88">
        <v>0.2</v>
      </c>
      <c r="E156" s="87">
        <f t="shared" si="1"/>
        <v>137.864</v>
      </c>
      <c r="F156" s="20" t="s">
        <v>131</v>
      </c>
      <c r="G156" s="20" t="s">
        <v>132</v>
      </c>
    </row>
    <row r="157" ht="19.5" customHeight="1">
      <c r="A157" s="85" t="s">
        <v>434</v>
      </c>
      <c r="B157" s="20" t="s">
        <v>435</v>
      </c>
      <c r="C157" s="87">
        <v>258.5</v>
      </c>
      <c r="D157" s="88">
        <v>0.2</v>
      </c>
      <c r="E157" s="87">
        <f t="shared" si="1"/>
        <v>206.8</v>
      </c>
      <c r="F157" s="20" t="s">
        <v>131</v>
      </c>
      <c r="G157" s="20" t="s">
        <v>132</v>
      </c>
    </row>
    <row r="158" ht="19.5" customHeight="1">
      <c r="A158" s="85" t="s">
        <v>436</v>
      </c>
      <c r="B158" s="20" t="s">
        <v>437</v>
      </c>
      <c r="C158" s="87">
        <v>268.84</v>
      </c>
      <c r="D158" s="88">
        <v>0.2</v>
      </c>
      <c r="E158" s="87">
        <f t="shared" si="1"/>
        <v>215.072</v>
      </c>
      <c r="F158" s="20" t="s">
        <v>131</v>
      </c>
      <c r="G158" s="20" t="s">
        <v>132</v>
      </c>
    </row>
    <row r="159" ht="19.5" customHeight="1">
      <c r="A159" s="85" t="s">
        <v>438</v>
      </c>
      <c r="B159" s="20" t="s">
        <v>439</v>
      </c>
      <c r="C159" s="87">
        <v>276.6</v>
      </c>
      <c r="D159" s="88">
        <v>0.2</v>
      </c>
      <c r="E159" s="87">
        <f t="shared" si="1"/>
        <v>221.28</v>
      </c>
      <c r="F159" s="20" t="s">
        <v>131</v>
      </c>
      <c r="G159" s="20" t="s">
        <v>132</v>
      </c>
    </row>
    <row r="160" ht="19.5" customHeight="1">
      <c r="A160" s="85" t="s">
        <v>440</v>
      </c>
      <c r="B160" s="20" t="s">
        <v>441</v>
      </c>
      <c r="C160" s="87">
        <v>310.2</v>
      </c>
      <c r="D160" s="88">
        <v>0.2</v>
      </c>
      <c r="E160" s="87">
        <f t="shared" si="1"/>
        <v>248.16</v>
      </c>
      <c r="F160" s="20" t="s">
        <v>131</v>
      </c>
      <c r="G160" s="20" t="s">
        <v>132</v>
      </c>
    </row>
    <row r="161" ht="19.5" customHeight="1">
      <c r="A161" s="85" t="s">
        <v>442</v>
      </c>
      <c r="B161" s="20" t="s">
        <v>443</v>
      </c>
      <c r="C161" s="87">
        <v>0.0</v>
      </c>
      <c r="D161" s="88">
        <v>0.2</v>
      </c>
      <c r="E161" s="87">
        <f t="shared" si="1"/>
        <v>0</v>
      </c>
      <c r="F161" s="20" t="s">
        <v>131</v>
      </c>
      <c r="G161" s="20" t="s">
        <v>132</v>
      </c>
    </row>
    <row r="162" ht="19.5" customHeight="1">
      <c r="A162" s="85" t="s">
        <v>444</v>
      </c>
      <c r="B162" s="20" t="s">
        <v>445</v>
      </c>
      <c r="C162" s="87">
        <v>284.35</v>
      </c>
      <c r="D162" s="88">
        <v>0.2</v>
      </c>
      <c r="E162" s="87">
        <f t="shared" si="1"/>
        <v>227.48</v>
      </c>
      <c r="F162" s="20" t="s">
        <v>131</v>
      </c>
      <c r="G162" s="20" t="s">
        <v>132</v>
      </c>
    </row>
    <row r="163" ht="19.5" customHeight="1">
      <c r="A163" s="85" t="s">
        <v>446</v>
      </c>
      <c r="B163" s="20" t="s">
        <v>447</v>
      </c>
      <c r="C163" s="87">
        <v>297.28</v>
      </c>
      <c r="D163" s="88">
        <v>0.2</v>
      </c>
      <c r="E163" s="87">
        <f t="shared" si="1"/>
        <v>237.824</v>
      </c>
      <c r="F163" s="20" t="s">
        <v>131</v>
      </c>
      <c r="G163" s="20" t="s">
        <v>132</v>
      </c>
    </row>
    <row r="164" ht="19.5" customHeight="1">
      <c r="A164" s="85" t="s">
        <v>448</v>
      </c>
      <c r="B164" s="20" t="s">
        <v>449</v>
      </c>
      <c r="C164" s="87">
        <v>73.96</v>
      </c>
      <c r="D164" s="88">
        <v>0.2</v>
      </c>
      <c r="E164" s="87">
        <f t="shared" si="1"/>
        <v>59.168</v>
      </c>
      <c r="F164" s="20" t="s">
        <v>131</v>
      </c>
      <c r="G164" s="20" t="s">
        <v>132</v>
      </c>
    </row>
    <row r="165" ht="19.5" customHeight="1">
      <c r="A165" s="85" t="s">
        <v>450</v>
      </c>
      <c r="B165" s="20" t="s">
        <v>451</v>
      </c>
      <c r="C165" s="87">
        <v>110.94</v>
      </c>
      <c r="D165" s="88">
        <v>0.2</v>
      </c>
      <c r="E165" s="87">
        <f t="shared" si="1"/>
        <v>88.752</v>
      </c>
      <c r="F165" s="20" t="s">
        <v>131</v>
      </c>
      <c r="G165" s="20" t="s">
        <v>132</v>
      </c>
    </row>
    <row r="166" ht="19.5" customHeight="1">
      <c r="A166" s="85" t="s">
        <v>452</v>
      </c>
      <c r="B166" s="20" t="s">
        <v>453</v>
      </c>
      <c r="C166" s="87">
        <v>147.92</v>
      </c>
      <c r="D166" s="88">
        <v>0.2</v>
      </c>
      <c r="E166" s="87">
        <f t="shared" si="1"/>
        <v>118.336</v>
      </c>
      <c r="F166" s="20" t="s">
        <v>131</v>
      </c>
      <c r="G166" s="20" t="s">
        <v>132</v>
      </c>
    </row>
    <row r="167" ht="19.5" customHeight="1">
      <c r="A167" s="85" t="s">
        <v>454</v>
      </c>
      <c r="B167" s="20" t="s">
        <v>455</v>
      </c>
      <c r="C167" s="87">
        <v>221.89</v>
      </c>
      <c r="D167" s="88">
        <v>0.2</v>
      </c>
      <c r="E167" s="87">
        <f t="shared" si="1"/>
        <v>177.512</v>
      </c>
      <c r="F167" s="20" t="s">
        <v>131</v>
      </c>
      <c r="G167" s="20" t="s">
        <v>132</v>
      </c>
    </row>
    <row r="168" ht="19.5" customHeight="1">
      <c r="A168" s="85" t="s">
        <v>456</v>
      </c>
      <c r="B168" s="20" t="s">
        <v>457</v>
      </c>
      <c r="C168" s="87">
        <v>86.17</v>
      </c>
      <c r="D168" s="88">
        <v>0.2</v>
      </c>
      <c r="E168" s="87">
        <f t="shared" si="1"/>
        <v>68.936</v>
      </c>
      <c r="F168" s="20" t="s">
        <v>131</v>
      </c>
      <c r="G168" s="20" t="s">
        <v>132</v>
      </c>
    </row>
    <row r="169" ht="19.5" customHeight="1">
      <c r="A169" s="85" t="s">
        <v>458</v>
      </c>
      <c r="B169" s="20" t="s">
        <v>459</v>
      </c>
      <c r="C169" s="87">
        <v>129.25</v>
      </c>
      <c r="D169" s="88">
        <v>0.2</v>
      </c>
      <c r="E169" s="87">
        <f t="shared" si="1"/>
        <v>103.4</v>
      </c>
      <c r="F169" s="20" t="s">
        <v>131</v>
      </c>
      <c r="G169" s="20" t="s">
        <v>132</v>
      </c>
    </row>
    <row r="170" ht="19.5" customHeight="1">
      <c r="A170" s="85" t="s">
        <v>460</v>
      </c>
      <c r="B170" s="20" t="s">
        <v>461</v>
      </c>
      <c r="C170" s="87">
        <v>172.33</v>
      </c>
      <c r="D170" s="88">
        <v>0.2</v>
      </c>
      <c r="E170" s="87">
        <f t="shared" si="1"/>
        <v>137.864</v>
      </c>
      <c r="F170" s="20" t="s">
        <v>131</v>
      </c>
      <c r="G170" s="20" t="s">
        <v>132</v>
      </c>
    </row>
    <row r="171" ht="19.5" customHeight="1">
      <c r="A171" s="85" t="s">
        <v>462</v>
      </c>
      <c r="B171" s="20" t="s">
        <v>463</v>
      </c>
      <c r="C171" s="87">
        <v>258.5</v>
      </c>
      <c r="D171" s="88">
        <v>0.2</v>
      </c>
      <c r="E171" s="87">
        <f t="shared" si="1"/>
        <v>206.8</v>
      </c>
      <c r="F171" s="20" t="s">
        <v>131</v>
      </c>
      <c r="G171" s="20" t="s">
        <v>132</v>
      </c>
    </row>
    <row r="172" ht="19.5" customHeight="1">
      <c r="A172" s="85" t="s">
        <v>464</v>
      </c>
      <c r="B172" s="20" t="s">
        <v>465</v>
      </c>
      <c r="C172" s="87">
        <v>86.17</v>
      </c>
      <c r="D172" s="88">
        <v>0.2</v>
      </c>
      <c r="E172" s="87">
        <f t="shared" si="1"/>
        <v>68.936</v>
      </c>
      <c r="F172" s="20" t="s">
        <v>131</v>
      </c>
      <c r="G172" s="20" t="s">
        <v>132</v>
      </c>
    </row>
    <row r="173" ht="19.5" customHeight="1">
      <c r="A173" s="85" t="s">
        <v>466</v>
      </c>
      <c r="B173" s="20" t="s">
        <v>467</v>
      </c>
      <c r="C173" s="87">
        <v>129.25</v>
      </c>
      <c r="D173" s="88">
        <v>0.2</v>
      </c>
      <c r="E173" s="87">
        <f t="shared" si="1"/>
        <v>103.4</v>
      </c>
      <c r="F173" s="20" t="s">
        <v>131</v>
      </c>
      <c r="G173" s="20" t="s">
        <v>132</v>
      </c>
    </row>
    <row r="174" ht="19.5" customHeight="1">
      <c r="A174" s="85" t="s">
        <v>468</v>
      </c>
      <c r="B174" s="20" t="s">
        <v>469</v>
      </c>
      <c r="C174" s="87">
        <v>172.33</v>
      </c>
      <c r="D174" s="88">
        <v>0.2</v>
      </c>
      <c r="E174" s="87">
        <f t="shared" si="1"/>
        <v>137.864</v>
      </c>
      <c r="F174" s="20" t="s">
        <v>131</v>
      </c>
      <c r="G174" s="20" t="s">
        <v>132</v>
      </c>
    </row>
    <row r="175" ht="19.5" customHeight="1">
      <c r="A175" s="85" t="s">
        <v>470</v>
      </c>
      <c r="B175" s="20" t="s">
        <v>471</v>
      </c>
      <c r="C175" s="87">
        <v>258.5</v>
      </c>
      <c r="D175" s="88">
        <v>0.2</v>
      </c>
      <c r="E175" s="87">
        <f t="shared" si="1"/>
        <v>206.8</v>
      </c>
      <c r="F175" s="20" t="s">
        <v>131</v>
      </c>
      <c r="G175" s="20" t="s">
        <v>132</v>
      </c>
    </row>
    <row r="176" ht="19.5" customHeight="1">
      <c r="A176" s="85" t="s">
        <v>472</v>
      </c>
      <c r="B176" s="20" t="s">
        <v>473</v>
      </c>
      <c r="C176" s="87">
        <v>86.17</v>
      </c>
      <c r="D176" s="88">
        <v>0.2</v>
      </c>
      <c r="E176" s="87">
        <f t="shared" si="1"/>
        <v>68.936</v>
      </c>
      <c r="F176" s="20" t="s">
        <v>131</v>
      </c>
      <c r="G176" s="20" t="s">
        <v>132</v>
      </c>
    </row>
    <row r="177" ht="19.5" customHeight="1">
      <c r="A177" s="85" t="s">
        <v>474</v>
      </c>
      <c r="B177" s="20" t="s">
        <v>475</v>
      </c>
      <c r="C177" s="87">
        <v>129.25</v>
      </c>
      <c r="D177" s="88">
        <v>0.2</v>
      </c>
      <c r="E177" s="87">
        <f t="shared" si="1"/>
        <v>103.4</v>
      </c>
      <c r="F177" s="20" t="s">
        <v>131</v>
      </c>
      <c r="G177" s="20" t="s">
        <v>132</v>
      </c>
    </row>
    <row r="178" ht="19.5" customHeight="1">
      <c r="A178" s="85" t="s">
        <v>476</v>
      </c>
      <c r="B178" s="20" t="s">
        <v>477</v>
      </c>
      <c r="C178" s="87">
        <v>172.33</v>
      </c>
      <c r="D178" s="88">
        <v>0.2</v>
      </c>
      <c r="E178" s="87">
        <f t="shared" si="1"/>
        <v>137.864</v>
      </c>
      <c r="F178" s="20" t="s">
        <v>131</v>
      </c>
      <c r="G178" s="20" t="s">
        <v>132</v>
      </c>
    </row>
    <row r="179" ht="19.5" customHeight="1">
      <c r="A179" s="85" t="s">
        <v>478</v>
      </c>
      <c r="B179" s="20" t="s">
        <v>479</v>
      </c>
      <c r="C179" s="87">
        <v>258.5</v>
      </c>
      <c r="D179" s="88">
        <v>0.2</v>
      </c>
      <c r="E179" s="87">
        <f t="shared" si="1"/>
        <v>206.8</v>
      </c>
      <c r="F179" s="20" t="s">
        <v>131</v>
      </c>
      <c r="G179" s="20" t="s">
        <v>132</v>
      </c>
    </row>
    <row r="180" ht="19.5" customHeight="1">
      <c r="A180" s="85" t="s">
        <v>480</v>
      </c>
      <c r="B180" s="20" t="s">
        <v>481</v>
      </c>
      <c r="C180" s="87">
        <v>86.17</v>
      </c>
      <c r="D180" s="88">
        <v>0.2</v>
      </c>
      <c r="E180" s="87">
        <f t="shared" si="1"/>
        <v>68.936</v>
      </c>
      <c r="F180" s="20" t="s">
        <v>131</v>
      </c>
      <c r="G180" s="20" t="s">
        <v>132</v>
      </c>
    </row>
    <row r="181" ht="19.5" customHeight="1">
      <c r="A181" s="85" t="s">
        <v>482</v>
      </c>
      <c r="B181" s="20" t="s">
        <v>483</v>
      </c>
      <c r="C181" s="87">
        <v>129.25</v>
      </c>
      <c r="D181" s="88">
        <v>0.2</v>
      </c>
      <c r="E181" s="87">
        <f t="shared" si="1"/>
        <v>103.4</v>
      </c>
      <c r="F181" s="20" t="s">
        <v>131</v>
      </c>
      <c r="G181" s="20" t="s">
        <v>132</v>
      </c>
    </row>
    <row r="182" ht="19.5" customHeight="1">
      <c r="A182" s="85" t="s">
        <v>484</v>
      </c>
      <c r="B182" s="20" t="s">
        <v>485</v>
      </c>
      <c r="C182" s="87">
        <v>172.33</v>
      </c>
      <c r="D182" s="88">
        <v>0.2</v>
      </c>
      <c r="E182" s="87">
        <f t="shared" si="1"/>
        <v>137.864</v>
      </c>
      <c r="F182" s="20" t="s">
        <v>131</v>
      </c>
      <c r="G182" s="20" t="s">
        <v>132</v>
      </c>
    </row>
    <row r="183" ht="19.5" customHeight="1">
      <c r="A183" s="85" t="s">
        <v>486</v>
      </c>
      <c r="B183" s="20" t="s">
        <v>487</v>
      </c>
      <c r="C183" s="87">
        <v>258.5</v>
      </c>
      <c r="D183" s="88">
        <v>0.2</v>
      </c>
      <c r="E183" s="87">
        <f t="shared" si="1"/>
        <v>206.8</v>
      </c>
      <c r="F183" s="20" t="s">
        <v>131</v>
      </c>
      <c r="G183" s="20" t="s">
        <v>132</v>
      </c>
    </row>
    <row r="184" ht="19.5" customHeight="1">
      <c r="A184" s="85" t="s">
        <v>488</v>
      </c>
      <c r="B184" s="20" t="s">
        <v>489</v>
      </c>
      <c r="C184" s="87">
        <v>179.75</v>
      </c>
      <c r="D184" s="88">
        <v>0.2</v>
      </c>
      <c r="E184" s="87">
        <f t="shared" si="1"/>
        <v>143.8</v>
      </c>
      <c r="F184" s="20" t="s">
        <v>131</v>
      </c>
      <c r="G184" s="20" t="s">
        <v>132</v>
      </c>
    </row>
    <row r="185" ht="19.5" customHeight="1">
      <c r="A185" s="85" t="s">
        <v>490</v>
      </c>
      <c r="B185" s="20" t="s">
        <v>491</v>
      </c>
      <c r="C185" s="87">
        <v>269.63</v>
      </c>
      <c r="D185" s="88">
        <v>0.2</v>
      </c>
      <c r="E185" s="87">
        <f t="shared" si="1"/>
        <v>215.704</v>
      </c>
      <c r="F185" s="20" t="s">
        <v>131</v>
      </c>
      <c r="G185" s="20" t="s">
        <v>132</v>
      </c>
    </row>
    <row r="186" ht="19.5" customHeight="1">
      <c r="A186" s="85" t="s">
        <v>492</v>
      </c>
      <c r="B186" s="20" t="s">
        <v>493</v>
      </c>
      <c r="C186" s="87">
        <v>359.5</v>
      </c>
      <c r="D186" s="88">
        <v>0.2</v>
      </c>
      <c r="E186" s="87">
        <f t="shared" si="1"/>
        <v>287.6</v>
      </c>
      <c r="F186" s="20" t="s">
        <v>131</v>
      </c>
      <c r="G186" s="20" t="s">
        <v>132</v>
      </c>
    </row>
    <row r="187" ht="19.5" customHeight="1">
      <c r="A187" s="85" t="s">
        <v>494</v>
      </c>
      <c r="B187" s="20" t="s">
        <v>495</v>
      </c>
      <c r="C187" s="87">
        <v>539.25</v>
      </c>
      <c r="D187" s="88">
        <v>0.2</v>
      </c>
      <c r="E187" s="87">
        <f t="shared" si="1"/>
        <v>431.4</v>
      </c>
      <c r="F187" s="20" t="s">
        <v>131</v>
      </c>
      <c r="G187" s="20" t="s">
        <v>132</v>
      </c>
    </row>
    <row r="188" ht="19.5" customHeight="1">
      <c r="A188" s="85" t="s">
        <v>496</v>
      </c>
      <c r="B188" s="20" t="s">
        <v>497</v>
      </c>
      <c r="C188" s="87">
        <v>560.82</v>
      </c>
      <c r="D188" s="88">
        <v>0.2</v>
      </c>
      <c r="E188" s="87">
        <f t="shared" si="1"/>
        <v>448.656</v>
      </c>
      <c r="F188" s="20" t="s">
        <v>131</v>
      </c>
      <c r="G188" s="20" t="s">
        <v>132</v>
      </c>
    </row>
    <row r="189" ht="19.5" customHeight="1">
      <c r="A189" s="85" t="s">
        <v>498</v>
      </c>
      <c r="B189" s="20" t="s">
        <v>499</v>
      </c>
      <c r="C189" s="87">
        <v>577.0</v>
      </c>
      <c r="D189" s="88">
        <v>0.2</v>
      </c>
      <c r="E189" s="87">
        <f t="shared" si="1"/>
        <v>461.6</v>
      </c>
      <c r="F189" s="20" t="s">
        <v>131</v>
      </c>
      <c r="G189" s="20" t="s">
        <v>132</v>
      </c>
    </row>
    <row r="190" ht="19.5" customHeight="1">
      <c r="A190" s="85" t="s">
        <v>500</v>
      </c>
      <c r="B190" s="20" t="s">
        <v>501</v>
      </c>
      <c r="C190" s="87">
        <v>647.1</v>
      </c>
      <c r="D190" s="88">
        <v>0.2</v>
      </c>
      <c r="E190" s="87">
        <f t="shared" si="1"/>
        <v>517.68</v>
      </c>
      <c r="F190" s="20" t="s">
        <v>131</v>
      </c>
      <c r="G190" s="20" t="s">
        <v>132</v>
      </c>
    </row>
    <row r="191" ht="19.5" customHeight="1">
      <c r="A191" s="85" t="s">
        <v>502</v>
      </c>
      <c r="B191" s="20" t="s">
        <v>503</v>
      </c>
      <c r="C191" s="87">
        <v>0.0</v>
      </c>
      <c r="D191" s="88">
        <v>0.2</v>
      </c>
      <c r="E191" s="87">
        <f t="shared" si="1"/>
        <v>0</v>
      </c>
      <c r="F191" s="20" t="s">
        <v>131</v>
      </c>
      <c r="G191" s="20" t="s">
        <v>132</v>
      </c>
    </row>
    <row r="192" ht="19.5" customHeight="1">
      <c r="A192" s="85" t="s">
        <v>504</v>
      </c>
      <c r="B192" s="20" t="s">
        <v>505</v>
      </c>
      <c r="C192" s="87">
        <v>593.18</v>
      </c>
      <c r="D192" s="88">
        <v>0.2</v>
      </c>
      <c r="E192" s="87">
        <f t="shared" si="1"/>
        <v>474.544</v>
      </c>
      <c r="F192" s="20" t="s">
        <v>131</v>
      </c>
      <c r="G192" s="20" t="s">
        <v>132</v>
      </c>
    </row>
    <row r="193" ht="19.5" customHeight="1">
      <c r="A193" s="85" t="s">
        <v>506</v>
      </c>
      <c r="B193" s="20" t="s">
        <v>507</v>
      </c>
      <c r="C193" s="87">
        <v>620.14</v>
      </c>
      <c r="D193" s="88">
        <v>0.2</v>
      </c>
      <c r="E193" s="87">
        <f t="shared" si="1"/>
        <v>496.112</v>
      </c>
      <c r="F193" s="20" t="s">
        <v>131</v>
      </c>
      <c r="G193" s="20" t="s">
        <v>132</v>
      </c>
    </row>
    <row r="194" ht="19.5" customHeight="1">
      <c r="A194" s="85" t="s">
        <v>508</v>
      </c>
      <c r="B194" s="20" t="s">
        <v>509</v>
      </c>
      <c r="C194" s="87">
        <v>152.45</v>
      </c>
      <c r="D194" s="88">
        <v>0.2</v>
      </c>
      <c r="E194" s="87">
        <f t="shared" si="1"/>
        <v>121.96</v>
      </c>
      <c r="F194" s="20" t="s">
        <v>131</v>
      </c>
      <c r="G194" s="20" t="s">
        <v>132</v>
      </c>
    </row>
    <row r="195" ht="19.5" customHeight="1">
      <c r="A195" s="85" t="s">
        <v>510</v>
      </c>
      <c r="B195" s="20" t="s">
        <v>511</v>
      </c>
      <c r="C195" s="87">
        <v>228.67</v>
      </c>
      <c r="D195" s="88">
        <v>0.2</v>
      </c>
      <c r="E195" s="87">
        <f t="shared" si="1"/>
        <v>182.936</v>
      </c>
      <c r="F195" s="20" t="s">
        <v>131</v>
      </c>
      <c r="G195" s="20" t="s">
        <v>132</v>
      </c>
    </row>
    <row r="196" ht="19.5" customHeight="1">
      <c r="A196" s="85" t="s">
        <v>512</v>
      </c>
      <c r="B196" s="20" t="s">
        <v>513</v>
      </c>
      <c r="C196" s="87">
        <v>304.9</v>
      </c>
      <c r="D196" s="88">
        <v>0.2</v>
      </c>
      <c r="E196" s="87">
        <f t="shared" si="1"/>
        <v>243.92</v>
      </c>
      <c r="F196" s="20" t="s">
        <v>131</v>
      </c>
      <c r="G196" s="20" t="s">
        <v>132</v>
      </c>
    </row>
    <row r="197" ht="19.5" customHeight="1">
      <c r="A197" s="85" t="s">
        <v>514</v>
      </c>
      <c r="B197" s="20" t="s">
        <v>515</v>
      </c>
      <c r="C197" s="87">
        <v>457.35</v>
      </c>
      <c r="D197" s="88">
        <v>0.2</v>
      </c>
      <c r="E197" s="87">
        <f t="shared" si="1"/>
        <v>365.88</v>
      </c>
      <c r="F197" s="20" t="s">
        <v>131</v>
      </c>
      <c r="G197" s="20" t="s">
        <v>132</v>
      </c>
    </row>
    <row r="198" ht="19.5" customHeight="1">
      <c r="A198" s="85" t="s">
        <v>516</v>
      </c>
      <c r="B198" s="20" t="s">
        <v>517</v>
      </c>
      <c r="C198" s="87">
        <v>179.75</v>
      </c>
      <c r="D198" s="88">
        <v>0.2</v>
      </c>
      <c r="E198" s="87">
        <f t="shared" si="1"/>
        <v>143.8</v>
      </c>
      <c r="F198" s="20" t="s">
        <v>131</v>
      </c>
      <c r="G198" s="20" t="s">
        <v>132</v>
      </c>
    </row>
    <row r="199" ht="19.5" customHeight="1">
      <c r="A199" s="85" t="s">
        <v>518</v>
      </c>
      <c r="B199" s="20" t="s">
        <v>519</v>
      </c>
      <c r="C199" s="87">
        <v>269.63</v>
      </c>
      <c r="D199" s="88">
        <v>0.2</v>
      </c>
      <c r="E199" s="87">
        <f t="shared" si="1"/>
        <v>215.704</v>
      </c>
      <c r="F199" s="20" t="s">
        <v>131</v>
      </c>
      <c r="G199" s="20" t="s">
        <v>132</v>
      </c>
    </row>
    <row r="200" ht="19.5" customHeight="1">
      <c r="A200" s="85" t="s">
        <v>520</v>
      </c>
      <c r="B200" s="20" t="s">
        <v>521</v>
      </c>
      <c r="C200" s="87">
        <v>359.5</v>
      </c>
      <c r="D200" s="88">
        <v>0.2</v>
      </c>
      <c r="E200" s="87">
        <f t="shared" si="1"/>
        <v>287.6</v>
      </c>
      <c r="F200" s="20" t="s">
        <v>131</v>
      </c>
      <c r="G200" s="20" t="s">
        <v>132</v>
      </c>
    </row>
    <row r="201" ht="19.5" customHeight="1">
      <c r="A201" s="85" t="s">
        <v>522</v>
      </c>
      <c r="B201" s="20" t="s">
        <v>523</v>
      </c>
      <c r="C201" s="87">
        <v>539.25</v>
      </c>
      <c r="D201" s="88">
        <v>0.2</v>
      </c>
      <c r="E201" s="87">
        <f t="shared" si="1"/>
        <v>431.4</v>
      </c>
      <c r="F201" s="20" t="s">
        <v>131</v>
      </c>
      <c r="G201" s="20" t="s">
        <v>132</v>
      </c>
    </row>
    <row r="202" ht="19.5" customHeight="1">
      <c r="A202" s="85" t="s">
        <v>524</v>
      </c>
      <c r="B202" s="20" t="s">
        <v>525</v>
      </c>
      <c r="C202" s="87">
        <v>179.75</v>
      </c>
      <c r="D202" s="88">
        <v>0.2</v>
      </c>
      <c r="E202" s="87">
        <f t="shared" si="1"/>
        <v>143.8</v>
      </c>
      <c r="F202" s="20" t="s">
        <v>131</v>
      </c>
      <c r="G202" s="20" t="s">
        <v>132</v>
      </c>
    </row>
    <row r="203" ht="19.5" customHeight="1">
      <c r="A203" s="85" t="s">
        <v>526</v>
      </c>
      <c r="B203" s="20" t="s">
        <v>527</v>
      </c>
      <c r="C203" s="87">
        <v>269.63</v>
      </c>
      <c r="D203" s="88">
        <v>0.2</v>
      </c>
      <c r="E203" s="87">
        <f t="shared" si="1"/>
        <v>215.704</v>
      </c>
      <c r="F203" s="20" t="s">
        <v>131</v>
      </c>
      <c r="G203" s="20" t="s">
        <v>132</v>
      </c>
    </row>
    <row r="204" ht="19.5" customHeight="1">
      <c r="A204" s="85" t="s">
        <v>528</v>
      </c>
      <c r="B204" s="20" t="s">
        <v>529</v>
      </c>
      <c r="C204" s="87">
        <v>359.5</v>
      </c>
      <c r="D204" s="88">
        <v>0.2</v>
      </c>
      <c r="E204" s="87">
        <f t="shared" si="1"/>
        <v>287.6</v>
      </c>
      <c r="F204" s="20" t="s">
        <v>131</v>
      </c>
      <c r="G204" s="20" t="s">
        <v>132</v>
      </c>
    </row>
    <row r="205" ht="19.5" customHeight="1">
      <c r="A205" s="85" t="s">
        <v>530</v>
      </c>
      <c r="B205" s="20" t="s">
        <v>531</v>
      </c>
      <c r="C205" s="87">
        <v>539.25</v>
      </c>
      <c r="D205" s="88">
        <v>0.2</v>
      </c>
      <c r="E205" s="87">
        <f t="shared" si="1"/>
        <v>431.4</v>
      </c>
      <c r="F205" s="20" t="s">
        <v>131</v>
      </c>
      <c r="G205" s="20" t="s">
        <v>132</v>
      </c>
    </row>
    <row r="206" ht="19.5" customHeight="1">
      <c r="A206" s="85" t="s">
        <v>532</v>
      </c>
      <c r="B206" s="20" t="s">
        <v>533</v>
      </c>
      <c r="C206" s="87">
        <v>179.75</v>
      </c>
      <c r="D206" s="88">
        <v>0.2</v>
      </c>
      <c r="E206" s="87">
        <f t="shared" si="1"/>
        <v>143.8</v>
      </c>
      <c r="F206" s="20" t="s">
        <v>131</v>
      </c>
      <c r="G206" s="20" t="s">
        <v>132</v>
      </c>
    </row>
    <row r="207" ht="19.5" customHeight="1">
      <c r="A207" s="85" t="s">
        <v>534</v>
      </c>
      <c r="B207" s="20" t="s">
        <v>535</v>
      </c>
      <c r="C207" s="87">
        <v>269.63</v>
      </c>
      <c r="D207" s="88">
        <v>0.2</v>
      </c>
      <c r="E207" s="87">
        <f t="shared" si="1"/>
        <v>215.704</v>
      </c>
      <c r="F207" s="20" t="s">
        <v>131</v>
      </c>
      <c r="G207" s="20" t="s">
        <v>132</v>
      </c>
    </row>
    <row r="208" ht="19.5" customHeight="1">
      <c r="A208" s="85" t="s">
        <v>536</v>
      </c>
      <c r="B208" s="20" t="s">
        <v>537</v>
      </c>
      <c r="C208" s="87">
        <v>359.5</v>
      </c>
      <c r="D208" s="88">
        <v>0.2</v>
      </c>
      <c r="E208" s="87">
        <f t="shared" si="1"/>
        <v>287.6</v>
      </c>
      <c r="F208" s="20" t="s">
        <v>131</v>
      </c>
      <c r="G208" s="20" t="s">
        <v>132</v>
      </c>
    </row>
    <row r="209" ht="19.5" customHeight="1">
      <c r="A209" s="85" t="s">
        <v>538</v>
      </c>
      <c r="B209" s="20" t="s">
        <v>539</v>
      </c>
      <c r="C209" s="87">
        <v>539.25</v>
      </c>
      <c r="D209" s="88">
        <v>0.2</v>
      </c>
      <c r="E209" s="87">
        <f t="shared" si="1"/>
        <v>431.4</v>
      </c>
      <c r="F209" s="20" t="s">
        <v>131</v>
      </c>
      <c r="G209" s="20" t="s">
        <v>132</v>
      </c>
    </row>
    <row r="210" ht="19.5" customHeight="1">
      <c r="A210" s="85" t="s">
        <v>540</v>
      </c>
      <c r="B210" s="20" t="s">
        <v>541</v>
      </c>
      <c r="C210" s="87">
        <v>179.75</v>
      </c>
      <c r="D210" s="88">
        <v>0.2</v>
      </c>
      <c r="E210" s="87">
        <f t="shared" si="1"/>
        <v>143.8</v>
      </c>
      <c r="F210" s="20" t="s">
        <v>131</v>
      </c>
      <c r="G210" s="20" t="s">
        <v>132</v>
      </c>
    </row>
    <row r="211" ht="19.5" customHeight="1">
      <c r="A211" s="85" t="s">
        <v>542</v>
      </c>
      <c r="B211" s="20" t="s">
        <v>543</v>
      </c>
      <c r="C211" s="87">
        <v>269.63</v>
      </c>
      <c r="D211" s="88">
        <v>0.2</v>
      </c>
      <c r="E211" s="87">
        <f t="shared" si="1"/>
        <v>215.704</v>
      </c>
      <c r="F211" s="20" t="s">
        <v>131</v>
      </c>
      <c r="G211" s="20" t="s">
        <v>132</v>
      </c>
    </row>
    <row r="212" ht="19.5" customHeight="1">
      <c r="A212" s="85" t="s">
        <v>544</v>
      </c>
      <c r="B212" s="20" t="s">
        <v>545</v>
      </c>
      <c r="C212" s="87">
        <v>356.5</v>
      </c>
      <c r="D212" s="88">
        <v>0.2</v>
      </c>
      <c r="E212" s="87">
        <f t="shared" si="1"/>
        <v>285.2</v>
      </c>
      <c r="F212" s="20" t="s">
        <v>131</v>
      </c>
      <c r="G212" s="20" t="s">
        <v>132</v>
      </c>
    </row>
    <row r="213" ht="19.5" customHeight="1">
      <c r="A213" s="85" t="s">
        <v>546</v>
      </c>
      <c r="B213" s="20" t="s">
        <v>547</v>
      </c>
      <c r="C213" s="87">
        <v>539.25</v>
      </c>
      <c r="D213" s="88">
        <v>0.2</v>
      </c>
      <c r="E213" s="87">
        <f t="shared" si="1"/>
        <v>431.4</v>
      </c>
      <c r="F213" s="20" t="s">
        <v>131</v>
      </c>
      <c r="G213" s="20" t="s">
        <v>132</v>
      </c>
    </row>
    <row r="214" ht="19.5" customHeight="1">
      <c r="A214" s="85" t="s">
        <v>548</v>
      </c>
      <c r="B214" s="20" t="s">
        <v>549</v>
      </c>
      <c r="C214" s="87">
        <v>52.79</v>
      </c>
      <c r="D214" s="88">
        <v>0.2</v>
      </c>
      <c r="E214" s="87">
        <f t="shared" si="1"/>
        <v>42.232</v>
      </c>
      <c r="F214" s="20" t="s">
        <v>131</v>
      </c>
      <c r="G214" s="20" t="s">
        <v>132</v>
      </c>
    </row>
    <row r="215" ht="19.5" customHeight="1">
      <c r="A215" s="85" t="s">
        <v>550</v>
      </c>
      <c r="B215" s="20" t="s">
        <v>551</v>
      </c>
      <c r="C215" s="87">
        <v>79.18</v>
      </c>
      <c r="D215" s="88">
        <v>0.2</v>
      </c>
      <c r="E215" s="87">
        <f t="shared" si="1"/>
        <v>63.344</v>
      </c>
      <c r="F215" s="20" t="s">
        <v>131</v>
      </c>
      <c r="G215" s="20" t="s">
        <v>132</v>
      </c>
    </row>
    <row r="216" ht="19.5" customHeight="1">
      <c r="A216" s="85" t="s">
        <v>552</v>
      </c>
      <c r="B216" s="20" t="s">
        <v>553</v>
      </c>
      <c r="C216" s="87">
        <v>105.58</v>
      </c>
      <c r="D216" s="88">
        <v>0.2</v>
      </c>
      <c r="E216" s="87">
        <f t="shared" si="1"/>
        <v>84.464</v>
      </c>
      <c r="F216" s="20" t="s">
        <v>131</v>
      </c>
      <c r="G216" s="20" t="s">
        <v>132</v>
      </c>
    </row>
    <row r="217" ht="19.5" customHeight="1">
      <c r="A217" s="85" t="s">
        <v>554</v>
      </c>
      <c r="B217" s="20" t="s">
        <v>555</v>
      </c>
      <c r="C217" s="87">
        <v>158.36</v>
      </c>
      <c r="D217" s="88">
        <v>0.2</v>
      </c>
      <c r="E217" s="87">
        <f t="shared" si="1"/>
        <v>126.688</v>
      </c>
      <c r="F217" s="20" t="s">
        <v>131</v>
      </c>
      <c r="G217" s="20" t="s">
        <v>132</v>
      </c>
    </row>
    <row r="218" ht="19.5" customHeight="1">
      <c r="A218" s="85" t="s">
        <v>556</v>
      </c>
      <c r="B218" s="20" t="s">
        <v>557</v>
      </c>
      <c r="C218" s="87">
        <v>54.9</v>
      </c>
      <c r="D218" s="88">
        <v>0.2</v>
      </c>
      <c r="E218" s="87">
        <f t="shared" si="1"/>
        <v>43.92</v>
      </c>
      <c r="F218" s="20" t="s">
        <v>131</v>
      </c>
      <c r="G218" s="20" t="s">
        <v>132</v>
      </c>
    </row>
    <row r="219" ht="19.5" customHeight="1">
      <c r="A219" s="85" t="s">
        <v>558</v>
      </c>
      <c r="B219" s="20" t="s">
        <v>559</v>
      </c>
      <c r="C219" s="87">
        <v>79.18</v>
      </c>
      <c r="D219" s="88">
        <v>0.2</v>
      </c>
      <c r="E219" s="87">
        <f t="shared" si="1"/>
        <v>63.344</v>
      </c>
      <c r="F219" s="20" t="s">
        <v>131</v>
      </c>
      <c r="G219" s="20" t="s">
        <v>132</v>
      </c>
    </row>
    <row r="220" ht="19.5" customHeight="1">
      <c r="A220" s="85" t="s">
        <v>560</v>
      </c>
      <c r="B220" s="20" t="s">
        <v>561</v>
      </c>
      <c r="C220" s="87">
        <v>105.58</v>
      </c>
      <c r="D220" s="88">
        <v>0.2</v>
      </c>
      <c r="E220" s="87">
        <f t="shared" si="1"/>
        <v>84.464</v>
      </c>
      <c r="F220" s="20" t="s">
        <v>131</v>
      </c>
      <c r="G220" s="20" t="s">
        <v>132</v>
      </c>
    </row>
    <row r="221" ht="19.5" customHeight="1">
      <c r="A221" s="85" t="s">
        <v>562</v>
      </c>
      <c r="B221" s="20" t="s">
        <v>563</v>
      </c>
      <c r="C221" s="87">
        <v>158.36</v>
      </c>
      <c r="D221" s="88">
        <v>0.2</v>
      </c>
      <c r="E221" s="87">
        <f t="shared" si="1"/>
        <v>126.688</v>
      </c>
      <c r="F221" s="20" t="s">
        <v>131</v>
      </c>
      <c r="G221" s="20" t="s">
        <v>132</v>
      </c>
    </row>
    <row r="222" ht="19.5" customHeight="1">
      <c r="A222" s="85" t="s">
        <v>564</v>
      </c>
      <c r="B222" s="20" t="s">
        <v>565</v>
      </c>
      <c r="C222" s="87">
        <v>56.49</v>
      </c>
      <c r="D222" s="88">
        <v>0.2</v>
      </c>
      <c r="E222" s="87">
        <f t="shared" si="1"/>
        <v>45.192</v>
      </c>
      <c r="F222" s="20" t="s">
        <v>131</v>
      </c>
      <c r="G222" s="20" t="s">
        <v>132</v>
      </c>
    </row>
    <row r="223" ht="19.5" customHeight="1">
      <c r="A223" s="85" t="s">
        <v>566</v>
      </c>
      <c r="B223" s="20" t="s">
        <v>567</v>
      </c>
      <c r="C223" s="87">
        <v>84.72</v>
      </c>
      <c r="D223" s="88">
        <v>0.2</v>
      </c>
      <c r="E223" s="87">
        <f t="shared" si="1"/>
        <v>67.776</v>
      </c>
      <c r="F223" s="20" t="s">
        <v>131</v>
      </c>
      <c r="G223" s="20" t="s">
        <v>132</v>
      </c>
    </row>
    <row r="224" ht="19.5" customHeight="1">
      <c r="A224" s="85" t="s">
        <v>568</v>
      </c>
      <c r="B224" s="20" t="s">
        <v>569</v>
      </c>
      <c r="C224" s="87">
        <v>112.97</v>
      </c>
      <c r="D224" s="88">
        <v>0.2</v>
      </c>
      <c r="E224" s="87">
        <f t="shared" si="1"/>
        <v>90.376</v>
      </c>
      <c r="F224" s="20" t="s">
        <v>131</v>
      </c>
      <c r="G224" s="20" t="s">
        <v>132</v>
      </c>
    </row>
    <row r="225" ht="19.5" customHeight="1">
      <c r="A225" s="85" t="s">
        <v>570</v>
      </c>
      <c r="B225" s="20" t="s">
        <v>571</v>
      </c>
      <c r="C225" s="87">
        <v>169.45</v>
      </c>
      <c r="D225" s="88">
        <v>0.2</v>
      </c>
      <c r="E225" s="87">
        <f t="shared" si="1"/>
        <v>135.56</v>
      </c>
      <c r="F225" s="20" t="s">
        <v>131</v>
      </c>
      <c r="G225" s="20" t="s">
        <v>132</v>
      </c>
    </row>
    <row r="226" ht="19.5" customHeight="1">
      <c r="A226" s="85" t="s">
        <v>572</v>
      </c>
      <c r="B226" s="20" t="s">
        <v>573</v>
      </c>
      <c r="C226" s="87">
        <v>63.35</v>
      </c>
      <c r="D226" s="88">
        <v>0.2</v>
      </c>
      <c r="E226" s="87">
        <f t="shared" si="1"/>
        <v>50.68</v>
      </c>
      <c r="F226" s="20" t="s">
        <v>131</v>
      </c>
      <c r="G226" s="20" t="s">
        <v>132</v>
      </c>
    </row>
    <row r="227" ht="19.5" customHeight="1">
      <c r="A227" s="85" t="s">
        <v>574</v>
      </c>
      <c r="B227" s="20" t="s">
        <v>575</v>
      </c>
      <c r="C227" s="87">
        <v>95.02</v>
      </c>
      <c r="D227" s="88">
        <v>0.2</v>
      </c>
      <c r="E227" s="87">
        <f t="shared" si="1"/>
        <v>76.016</v>
      </c>
      <c r="F227" s="20" t="s">
        <v>131</v>
      </c>
      <c r="G227" s="20" t="s">
        <v>132</v>
      </c>
    </row>
    <row r="228" ht="19.5" customHeight="1">
      <c r="A228" s="85" t="s">
        <v>576</v>
      </c>
      <c r="B228" s="20" t="s">
        <v>577</v>
      </c>
      <c r="C228" s="87">
        <v>126.7</v>
      </c>
      <c r="D228" s="88">
        <v>0.2</v>
      </c>
      <c r="E228" s="87">
        <f t="shared" si="1"/>
        <v>101.36</v>
      </c>
      <c r="F228" s="20" t="s">
        <v>131</v>
      </c>
      <c r="G228" s="20" t="s">
        <v>132</v>
      </c>
    </row>
    <row r="229" ht="19.5" customHeight="1">
      <c r="A229" s="85" t="s">
        <v>578</v>
      </c>
      <c r="B229" s="20" t="s">
        <v>579</v>
      </c>
      <c r="C229" s="87">
        <v>190.03</v>
      </c>
      <c r="D229" s="88">
        <v>0.2</v>
      </c>
      <c r="E229" s="87">
        <f t="shared" si="1"/>
        <v>152.024</v>
      </c>
      <c r="F229" s="20" t="s">
        <v>131</v>
      </c>
      <c r="G229" s="20" t="s">
        <v>132</v>
      </c>
    </row>
    <row r="230" ht="19.5" customHeight="1">
      <c r="A230" s="85" t="s">
        <v>580</v>
      </c>
      <c r="B230" s="20" t="s">
        <v>581</v>
      </c>
      <c r="C230" s="87">
        <v>58.07</v>
      </c>
      <c r="D230" s="88">
        <v>0.2</v>
      </c>
      <c r="E230" s="87">
        <f t="shared" si="1"/>
        <v>46.456</v>
      </c>
      <c r="F230" s="20" t="s">
        <v>131</v>
      </c>
      <c r="G230" s="20" t="s">
        <v>132</v>
      </c>
    </row>
    <row r="231" ht="19.5" customHeight="1">
      <c r="A231" s="85" t="s">
        <v>582</v>
      </c>
      <c r="B231" s="20" t="s">
        <v>583</v>
      </c>
      <c r="C231" s="87">
        <v>87.1</v>
      </c>
      <c r="D231" s="88">
        <v>0.2</v>
      </c>
      <c r="E231" s="87">
        <f t="shared" si="1"/>
        <v>69.68</v>
      </c>
      <c r="F231" s="20" t="s">
        <v>131</v>
      </c>
      <c r="G231" s="20" t="s">
        <v>132</v>
      </c>
    </row>
    <row r="232" ht="19.5" customHeight="1">
      <c r="A232" s="85" t="s">
        <v>584</v>
      </c>
      <c r="B232" s="20" t="s">
        <v>585</v>
      </c>
      <c r="C232" s="87">
        <v>116.14</v>
      </c>
      <c r="D232" s="88">
        <v>0.2</v>
      </c>
      <c r="E232" s="87">
        <f t="shared" si="1"/>
        <v>92.912</v>
      </c>
      <c r="F232" s="20" t="s">
        <v>131</v>
      </c>
      <c r="G232" s="20" t="s">
        <v>132</v>
      </c>
    </row>
    <row r="233" ht="19.5" customHeight="1">
      <c r="A233" s="85" t="s">
        <v>586</v>
      </c>
      <c r="B233" s="20" t="s">
        <v>587</v>
      </c>
      <c r="C233" s="87">
        <v>174.2</v>
      </c>
      <c r="D233" s="88">
        <v>0.2</v>
      </c>
      <c r="E233" s="87">
        <f t="shared" si="1"/>
        <v>139.36</v>
      </c>
      <c r="F233" s="20" t="s">
        <v>131</v>
      </c>
      <c r="G233" s="20" t="s">
        <v>132</v>
      </c>
    </row>
    <row r="234" ht="19.5" customHeight="1">
      <c r="A234" s="85" t="s">
        <v>588</v>
      </c>
      <c r="B234" s="20" t="s">
        <v>589</v>
      </c>
      <c r="C234" s="87">
        <v>60.71</v>
      </c>
      <c r="D234" s="88">
        <v>0.2</v>
      </c>
      <c r="E234" s="87">
        <f t="shared" si="1"/>
        <v>48.568</v>
      </c>
      <c r="F234" s="20" t="s">
        <v>131</v>
      </c>
      <c r="G234" s="20" t="s">
        <v>132</v>
      </c>
    </row>
    <row r="235" ht="19.5" customHeight="1">
      <c r="A235" s="85" t="s">
        <v>590</v>
      </c>
      <c r="B235" s="20" t="s">
        <v>591</v>
      </c>
      <c r="C235" s="87">
        <v>91.06</v>
      </c>
      <c r="D235" s="88">
        <v>0.2</v>
      </c>
      <c r="E235" s="87">
        <f t="shared" si="1"/>
        <v>72.848</v>
      </c>
      <c r="F235" s="20" t="s">
        <v>131</v>
      </c>
      <c r="G235" s="20" t="s">
        <v>132</v>
      </c>
    </row>
    <row r="236" ht="19.5" customHeight="1">
      <c r="A236" s="85" t="s">
        <v>592</v>
      </c>
      <c r="B236" s="20" t="s">
        <v>593</v>
      </c>
      <c r="C236" s="87">
        <v>121.42</v>
      </c>
      <c r="D236" s="88">
        <v>0.2</v>
      </c>
      <c r="E236" s="87">
        <f t="shared" si="1"/>
        <v>97.136</v>
      </c>
      <c r="F236" s="20" t="s">
        <v>131</v>
      </c>
      <c r="G236" s="20" t="s">
        <v>132</v>
      </c>
    </row>
    <row r="237" ht="19.5" customHeight="1">
      <c r="A237" s="85" t="s">
        <v>594</v>
      </c>
      <c r="B237" s="20" t="s">
        <v>595</v>
      </c>
      <c r="C237" s="87">
        <v>182.11</v>
      </c>
      <c r="D237" s="88">
        <v>0.2</v>
      </c>
      <c r="E237" s="87">
        <f t="shared" si="1"/>
        <v>145.688</v>
      </c>
      <c r="F237" s="20" t="s">
        <v>131</v>
      </c>
      <c r="G237" s="20" t="s">
        <v>132</v>
      </c>
    </row>
    <row r="238" ht="19.5" customHeight="1">
      <c r="A238" s="85" t="s">
        <v>596</v>
      </c>
      <c r="B238" s="20" t="s">
        <v>597</v>
      </c>
      <c r="C238" s="87">
        <v>70.57</v>
      </c>
      <c r="D238" s="88">
        <v>0.2</v>
      </c>
      <c r="E238" s="87">
        <f t="shared" si="1"/>
        <v>56.456</v>
      </c>
      <c r="F238" s="20" t="s">
        <v>131</v>
      </c>
      <c r="G238" s="20" t="s">
        <v>132</v>
      </c>
    </row>
    <row r="239" ht="19.5" customHeight="1">
      <c r="A239" s="85" t="s">
        <v>598</v>
      </c>
      <c r="B239" s="20" t="s">
        <v>599</v>
      </c>
      <c r="C239" s="87">
        <v>105.84</v>
      </c>
      <c r="D239" s="88">
        <v>0.2</v>
      </c>
      <c r="E239" s="87">
        <f t="shared" si="1"/>
        <v>84.672</v>
      </c>
      <c r="F239" s="20" t="s">
        <v>131</v>
      </c>
      <c r="G239" s="20" t="s">
        <v>132</v>
      </c>
    </row>
    <row r="240" ht="19.5" customHeight="1">
      <c r="A240" s="85" t="s">
        <v>600</v>
      </c>
      <c r="B240" s="20" t="s">
        <v>601</v>
      </c>
      <c r="C240" s="87">
        <v>141.13</v>
      </c>
      <c r="D240" s="88">
        <v>0.2</v>
      </c>
      <c r="E240" s="87">
        <f t="shared" si="1"/>
        <v>112.904</v>
      </c>
      <c r="F240" s="20" t="s">
        <v>131</v>
      </c>
      <c r="G240" s="20" t="s">
        <v>132</v>
      </c>
    </row>
    <row r="241" ht="19.5" customHeight="1">
      <c r="A241" s="85" t="s">
        <v>602</v>
      </c>
      <c r="B241" s="20" t="s">
        <v>603</v>
      </c>
      <c r="C241" s="87">
        <v>211.69</v>
      </c>
      <c r="D241" s="88">
        <v>0.2</v>
      </c>
      <c r="E241" s="87">
        <f t="shared" si="1"/>
        <v>169.352</v>
      </c>
      <c r="F241" s="20" t="s">
        <v>131</v>
      </c>
      <c r="G241" s="20" t="s">
        <v>132</v>
      </c>
    </row>
    <row r="242" ht="19.5" customHeight="1">
      <c r="A242" s="85" t="s">
        <v>604</v>
      </c>
      <c r="B242" s="20" t="s">
        <v>605</v>
      </c>
      <c r="C242" s="87">
        <v>73.39</v>
      </c>
      <c r="D242" s="88">
        <v>0.2</v>
      </c>
      <c r="E242" s="87">
        <f t="shared" si="1"/>
        <v>58.712</v>
      </c>
      <c r="F242" s="20" t="s">
        <v>131</v>
      </c>
      <c r="G242" s="20" t="s">
        <v>132</v>
      </c>
    </row>
    <row r="243" ht="19.5" customHeight="1">
      <c r="A243" s="85" t="s">
        <v>606</v>
      </c>
      <c r="B243" s="20" t="s">
        <v>607</v>
      </c>
      <c r="C243" s="87">
        <v>110.07</v>
      </c>
      <c r="D243" s="88">
        <v>0.2</v>
      </c>
      <c r="E243" s="87">
        <f t="shared" si="1"/>
        <v>88.056</v>
      </c>
      <c r="F243" s="20" t="s">
        <v>131</v>
      </c>
      <c r="G243" s="20" t="s">
        <v>132</v>
      </c>
    </row>
    <row r="244" ht="19.5" customHeight="1">
      <c r="A244" s="85" t="s">
        <v>608</v>
      </c>
      <c r="B244" s="20" t="s">
        <v>609</v>
      </c>
      <c r="C244" s="87">
        <v>146.78</v>
      </c>
      <c r="D244" s="88">
        <v>0.2</v>
      </c>
      <c r="E244" s="87">
        <f t="shared" si="1"/>
        <v>117.424</v>
      </c>
      <c r="F244" s="20" t="s">
        <v>131</v>
      </c>
      <c r="G244" s="20" t="s">
        <v>132</v>
      </c>
    </row>
    <row r="245" ht="19.5" customHeight="1">
      <c r="A245" s="85" t="s">
        <v>610</v>
      </c>
      <c r="B245" s="20" t="s">
        <v>611</v>
      </c>
      <c r="C245" s="87">
        <v>220.16</v>
      </c>
      <c r="D245" s="88">
        <v>0.2</v>
      </c>
      <c r="E245" s="87">
        <f t="shared" si="1"/>
        <v>176.128</v>
      </c>
      <c r="F245" s="20" t="s">
        <v>131</v>
      </c>
      <c r="G245" s="20" t="s">
        <v>132</v>
      </c>
    </row>
    <row r="246" ht="19.5" customHeight="1">
      <c r="A246" s="85" t="s">
        <v>612</v>
      </c>
      <c r="B246" s="20" t="s">
        <v>613</v>
      </c>
      <c r="C246" s="87">
        <v>75.51</v>
      </c>
      <c r="D246" s="88">
        <v>0.2</v>
      </c>
      <c r="E246" s="87">
        <f t="shared" si="1"/>
        <v>60.408</v>
      </c>
      <c r="F246" s="20" t="s">
        <v>131</v>
      </c>
      <c r="G246" s="20" t="s">
        <v>132</v>
      </c>
    </row>
    <row r="247" ht="19.5" customHeight="1">
      <c r="A247" s="85" t="s">
        <v>614</v>
      </c>
      <c r="B247" s="20" t="s">
        <v>615</v>
      </c>
      <c r="C247" s="87">
        <v>113.25</v>
      </c>
      <c r="D247" s="88">
        <v>0.2</v>
      </c>
      <c r="E247" s="87">
        <f t="shared" si="1"/>
        <v>90.6</v>
      </c>
      <c r="F247" s="20" t="s">
        <v>131</v>
      </c>
      <c r="G247" s="20" t="s">
        <v>132</v>
      </c>
    </row>
    <row r="248" ht="19.5" customHeight="1">
      <c r="A248" s="85" t="s">
        <v>616</v>
      </c>
      <c r="B248" s="20" t="s">
        <v>617</v>
      </c>
      <c r="C248" s="87">
        <v>151.01</v>
      </c>
      <c r="D248" s="88">
        <v>0.2</v>
      </c>
      <c r="E248" s="87">
        <f t="shared" si="1"/>
        <v>120.808</v>
      </c>
      <c r="F248" s="20" t="s">
        <v>131</v>
      </c>
      <c r="G248" s="20" t="s">
        <v>132</v>
      </c>
    </row>
    <row r="249" ht="19.5" customHeight="1">
      <c r="A249" s="85" t="s">
        <v>618</v>
      </c>
      <c r="B249" s="20" t="s">
        <v>619</v>
      </c>
      <c r="C249" s="87">
        <v>226.51</v>
      </c>
      <c r="D249" s="88">
        <v>0.2</v>
      </c>
      <c r="E249" s="87">
        <f t="shared" si="1"/>
        <v>181.208</v>
      </c>
      <c r="F249" s="20" t="s">
        <v>131</v>
      </c>
      <c r="G249" s="20" t="s">
        <v>132</v>
      </c>
    </row>
    <row r="250" ht="19.5" customHeight="1">
      <c r="A250" s="85" t="s">
        <v>620</v>
      </c>
      <c r="B250" s="20" t="s">
        <v>621</v>
      </c>
      <c r="C250" s="87">
        <v>84.68</v>
      </c>
      <c r="D250" s="88">
        <v>0.2</v>
      </c>
      <c r="E250" s="87">
        <f t="shared" si="1"/>
        <v>67.744</v>
      </c>
      <c r="F250" s="20" t="s">
        <v>131</v>
      </c>
      <c r="G250" s="20" t="s">
        <v>132</v>
      </c>
    </row>
    <row r="251" ht="19.5" customHeight="1">
      <c r="A251" s="85" t="s">
        <v>622</v>
      </c>
      <c r="B251" s="20" t="s">
        <v>623</v>
      </c>
      <c r="C251" s="87">
        <v>127.01</v>
      </c>
      <c r="D251" s="88">
        <v>0.2</v>
      </c>
      <c r="E251" s="87">
        <f t="shared" si="1"/>
        <v>101.608</v>
      </c>
      <c r="F251" s="20" t="s">
        <v>131</v>
      </c>
      <c r="G251" s="20" t="s">
        <v>132</v>
      </c>
    </row>
    <row r="252" ht="19.5" customHeight="1">
      <c r="A252" s="85" t="s">
        <v>624</v>
      </c>
      <c r="B252" s="20" t="s">
        <v>625</v>
      </c>
      <c r="C252" s="87">
        <v>169.36</v>
      </c>
      <c r="D252" s="88">
        <v>0.2</v>
      </c>
      <c r="E252" s="87">
        <f t="shared" si="1"/>
        <v>135.488</v>
      </c>
      <c r="F252" s="20" t="s">
        <v>131</v>
      </c>
      <c r="G252" s="20" t="s">
        <v>132</v>
      </c>
    </row>
    <row r="253" ht="19.5" customHeight="1">
      <c r="A253" s="85" t="s">
        <v>626</v>
      </c>
      <c r="B253" s="20" t="s">
        <v>627</v>
      </c>
      <c r="C253" s="87">
        <v>254.03</v>
      </c>
      <c r="D253" s="88">
        <v>0.2</v>
      </c>
      <c r="E253" s="87">
        <f t="shared" si="1"/>
        <v>203.224</v>
      </c>
      <c r="F253" s="20" t="s">
        <v>131</v>
      </c>
      <c r="G253" s="20" t="s">
        <v>132</v>
      </c>
    </row>
    <row r="254" ht="19.5" customHeight="1">
      <c r="A254" s="85" t="s">
        <v>628</v>
      </c>
      <c r="B254" s="20" t="s">
        <v>629</v>
      </c>
      <c r="C254" s="87">
        <v>77.63</v>
      </c>
      <c r="D254" s="88">
        <v>0.2</v>
      </c>
      <c r="E254" s="87">
        <f t="shared" si="1"/>
        <v>62.104</v>
      </c>
      <c r="F254" s="20" t="s">
        <v>131</v>
      </c>
      <c r="G254" s="20" t="s">
        <v>132</v>
      </c>
    </row>
    <row r="255" ht="19.5" customHeight="1">
      <c r="A255" s="85" t="s">
        <v>630</v>
      </c>
      <c r="B255" s="20" t="s">
        <v>631</v>
      </c>
      <c r="C255" s="87">
        <v>116.42</v>
      </c>
      <c r="D255" s="88">
        <v>0.2</v>
      </c>
      <c r="E255" s="87">
        <f t="shared" si="1"/>
        <v>93.136</v>
      </c>
      <c r="F255" s="20" t="s">
        <v>131</v>
      </c>
      <c r="G255" s="20" t="s">
        <v>132</v>
      </c>
    </row>
    <row r="256" ht="19.5" customHeight="1">
      <c r="A256" s="85" t="s">
        <v>632</v>
      </c>
      <c r="B256" s="20" t="s">
        <v>633</v>
      </c>
      <c r="C256" s="87">
        <v>155.24</v>
      </c>
      <c r="D256" s="88">
        <v>0.2</v>
      </c>
      <c r="E256" s="87">
        <f t="shared" si="1"/>
        <v>124.192</v>
      </c>
      <c r="F256" s="20" t="s">
        <v>131</v>
      </c>
      <c r="G256" s="20" t="s">
        <v>132</v>
      </c>
    </row>
    <row r="257" ht="19.5" customHeight="1">
      <c r="A257" s="85" t="s">
        <v>634</v>
      </c>
      <c r="B257" s="20" t="s">
        <v>635</v>
      </c>
      <c r="C257" s="87">
        <v>232.86</v>
      </c>
      <c r="D257" s="88">
        <v>0.2</v>
      </c>
      <c r="E257" s="87">
        <f t="shared" si="1"/>
        <v>186.288</v>
      </c>
      <c r="F257" s="20" t="s">
        <v>131</v>
      </c>
      <c r="G257" s="20" t="s">
        <v>132</v>
      </c>
    </row>
    <row r="258" ht="19.5" customHeight="1">
      <c r="A258" s="85" t="s">
        <v>636</v>
      </c>
      <c r="B258" s="20" t="s">
        <v>637</v>
      </c>
      <c r="C258" s="87">
        <v>81.16</v>
      </c>
      <c r="D258" s="88">
        <v>0.2</v>
      </c>
      <c r="E258" s="87">
        <f t="shared" si="1"/>
        <v>64.928</v>
      </c>
      <c r="F258" s="20" t="s">
        <v>131</v>
      </c>
      <c r="G258" s="20" t="s">
        <v>132</v>
      </c>
    </row>
    <row r="259" ht="19.5" customHeight="1">
      <c r="A259" s="85" t="s">
        <v>638</v>
      </c>
      <c r="B259" s="20" t="s">
        <v>639</v>
      </c>
      <c r="C259" s="87">
        <v>121.72</v>
      </c>
      <c r="D259" s="88">
        <v>0.2</v>
      </c>
      <c r="E259" s="87">
        <f t="shared" si="1"/>
        <v>97.376</v>
      </c>
      <c r="F259" s="20" t="s">
        <v>131</v>
      </c>
      <c r="G259" s="20" t="s">
        <v>132</v>
      </c>
    </row>
    <row r="260" ht="19.5" customHeight="1">
      <c r="A260" s="85" t="s">
        <v>640</v>
      </c>
      <c r="B260" s="20" t="s">
        <v>641</v>
      </c>
      <c r="C260" s="87">
        <v>162.3</v>
      </c>
      <c r="D260" s="88">
        <v>0.2</v>
      </c>
      <c r="E260" s="87">
        <f t="shared" si="1"/>
        <v>129.84</v>
      </c>
      <c r="F260" s="20" t="s">
        <v>131</v>
      </c>
      <c r="G260" s="20" t="s">
        <v>132</v>
      </c>
    </row>
    <row r="261" ht="19.5" customHeight="1">
      <c r="A261" s="85" t="s">
        <v>642</v>
      </c>
      <c r="B261" s="20" t="s">
        <v>643</v>
      </c>
      <c r="C261" s="87">
        <v>243.44</v>
      </c>
      <c r="D261" s="88">
        <v>0.2</v>
      </c>
      <c r="E261" s="87">
        <f t="shared" si="1"/>
        <v>194.752</v>
      </c>
      <c r="F261" s="20" t="s">
        <v>131</v>
      </c>
      <c r="G261" s="20" t="s">
        <v>132</v>
      </c>
    </row>
    <row r="262" ht="19.5" customHeight="1">
      <c r="A262" s="85" t="s">
        <v>644</v>
      </c>
      <c r="B262" s="20" t="s">
        <v>645</v>
      </c>
      <c r="C262" s="87">
        <v>139.92</v>
      </c>
      <c r="D262" s="88">
        <v>0.2</v>
      </c>
      <c r="E262" s="87">
        <f t="shared" si="1"/>
        <v>111.936</v>
      </c>
      <c r="F262" s="20" t="s">
        <v>131</v>
      </c>
      <c r="G262" s="20" t="s">
        <v>132</v>
      </c>
    </row>
    <row r="263" ht="19.5" customHeight="1">
      <c r="A263" s="85" t="s">
        <v>646</v>
      </c>
      <c r="B263" s="20" t="s">
        <v>647</v>
      </c>
      <c r="C263" s="87">
        <v>209.88</v>
      </c>
      <c r="D263" s="88">
        <v>0.2</v>
      </c>
      <c r="E263" s="87">
        <f t="shared" si="1"/>
        <v>167.904</v>
      </c>
      <c r="F263" s="20" t="s">
        <v>131</v>
      </c>
      <c r="G263" s="20" t="s">
        <v>132</v>
      </c>
    </row>
    <row r="264" ht="19.5" customHeight="1">
      <c r="A264" s="85" t="s">
        <v>648</v>
      </c>
      <c r="B264" s="20" t="s">
        <v>649</v>
      </c>
      <c r="C264" s="87">
        <v>279.84</v>
      </c>
      <c r="D264" s="88">
        <v>0.2</v>
      </c>
      <c r="E264" s="87">
        <f t="shared" si="1"/>
        <v>223.872</v>
      </c>
      <c r="F264" s="20" t="s">
        <v>131</v>
      </c>
      <c r="G264" s="20" t="s">
        <v>132</v>
      </c>
    </row>
    <row r="265" ht="19.5" customHeight="1">
      <c r="A265" s="85" t="s">
        <v>650</v>
      </c>
      <c r="B265" s="20" t="s">
        <v>651</v>
      </c>
      <c r="C265" s="87">
        <v>419.76</v>
      </c>
      <c r="D265" s="88">
        <v>0.2</v>
      </c>
      <c r="E265" s="87">
        <f t="shared" si="1"/>
        <v>335.808</v>
      </c>
      <c r="F265" s="20" t="s">
        <v>131</v>
      </c>
      <c r="G265" s="20" t="s">
        <v>132</v>
      </c>
    </row>
    <row r="266" ht="19.5" customHeight="1">
      <c r="A266" s="85" t="s">
        <v>652</v>
      </c>
      <c r="B266" s="20" t="s">
        <v>653</v>
      </c>
      <c r="C266" s="87">
        <v>145.52</v>
      </c>
      <c r="D266" s="88">
        <v>0.2</v>
      </c>
      <c r="E266" s="87">
        <f t="shared" si="1"/>
        <v>116.416</v>
      </c>
      <c r="F266" s="20" t="s">
        <v>131</v>
      </c>
      <c r="G266" s="20" t="s">
        <v>132</v>
      </c>
    </row>
    <row r="267" ht="19.5" customHeight="1">
      <c r="A267" s="85" t="s">
        <v>654</v>
      </c>
      <c r="B267" s="20" t="s">
        <v>655</v>
      </c>
      <c r="C267" s="87">
        <v>218.28</v>
      </c>
      <c r="D267" s="88">
        <v>0.2</v>
      </c>
      <c r="E267" s="87">
        <f t="shared" si="1"/>
        <v>174.624</v>
      </c>
      <c r="F267" s="20" t="s">
        <v>131</v>
      </c>
      <c r="G267" s="20" t="s">
        <v>132</v>
      </c>
    </row>
    <row r="268" ht="19.5" customHeight="1">
      <c r="A268" s="85" t="s">
        <v>656</v>
      </c>
      <c r="B268" s="20" t="s">
        <v>657</v>
      </c>
      <c r="C268" s="87">
        <v>291.03</v>
      </c>
      <c r="D268" s="88">
        <v>0.2</v>
      </c>
      <c r="E268" s="87">
        <f t="shared" si="1"/>
        <v>232.824</v>
      </c>
      <c r="F268" s="20" t="s">
        <v>131</v>
      </c>
      <c r="G268" s="20" t="s">
        <v>132</v>
      </c>
    </row>
    <row r="269" ht="19.5" customHeight="1">
      <c r="A269" s="85" t="s">
        <v>658</v>
      </c>
      <c r="B269" s="20" t="s">
        <v>659</v>
      </c>
      <c r="C269" s="87">
        <v>436.55</v>
      </c>
      <c r="D269" s="88">
        <v>0.2</v>
      </c>
      <c r="E269" s="87">
        <f t="shared" si="1"/>
        <v>349.24</v>
      </c>
      <c r="F269" s="20" t="s">
        <v>131</v>
      </c>
      <c r="G269" s="20" t="s">
        <v>132</v>
      </c>
    </row>
    <row r="270" ht="19.5" customHeight="1">
      <c r="A270" s="85" t="s">
        <v>660</v>
      </c>
      <c r="B270" s="20" t="s">
        <v>661</v>
      </c>
      <c r="C270" s="87">
        <v>149.71</v>
      </c>
      <c r="D270" s="88">
        <v>0.2</v>
      </c>
      <c r="E270" s="87">
        <f t="shared" si="1"/>
        <v>119.768</v>
      </c>
      <c r="F270" s="20" t="s">
        <v>131</v>
      </c>
      <c r="G270" s="20" t="s">
        <v>132</v>
      </c>
    </row>
    <row r="271" ht="19.5" customHeight="1">
      <c r="A271" s="85" t="s">
        <v>662</v>
      </c>
      <c r="B271" s="20" t="s">
        <v>663</v>
      </c>
      <c r="C271" s="87">
        <v>224.57</v>
      </c>
      <c r="D271" s="88">
        <v>0.2</v>
      </c>
      <c r="E271" s="87">
        <f t="shared" si="1"/>
        <v>179.656</v>
      </c>
      <c r="F271" s="20" t="s">
        <v>131</v>
      </c>
      <c r="G271" s="20" t="s">
        <v>132</v>
      </c>
    </row>
    <row r="272" ht="19.5" customHeight="1">
      <c r="A272" s="85" t="s">
        <v>664</v>
      </c>
      <c r="B272" s="20" t="s">
        <v>665</v>
      </c>
      <c r="C272" s="87">
        <v>299.43</v>
      </c>
      <c r="D272" s="88">
        <v>0.2</v>
      </c>
      <c r="E272" s="87">
        <f t="shared" si="1"/>
        <v>239.544</v>
      </c>
      <c r="F272" s="20" t="s">
        <v>131</v>
      </c>
      <c r="G272" s="20" t="s">
        <v>132</v>
      </c>
    </row>
    <row r="273" ht="19.5" customHeight="1">
      <c r="A273" s="85" t="s">
        <v>666</v>
      </c>
      <c r="B273" s="20" t="s">
        <v>667</v>
      </c>
      <c r="C273" s="87">
        <v>449.14</v>
      </c>
      <c r="D273" s="88">
        <v>0.2</v>
      </c>
      <c r="E273" s="87">
        <f t="shared" si="1"/>
        <v>359.312</v>
      </c>
      <c r="F273" s="20" t="s">
        <v>131</v>
      </c>
      <c r="G273" s="20" t="s">
        <v>132</v>
      </c>
    </row>
    <row r="274" ht="19.5" customHeight="1">
      <c r="A274" s="85" t="s">
        <v>668</v>
      </c>
      <c r="B274" s="20" t="s">
        <v>669</v>
      </c>
      <c r="C274" s="87">
        <v>167.9</v>
      </c>
      <c r="D274" s="88">
        <v>0.2</v>
      </c>
      <c r="E274" s="87">
        <f t="shared" si="1"/>
        <v>134.32</v>
      </c>
      <c r="F274" s="20" t="s">
        <v>131</v>
      </c>
      <c r="G274" s="20" t="s">
        <v>132</v>
      </c>
    </row>
    <row r="275" ht="19.5" customHeight="1">
      <c r="A275" s="85" t="s">
        <v>670</v>
      </c>
      <c r="B275" s="20" t="s">
        <v>671</v>
      </c>
      <c r="C275" s="87">
        <v>251.86</v>
      </c>
      <c r="D275" s="88">
        <v>0.2</v>
      </c>
      <c r="E275" s="87">
        <f t="shared" si="1"/>
        <v>201.488</v>
      </c>
      <c r="F275" s="20" t="s">
        <v>131</v>
      </c>
      <c r="G275" s="20" t="s">
        <v>132</v>
      </c>
    </row>
    <row r="276" ht="19.5" customHeight="1">
      <c r="A276" s="85" t="s">
        <v>672</v>
      </c>
      <c r="B276" s="20" t="s">
        <v>673</v>
      </c>
      <c r="C276" s="87">
        <v>335.81</v>
      </c>
      <c r="D276" s="88">
        <v>0.2</v>
      </c>
      <c r="E276" s="87">
        <f t="shared" si="1"/>
        <v>268.648</v>
      </c>
      <c r="F276" s="20" t="s">
        <v>131</v>
      </c>
      <c r="G276" s="20" t="s">
        <v>132</v>
      </c>
    </row>
    <row r="277" ht="19.5" customHeight="1">
      <c r="A277" s="85" t="s">
        <v>674</v>
      </c>
      <c r="B277" s="20" t="s">
        <v>675</v>
      </c>
      <c r="C277" s="87">
        <v>503.71</v>
      </c>
      <c r="D277" s="88">
        <v>0.2</v>
      </c>
      <c r="E277" s="87">
        <f t="shared" si="1"/>
        <v>402.968</v>
      </c>
      <c r="F277" s="20" t="s">
        <v>131</v>
      </c>
      <c r="G277" s="20" t="s">
        <v>132</v>
      </c>
    </row>
    <row r="278" ht="19.5" customHeight="1">
      <c r="A278" s="85" t="s">
        <v>676</v>
      </c>
      <c r="B278" s="20" t="s">
        <v>677</v>
      </c>
      <c r="C278" s="87">
        <v>153.91</v>
      </c>
      <c r="D278" s="88">
        <v>0.2</v>
      </c>
      <c r="E278" s="87">
        <f t="shared" si="1"/>
        <v>123.128</v>
      </c>
      <c r="F278" s="20" t="s">
        <v>131</v>
      </c>
      <c r="G278" s="20" t="s">
        <v>132</v>
      </c>
    </row>
    <row r="279" ht="19.5" customHeight="1">
      <c r="A279" s="85" t="s">
        <v>678</v>
      </c>
      <c r="B279" s="20" t="s">
        <v>679</v>
      </c>
      <c r="C279" s="87">
        <v>230.87</v>
      </c>
      <c r="D279" s="88">
        <v>0.2</v>
      </c>
      <c r="E279" s="87">
        <f t="shared" si="1"/>
        <v>184.696</v>
      </c>
      <c r="F279" s="20" t="s">
        <v>131</v>
      </c>
      <c r="G279" s="20" t="s">
        <v>132</v>
      </c>
    </row>
    <row r="280" ht="19.5" customHeight="1">
      <c r="A280" s="85" t="s">
        <v>680</v>
      </c>
      <c r="B280" s="20" t="s">
        <v>681</v>
      </c>
      <c r="C280" s="87">
        <v>307.82</v>
      </c>
      <c r="D280" s="88">
        <v>0.2</v>
      </c>
      <c r="E280" s="87">
        <f t="shared" si="1"/>
        <v>246.256</v>
      </c>
      <c r="F280" s="20" t="s">
        <v>131</v>
      </c>
      <c r="G280" s="20" t="s">
        <v>132</v>
      </c>
    </row>
    <row r="281" ht="19.5" customHeight="1">
      <c r="A281" s="85" t="s">
        <v>682</v>
      </c>
      <c r="B281" s="20" t="s">
        <v>683</v>
      </c>
      <c r="C281" s="87">
        <v>461.74</v>
      </c>
      <c r="D281" s="88">
        <v>0.2</v>
      </c>
      <c r="E281" s="87">
        <f t="shared" si="1"/>
        <v>369.392</v>
      </c>
      <c r="F281" s="20" t="s">
        <v>131</v>
      </c>
      <c r="G281" s="20" t="s">
        <v>132</v>
      </c>
    </row>
    <row r="282" ht="19.5" customHeight="1">
      <c r="A282" s="85" t="s">
        <v>684</v>
      </c>
      <c r="B282" s="20" t="s">
        <v>685</v>
      </c>
      <c r="C282" s="87">
        <v>160.91</v>
      </c>
      <c r="D282" s="88">
        <v>0.2</v>
      </c>
      <c r="E282" s="87">
        <f t="shared" si="1"/>
        <v>128.728</v>
      </c>
      <c r="F282" s="20" t="s">
        <v>131</v>
      </c>
      <c r="G282" s="20" t="s">
        <v>132</v>
      </c>
    </row>
    <row r="283" ht="19.5" customHeight="1">
      <c r="A283" s="85" t="s">
        <v>686</v>
      </c>
      <c r="B283" s="20" t="s">
        <v>687</v>
      </c>
      <c r="C283" s="87">
        <v>241.36</v>
      </c>
      <c r="D283" s="88">
        <v>0.2</v>
      </c>
      <c r="E283" s="87">
        <f t="shared" si="1"/>
        <v>193.088</v>
      </c>
      <c r="F283" s="20" t="s">
        <v>131</v>
      </c>
      <c r="G283" s="20" t="s">
        <v>132</v>
      </c>
    </row>
    <row r="284" ht="19.5" customHeight="1">
      <c r="A284" s="85" t="s">
        <v>688</v>
      </c>
      <c r="B284" s="20" t="s">
        <v>689</v>
      </c>
      <c r="C284" s="87">
        <v>321.82</v>
      </c>
      <c r="D284" s="88">
        <v>0.2</v>
      </c>
      <c r="E284" s="87">
        <f t="shared" si="1"/>
        <v>257.456</v>
      </c>
      <c r="F284" s="20" t="s">
        <v>131</v>
      </c>
      <c r="G284" s="20" t="s">
        <v>132</v>
      </c>
    </row>
    <row r="285" ht="19.5" customHeight="1">
      <c r="A285" s="85" t="s">
        <v>690</v>
      </c>
      <c r="B285" s="20" t="s">
        <v>691</v>
      </c>
      <c r="C285" s="87">
        <v>482.72</v>
      </c>
      <c r="D285" s="88">
        <v>0.2</v>
      </c>
      <c r="E285" s="87">
        <f t="shared" si="1"/>
        <v>386.176</v>
      </c>
      <c r="F285" s="20" t="s">
        <v>131</v>
      </c>
      <c r="G285" s="20" t="s">
        <v>132</v>
      </c>
    </row>
    <row r="286" ht="19.5" customHeight="1">
      <c r="A286" s="85" t="s">
        <v>692</v>
      </c>
      <c r="B286" s="20" t="s">
        <v>693</v>
      </c>
      <c r="C286" s="87">
        <v>14.23</v>
      </c>
      <c r="D286" s="88">
        <v>0.2</v>
      </c>
      <c r="E286" s="87">
        <f t="shared" si="1"/>
        <v>11.384</v>
      </c>
      <c r="F286" s="20" t="s">
        <v>131</v>
      </c>
      <c r="G286" s="20" t="s">
        <v>132</v>
      </c>
    </row>
    <row r="287" ht="19.5" customHeight="1">
      <c r="A287" s="85" t="s">
        <v>35</v>
      </c>
      <c r="B287" s="20" t="s">
        <v>694</v>
      </c>
      <c r="C287" s="87">
        <v>1.717</v>
      </c>
      <c r="D287" s="88">
        <v>0.2</v>
      </c>
      <c r="E287" s="87">
        <f t="shared" si="1"/>
        <v>1.3736</v>
      </c>
      <c r="F287" s="20" t="s">
        <v>127</v>
      </c>
      <c r="G287" s="20" t="s">
        <v>128</v>
      </c>
    </row>
    <row r="288" ht="19.5" customHeight="1">
      <c r="A288" s="85" t="s">
        <v>695</v>
      </c>
      <c r="B288" s="20" t="s">
        <v>696</v>
      </c>
      <c r="C288" s="87">
        <v>14.14</v>
      </c>
      <c r="D288" s="88">
        <v>0.2</v>
      </c>
      <c r="E288" s="87">
        <f t="shared" si="1"/>
        <v>11.312</v>
      </c>
      <c r="F288" s="20" t="s">
        <v>131</v>
      </c>
      <c r="G288" s="20" t="s">
        <v>132</v>
      </c>
    </row>
    <row r="289" ht="19.5" customHeight="1">
      <c r="A289" s="85" t="s">
        <v>36</v>
      </c>
      <c r="B289" s="20" t="s">
        <v>697</v>
      </c>
      <c r="C289" s="87">
        <v>5.58</v>
      </c>
      <c r="D289" s="88">
        <v>0.2</v>
      </c>
      <c r="E289" s="87">
        <f t="shared" si="1"/>
        <v>4.464</v>
      </c>
      <c r="F289" s="20" t="s">
        <v>127</v>
      </c>
      <c r="G289" s="20" t="s">
        <v>128</v>
      </c>
    </row>
    <row r="290" ht="19.5" customHeight="1">
      <c r="A290" s="85" t="s">
        <v>698</v>
      </c>
      <c r="B290" s="20" t="s">
        <v>699</v>
      </c>
      <c r="C290" s="87">
        <v>157.95</v>
      </c>
      <c r="D290" s="88">
        <v>0.2</v>
      </c>
      <c r="E290" s="87">
        <f t="shared" si="1"/>
        <v>126.36</v>
      </c>
      <c r="F290" s="20" t="s">
        <v>131</v>
      </c>
      <c r="G290" s="20" t="s">
        <v>132</v>
      </c>
    </row>
    <row r="291" ht="19.5" customHeight="1">
      <c r="A291" s="85" t="s">
        <v>700</v>
      </c>
      <c r="B291" s="20" t="s">
        <v>701</v>
      </c>
      <c r="C291" s="87">
        <v>157.95</v>
      </c>
      <c r="D291" s="88">
        <v>0.2</v>
      </c>
      <c r="E291" s="87">
        <f t="shared" si="1"/>
        <v>126.36</v>
      </c>
      <c r="F291" s="20" t="s">
        <v>131</v>
      </c>
      <c r="G291" s="20" t="s">
        <v>132</v>
      </c>
    </row>
    <row r="292" ht="19.5" customHeight="1">
      <c r="A292" s="85" t="s">
        <v>702</v>
      </c>
      <c r="B292" s="20" t="s">
        <v>703</v>
      </c>
      <c r="C292" s="87">
        <v>157.95</v>
      </c>
      <c r="D292" s="88">
        <v>0.2</v>
      </c>
      <c r="E292" s="87">
        <f t="shared" si="1"/>
        <v>126.36</v>
      </c>
      <c r="F292" s="20" t="s">
        <v>131</v>
      </c>
      <c r="G292" s="20" t="s">
        <v>132</v>
      </c>
    </row>
    <row r="293" ht="19.5" customHeight="1">
      <c r="A293" s="85" t="s">
        <v>704</v>
      </c>
      <c r="B293" s="20" t="s">
        <v>705</v>
      </c>
      <c r="C293" s="87">
        <v>138.2</v>
      </c>
      <c r="D293" s="88">
        <v>0.2</v>
      </c>
      <c r="E293" s="87">
        <f t="shared" si="1"/>
        <v>110.56</v>
      </c>
      <c r="F293" s="20" t="s">
        <v>131</v>
      </c>
      <c r="G293" s="20" t="s">
        <v>132</v>
      </c>
    </row>
    <row r="294" ht="19.5" customHeight="1">
      <c r="A294" s="85" t="s">
        <v>706</v>
      </c>
      <c r="B294" s="20" t="s">
        <v>707</v>
      </c>
      <c r="C294" s="87">
        <v>265.81</v>
      </c>
      <c r="D294" s="88">
        <v>0.2</v>
      </c>
      <c r="E294" s="87">
        <f t="shared" si="1"/>
        <v>212.648</v>
      </c>
      <c r="F294" s="20" t="s">
        <v>131</v>
      </c>
      <c r="G294" s="20" t="s">
        <v>132</v>
      </c>
    </row>
    <row r="295" ht="19.5" customHeight="1">
      <c r="A295" s="85" t="s">
        <v>708</v>
      </c>
      <c r="B295" s="20" t="s">
        <v>709</v>
      </c>
      <c r="C295" s="87">
        <v>265.81</v>
      </c>
      <c r="D295" s="88">
        <v>0.2</v>
      </c>
      <c r="E295" s="87">
        <f t="shared" si="1"/>
        <v>212.648</v>
      </c>
      <c r="F295" s="20" t="s">
        <v>131</v>
      </c>
      <c r="G295" s="20" t="s">
        <v>132</v>
      </c>
    </row>
    <row r="296" ht="19.5" customHeight="1">
      <c r="A296" s="85" t="s">
        <v>710</v>
      </c>
      <c r="B296" s="20" t="s">
        <v>711</v>
      </c>
      <c r="C296" s="87">
        <v>0.0</v>
      </c>
      <c r="D296" s="88">
        <v>0.2</v>
      </c>
      <c r="E296" s="87">
        <f t="shared" si="1"/>
        <v>0</v>
      </c>
      <c r="F296" s="20" t="s">
        <v>131</v>
      </c>
      <c r="G296" s="20" t="s">
        <v>132</v>
      </c>
    </row>
    <row r="297" ht="19.5" customHeight="1">
      <c r="A297" s="85" t="s">
        <v>712</v>
      </c>
      <c r="B297" s="20" t="s">
        <v>713</v>
      </c>
      <c r="C297" s="87">
        <v>0.0</v>
      </c>
      <c r="D297" s="88">
        <v>0.2</v>
      </c>
      <c r="E297" s="87">
        <f t="shared" si="1"/>
        <v>0</v>
      </c>
      <c r="F297" s="20" t="s">
        <v>131</v>
      </c>
      <c r="G297" s="20" t="s">
        <v>132</v>
      </c>
    </row>
    <row r="298" ht="19.5" customHeight="1">
      <c r="A298" s="85" t="s">
        <v>714</v>
      </c>
      <c r="B298" s="20" t="s">
        <v>715</v>
      </c>
      <c r="C298" s="87">
        <v>276.44</v>
      </c>
      <c r="D298" s="88">
        <v>0.2</v>
      </c>
      <c r="E298" s="87">
        <f t="shared" si="1"/>
        <v>221.152</v>
      </c>
      <c r="F298" s="20" t="s">
        <v>131</v>
      </c>
      <c r="G298" s="20" t="s">
        <v>132</v>
      </c>
    </row>
    <row r="299" ht="19.5" customHeight="1">
      <c r="A299" s="85" t="s">
        <v>716</v>
      </c>
      <c r="B299" s="20" t="s">
        <v>717</v>
      </c>
      <c r="C299" s="87">
        <v>284.42</v>
      </c>
      <c r="D299" s="88">
        <v>0.2</v>
      </c>
      <c r="E299" s="87">
        <f t="shared" si="1"/>
        <v>227.536</v>
      </c>
      <c r="F299" s="20" t="s">
        <v>131</v>
      </c>
      <c r="G299" s="20" t="s">
        <v>132</v>
      </c>
    </row>
    <row r="300" ht="19.5" customHeight="1">
      <c r="A300" s="85" t="s">
        <v>718</v>
      </c>
      <c r="B300" s="20" t="s">
        <v>719</v>
      </c>
      <c r="C300" s="87">
        <v>318.97</v>
      </c>
      <c r="D300" s="88">
        <v>0.2</v>
      </c>
      <c r="E300" s="87">
        <f t="shared" si="1"/>
        <v>255.176</v>
      </c>
      <c r="F300" s="20" t="s">
        <v>131</v>
      </c>
      <c r="G300" s="20" t="s">
        <v>132</v>
      </c>
    </row>
    <row r="301" ht="19.5" customHeight="1">
      <c r="A301" s="85" t="s">
        <v>720</v>
      </c>
      <c r="B301" s="20" t="s">
        <v>721</v>
      </c>
      <c r="C301" s="87">
        <v>292.39</v>
      </c>
      <c r="D301" s="88">
        <v>0.2</v>
      </c>
      <c r="E301" s="87">
        <f t="shared" si="1"/>
        <v>233.912</v>
      </c>
      <c r="F301" s="20" t="s">
        <v>131</v>
      </c>
      <c r="G301" s="20" t="s">
        <v>132</v>
      </c>
    </row>
    <row r="302" ht="19.5" customHeight="1">
      <c r="A302" s="85" t="s">
        <v>722</v>
      </c>
      <c r="B302" s="20" t="s">
        <v>723</v>
      </c>
      <c r="C302" s="87">
        <v>305.68</v>
      </c>
      <c r="D302" s="88">
        <v>0.2</v>
      </c>
      <c r="E302" s="87">
        <f t="shared" si="1"/>
        <v>244.544</v>
      </c>
      <c r="F302" s="20" t="s">
        <v>131</v>
      </c>
      <c r="G302" s="20" t="s">
        <v>132</v>
      </c>
    </row>
    <row r="303" ht="19.5" customHeight="1">
      <c r="A303" s="85" t="s">
        <v>724</v>
      </c>
      <c r="B303" s="20" t="s">
        <v>725</v>
      </c>
      <c r="C303" s="87">
        <v>265.81</v>
      </c>
      <c r="D303" s="88">
        <v>0.2</v>
      </c>
      <c r="E303" s="87">
        <f t="shared" si="1"/>
        <v>212.648</v>
      </c>
      <c r="F303" s="20" t="s">
        <v>131</v>
      </c>
      <c r="G303" s="20" t="s">
        <v>132</v>
      </c>
    </row>
    <row r="304" ht="19.5" customHeight="1">
      <c r="A304" s="85" t="s">
        <v>726</v>
      </c>
      <c r="B304" s="20" t="s">
        <v>727</v>
      </c>
      <c r="C304" s="87">
        <v>265.81</v>
      </c>
      <c r="D304" s="88">
        <v>0.2</v>
      </c>
      <c r="E304" s="87">
        <f t="shared" si="1"/>
        <v>212.648</v>
      </c>
      <c r="F304" s="20" t="s">
        <v>131</v>
      </c>
      <c r="G304" s="20" t="s">
        <v>132</v>
      </c>
    </row>
    <row r="305" ht="19.5" customHeight="1">
      <c r="A305" s="85" t="s">
        <v>728</v>
      </c>
      <c r="B305" s="20" t="s">
        <v>729</v>
      </c>
      <c r="C305" s="87">
        <v>265.81</v>
      </c>
      <c r="D305" s="88">
        <v>0.2</v>
      </c>
      <c r="E305" s="87">
        <f t="shared" si="1"/>
        <v>212.648</v>
      </c>
      <c r="F305" s="20" t="s">
        <v>131</v>
      </c>
      <c r="G305" s="20" t="s">
        <v>132</v>
      </c>
    </row>
    <row r="306" ht="19.5" customHeight="1">
      <c r="A306" s="85" t="s">
        <v>730</v>
      </c>
      <c r="B306" s="20" t="s">
        <v>731</v>
      </c>
      <c r="C306" s="87">
        <v>265.81</v>
      </c>
      <c r="D306" s="88">
        <v>0.2</v>
      </c>
      <c r="E306" s="87">
        <f t="shared" si="1"/>
        <v>212.648</v>
      </c>
      <c r="F306" s="20" t="s">
        <v>131</v>
      </c>
      <c r="G306" s="20" t="s">
        <v>132</v>
      </c>
    </row>
    <row r="307" ht="19.5" customHeight="1">
      <c r="A307" s="85" t="s">
        <v>732</v>
      </c>
      <c r="B307" s="20" t="s">
        <v>733</v>
      </c>
      <c r="C307" s="87">
        <v>265.81</v>
      </c>
      <c r="D307" s="88">
        <v>0.2</v>
      </c>
      <c r="E307" s="87">
        <f t="shared" si="1"/>
        <v>212.648</v>
      </c>
      <c r="F307" s="20" t="s">
        <v>131</v>
      </c>
      <c r="G307" s="20" t="s">
        <v>132</v>
      </c>
    </row>
    <row r="308" ht="19.5" customHeight="1">
      <c r="A308" s="85" t="s">
        <v>734</v>
      </c>
      <c r="B308" s="20" t="s">
        <v>735</v>
      </c>
      <c r="C308" s="87">
        <v>265.81</v>
      </c>
      <c r="D308" s="88">
        <v>0.2</v>
      </c>
      <c r="E308" s="87">
        <f t="shared" si="1"/>
        <v>212.648</v>
      </c>
      <c r="F308" s="20" t="s">
        <v>131</v>
      </c>
      <c r="G308" s="20" t="s">
        <v>132</v>
      </c>
    </row>
    <row r="309" ht="19.5" customHeight="1">
      <c r="A309" s="85" t="s">
        <v>736</v>
      </c>
      <c r="B309" s="20" t="s">
        <v>737</v>
      </c>
      <c r="C309" s="87">
        <v>265.81</v>
      </c>
      <c r="D309" s="88">
        <v>0.2</v>
      </c>
      <c r="E309" s="87">
        <f t="shared" si="1"/>
        <v>212.648</v>
      </c>
      <c r="F309" s="20" t="s">
        <v>131</v>
      </c>
      <c r="G309" s="20" t="s">
        <v>132</v>
      </c>
    </row>
    <row r="310" ht="19.5" customHeight="1">
      <c r="A310" s="85" t="s">
        <v>738</v>
      </c>
      <c r="B310" s="20" t="s">
        <v>739</v>
      </c>
      <c r="C310" s="87">
        <v>265.81</v>
      </c>
      <c r="D310" s="88">
        <v>0.2</v>
      </c>
      <c r="E310" s="87">
        <f t="shared" si="1"/>
        <v>212.648</v>
      </c>
      <c r="F310" s="20" t="s">
        <v>131</v>
      </c>
      <c r="G310" s="20" t="s">
        <v>132</v>
      </c>
    </row>
    <row r="311" ht="19.5" customHeight="1">
      <c r="A311" s="85" t="s">
        <v>740</v>
      </c>
      <c r="B311" s="20" t="s">
        <v>741</v>
      </c>
      <c r="C311" s="87">
        <v>265.81</v>
      </c>
      <c r="D311" s="88">
        <v>0.2</v>
      </c>
      <c r="E311" s="87">
        <f t="shared" si="1"/>
        <v>212.648</v>
      </c>
      <c r="F311" s="20" t="s">
        <v>131</v>
      </c>
      <c r="G311" s="20" t="s">
        <v>132</v>
      </c>
    </row>
    <row r="312" ht="19.5" customHeight="1">
      <c r="A312" s="85" t="s">
        <v>742</v>
      </c>
      <c r="B312" s="20" t="s">
        <v>743</v>
      </c>
      <c r="C312" s="87">
        <v>0.0</v>
      </c>
      <c r="D312" s="88">
        <v>0.2</v>
      </c>
      <c r="E312" s="87">
        <f t="shared" si="1"/>
        <v>0</v>
      </c>
      <c r="F312" s="20" t="s">
        <v>131</v>
      </c>
      <c r="G312" s="20" t="s">
        <v>132</v>
      </c>
    </row>
    <row r="313" ht="19.5" customHeight="1">
      <c r="A313" s="85" t="s">
        <v>744</v>
      </c>
      <c r="B313" s="20" t="s">
        <v>745</v>
      </c>
      <c r="C313" s="87">
        <v>0.0</v>
      </c>
      <c r="D313" s="88">
        <v>0.2</v>
      </c>
      <c r="E313" s="87">
        <f t="shared" si="1"/>
        <v>0</v>
      </c>
      <c r="F313" s="20" t="s">
        <v>131</v>
      </c>
      <c r="G313" s="20" t="s">
        <v>132</v>
      </c>
    </row>
    <row r="314" ht="19.5" customHeight="1">
      <c r="A314" s="85" t="s">
        <v>746</v>
      </c>
      <c r="B314" s="20" t="s">
        <v>747</v>
      </c>
      <c r="C314" s="87">
        <v>276.44</v>
      </c>
      <c r="D314" s="88">
        <v>0.2</v>
      </c>
      <c r="E314" s="87">
        <f t="shared" si="1"/>
        <v>221.152</v>
      </c>
      <c r="F314" s="20" t="s">
        <v>131</v>
      </c>
      <c r="G314" s="20" t="s">
        <v>132</v>
      </c>
    </row>
    <row r="315" ht="19.5" customHeight="1">
      <c r="A315" s="85" t="s">
        <v>748</v>
      </c>
      <c r="B315" s="20" t="s">
        <v>749</v>
      </c>
      <c r="C315" s="87">
        <v>284.42</v>
      </c>
      <c r="D315" s="88">
        <v>0.2</v>
      </c>
      <c r="E315" s="87">
        <f t="shared" si="1"/>
        <v>227.536</v>
      </c>
      <c r="F315" s="20" t="s">
        <v>131</v>
      </c>
      <c r="G315" s="20" t="s">
        <v>132</v>
      </c>
    </row>
    <row r="316" ht="19.5" customHeight="1">
      <c r="A316" s="85" t="s">
        <v>750</v>
      </c>
      <c r="B316" s="20" t="s">
        <v>751</v>
      </c>
      <c r="C316" s="87">
        <v>318.97</v>
      </c>
      <c r="D316" s="88">
        <v>0.2</v>
      </c>
      <c r="E316" s="87">
        <f t="shared" si="1"/>
        <v>255.176</v>
      </c>
      <c r="F316" s="20" t="s">
        <v>131</v>
      </c>
      <c r="G316" s="20" t="s">
        <v>132</v>
      </c>
    </row>
    <row r="317" ht="19.5" customHeight="1">
      <c r="A317" s="85" t="s">
        <v>752</v>
      </c>
      <c r="B317" s="20" t="s">
        <v>753</v>
      </c>
      <c r="C317" s="87">
        <v>292.39</v>
      </c>
      <c r="D317" s="88">
        <v>0.2</v>
      </c>
      <c r="E317" s="87">
        <f t="shared" si="1"/>
        <v>233.912</v>
      </c>
      <c r="F317" s="20" t="s">
        <v>131</v>
      </c>
      <c r="G317" s="20" t="s">
        <v>132</v>
      </c>
    </row>
    <row r="318" ht="19.5" customHeight="1">
      <c r="A318" s="85" t="s">
        <v>754</v>
      </c>
      <c r="B318" s="20" t="s">
        <v>755</v>
      </c>
      <c r="C318" s="87">
        <v>305.68</v>
      </c>
      <c r="D318" s="88">
        <v>0.2</v>
      </c>
      <c r="E318" s="87">
        <f t="shared" si="1"/>
        <v>244.544</v>
      </c>
      <c r="F318" s="20" t="s">
        <v>131</v>
      </c>
      <c r="G318" s="20" t="s">
        <v>132</v>
      </c>
    </row>
    <row r="319" ht="19.5" customHeight="1">
      <c r="A319" s="85" t="s">
        <v>756</v>
      </c>
      <c r="B319" s="20" t="s">
        <v>757</v>
      </c>
      <c r="C319" s="87">
        <v>265.81</v>
      </c>
      <c r="D319" s="88">
        <v>0.2</v>
      </c>
      <c r="E319" s="87">
        <f t="shared" si="1"/>
        <v>212.648</v>
      </c>
      <c r="F319" s="20" t="s">
        <v>131</v>
      </c>
      <c r="G319" s="20" t="s">
        <v>132</v>
      </c>
    </row>
    <row r="320" ht="19.5" customHeight="1">
      <c r="A320" s="85" t="s">
        <v>758</v>
      </c>
      <c r="B320" s="20" t="s">
        <v>759</v>
      </c>
      <c r="C320" s="87">
        <v>265.81</v>
      </c>
      <c r="D320" s="88">
        <v>0.2</v>
      </c>
      <c r="E320" s="87">
        <f t="shared" si="1"/>
        <v>212.648</v>
      </c>
      <c r="F320" s="20" t="s">
        <v>131</v>
      </c>
      <c r="G320" s="20" t="s">
        <v>132</v>
      </c>
    </row>
    <row r="321" ht="19.5" customHeight="1">
      <c r="A321" s="85" t="s">
        <v>760</v>
      </c>
      <c r="B321" s="20" t="s">
        <v>761</v>
      </c>
      <c r="C321" s="87">
        <v>265.81</v>
      </c>
      <c r="D321" s="88">
        <v>0.2</v>
      </c>
      <c r="E321" s="87">
        <f t="shared" si="1"/>
        <v>212.648</v>
      </c>
      <c r="F321" s="20" t="s">
        <v>131</v>
      </c>
      <c r="G321" s="20" t="s">
        <v>132</v>
      </c>
    </row>
    <row r="322" ht="19.5" customHeight="1">
      <c r="A322" s="85" t="s">
        <v>762</v>
      </c>
      <c r="B322" s="20" t="s">
        <v>763</v>
      </c>
      <c r="C322" s="87">
        <v>265.81</v>
      </c>
      <c r="D322" s="88">
        <v>0.2</v>
      </c>
      <c r="E322" s="87">
        <f t="shared" si="1"/>
        <v>212.648</v>
      </c>
      <c r="F322" s="20" t="s">
        <v>131</v>
      </c>
      <c r="G322" s="20" t="s">
        <v>132</v>
      </c>
    </row>
    <row r="323" ht="19.5" customHeight="1">
      <c r="A323" s="85" t="s">
        <v>764</v>
      </c>
      <c r="B323" s="20" t="s">
        <v>765</v>
      </c>
      <c r="C323" s="87">
        <v>265.81</v>
      </c>
      <c r="D323" s="88">
        <v>0.2</v>
      </c>
      <c r="E323" s="87">
        <f t="shared" si="1"/>
        <v>212.648</v>
      </c>
      <c r="F323" s="20" t="s">
        <v>131</v>
      </c>
      <c r="G323" s="20" t="s">
        <v>132</v>
      </c>
    </row>
    <row r="324" ht="19.5" customHeight="1">
      <c r="A324" s="85" t="s">
        <v>766</v>
      </c>
      <c r="B324" s="20" t="s">
        <v>767</v>
      </c>
      <c r="C324" s="87">
        <v>265.81</v>
      </c>
      <c r="D324" s="88">
        <v>0.2</v>
      </c>
      <c r="E324" s="87">
        <f t="shared" si="1"/>
        <v>212.648</v>
      </c>
      <c r="F324" s="20" t="s">
        <v>131</v>
      </c>
      <c r="G324" s="20" t="s">
        <v>132</v>
      </c>
    </row>
    <row r="325" ht="19.5" customHeight="1">
      <c r="A325" s="85" t="s">
        <v>768</v>
      </c>
      <c r="B325" s="20" t="s">
        <v>769</v>
      </c>
      <c r="C325" s="87">
        <v>52.91</v>
      </c>
      <c r="D325" s="88">
        <v>0.2</v>
      </c>
      <c r="E325" s="87">
        <f t="shared" si="1"/>
        <v>42.328</v>
      </c>
      <c r="F325" s="20" t="s">
        <v>131</v>
      </c>
      <c r="G325" s="20" t="s">
        <v>132</v>
      </c>
    </row>
    <row r="326" ht="19.5" customHeight="1">
      <c r="A326" s="85" t="s">
        <v>770</v>
      </c>
      <c r="B326" s="20" t="s">
        <v>771</v>
      </c>
      <c r="C326" s="87">
        <v>52.91</v>
      </c>
      <c r="D326" s="88">
        <v>0.2</v>
      </c>
      <c r="E326" s="87">
        <f t="shared" si="1"/>
        <v>42.328</v>
      </c>
      <c r="F326" s="20" t="s">
        <v>131</v>
      </c>
      <c r="G326" s="20" t="s">
        <v>132</v>
      </c>
    </row>
    <row r="327" ht="19.5" customHeight="1">
      <c r="A327" s="85" t="s">
        <v>772</v>
      </c>
      <c r="B327" s="20" t="s">
        <v>773</v>
      </c>
      <c r="C327" s="87">
        <v>52.89</v>
      </c>
      <c r="D327" s="88">
        <v>0.2</v>
      </c>
      <c r="E327" s="87">
        <f t="shared" si="1"/>
        <v>42.312</v>
      </c>
      <c r="F327" s="20" t="s">
        <v>131</v>
      </c>
      <c r="G327" s="20" t="s">
        <v>132</v>
      </c>
    </row>
    <row r="328" ht="19.5" customHeight="1">
      <c r="A328" s="85" t="s">
        <v>774</v>
      </c>
      <c r="B328" s="20" t="s">
        <v>775</v>
      </c>
      <c r="C328" s="87">
        <v>52.89</v>
      </c>
      <c r="D328" s="88">
        <v>0.2</v>
      </c>
      <c r="E328" s="87">
        <f t="shared" si="1"/>
        <v>42.312</v>
      </c>
      <c r="F328" s="20" t="s">
        <v>131</v>
      </c>
      <c r="G328" s="20" t="s">
        <v>132</v>
      </c>
    </row>
    <row r="329" ht="19.5" customHeight="1">
      <c r="A329" s="85" t="s">
        <v>776</v>
      </c>
      <c r="B329" s="20" t="s">
        <v>777</v>
      </c>
      <c r="C329" s="87">
        <v>1.43</v>
      </c>
      <c r="D329" s="88">
        <v>0.2</v>
      </c>
      <c r="E329" s="87">
        <f t="shared" si="1"/>
        <v>1.144</v>
      </c>
      <c r="F329" s="20" t="s">
        <v>131</v>
      </c>
      <c r="G329" s="20" t="s">
        <v>132</v>
      </c>
    </row>
    <row r="330" ht="19.5" customHeight="1">
      <c r="A330" s="85" t="s">
        <v>778</v>
      </c>
      <c r="B330" s="20" t="s">
        <v>779</v>
      </c>
      <c r="C330" s="87">
        <v>10.44</v>
      </c>
      <c r="D330" s="88">
        <v>0.2</v>
      </c>
      <c r="E330" s="87">
        <f t="shared" si="1"/>
        <v>8.352</v>
      </c>
      <c r="F330" s="20" t="s">
        <v>131</v>
      </c>
      <c r="G330" s="20" t="s">
        <v>132</v>
      </c>
    </row>
    <row r="331" ht="19.5" customHeight="1">
      <c r="A331" s="85" t="s">
        <v>780</v>
      </c>
      <c r="B331" s="20" t="s">
        <v>781</v>
      </c>
      <c r="C331" s="87">
        <v>10.44</v>
      </c>
      <c r="D331" s="88">
        <v>0.2</v>
      </c>
      <c r="E331" s="87">
        <f t="shared" si="1"/>
        <v>8.352</v>
      </c>
      <c r="F331" s="20" t="s">
        <v>131</v>
      </c>
      <c r="G331" s="20" t="s">
        <v>132</v>
      </c>
    </row>
    <row r="332" ht="19.5" customHeight="1">
      <c r="A332" s="85" t="s">
        <v>782</v>
      </c>
      <c r="B332" s="20" t="s">
        <v>783</v>
      </c>
      <c r="C332" s="87">
        <v>0.0</v>
      </c>
      <c r="D332" s="88">
        <v>0.2</v>
      </c>
      <c r="E332" s="87">
        <f t="shared" si="1"/>
        <v>0</v>
      </c>
      <c r="F332" s="20" t="s">
        <v>131</v>
      </c>
      <c r="G332" s="20" t="s">
        <v>132</v>
      </c>
    </row>
    <row r="333" ht="19.5" customHeight="1">
      <c r="A333" s="85" t="s">
        <v>784</v>
      </c>
      <c r="B333" s="20" t="s">
        <v>785</v>
      </c>
      <c r="C333" s="87">
        <v>10.86</v>
      </c>
      <c r="D333" s="88">
        <v>0.2</v>
      </c>
      <c r="E333" s="87">
        <f t="shared" si="1"/>
        <v>8.688</v>
      </c>
      <c r="F333" s="20" t="s">
        <v>131</v>
      </c>
      <c r="G333" s="20" t="s">
        <v>132</v>
      </c>
    </row>
    <row r="334" ht="19.5" customHeight="1">
      <c r="A334" s="85" t="s">
        <v>786</v>
      </c>
      <c r="B334" s="20" t="s">
        <v>787</v>
      </c>
      <c r="C334" s="87">
        <v>11.17</v>
      </c>
      <c r="D334" s="88">
        <v>0.2</v>
      </c>
      <c r="E334" s="87">
        <f t="shared" si="1"/>
        <v>8.936</v>
      </c>
      <c r="F334" s="20" t="s">
        <v>131</v>
      </c>
      <c r="G334" s="20" t="s">
        <v>132</v>
      </c>
    </row>
    <row r="335" ht="19.5" customHeight="1">
      <c r="A335" s="85" t="s">
        <v>788</v>
      </c>
      <c r="B335" s="20" t="s">
        <v>789</v>
      </c>
      <c r="C335" s="87">
        <v>12.53</v>
      </c>
      <c r="D335" s="88">
        <v>0.2</v>
      </c>
      <c r="E335" s="87">
        <f t="shared" si="1"/>
        <v>10.024</v>
      </c>
      <c r="F335" s="20" t="s">
        <v>131</v>
      </c>
      <c r="G335" s="20" t="s">
        <v>132</v>
      </c>
    </row>
    <row r="336" ht="19.5" customHeight="1">
      <c r="A336" s="85" t="s">
        <v>790</v>
      </c>
      <c r="B336" s="20" t="s">
        <v>791</v>
      </c>
      <c r="C336" s="87">
        <v>11.48</v>
      </c>
      <c r="D336" s="88">
        <v>0.2</v>
      </c>
      <c r="E336" s="87">
        <f t="shared" si="1"/>
        <v>9.184</v>
      </c>
      <c r="F336" s="20" t="s">
        <v>131</v>
      </c>
      <c r="G336" s="20" t="s">
        <v>132</v>
      </c>
    </row>
    <row r="337" ht="19.5" customHeight="1">
      <c r="A337" s="85" t="s">
        <v>792</v>
      </c>
      <c r="B337" s="20" t="s">
        <v>793</v>
      </c>
      <c r="C337" s="87">
        <v>12.01</v>
      </c>
      <c r="D337" s="88">
        <v>0.2</v>
      </c>
      <c r="E337" s="87">
        <f t="shared" si="1"/>
        <v>9.608</v>
      </c>
      <c r="F337" s="20" t="s">
        <v>131</v>
      </c>
      <c r="G337" s="20" t="s">
        <v>132</v>
      </c>
    </row>
    <row r="338" ht="19.5" customHeight="1">
      <c r="A338" s="85" t="s">
        <v>794</v>
      </c>
      <c r="B338" s="20" t="s">
        <v>795</v>
      </c>
      <c r="C338" s="87">
        <v>10.44</v>
      </c>
      <c r="D338" s="88">
        <v>0.2</v>
      </c>
      <c r="E338" s="87">
        <f t="shared" si="1"/>
        <v>8.352</v>
      </c>
      <c r="F338" s="20" t="s">
        <v>131</v>
      </c>
      <c r="G338" s="20" t="s">
        <v>132</v>
      </c>
    </row>
    <row r="339" ht="19.5" customHeight="1">
      <c r="A339" s="85" t="s">
        <v>28</v>
      </c>
      <c r="B339" s="20" t="s">
        <v>796</v>
      </c>
      <c r="C339" s="87">
        <v>10.44</v>
      </c>
      <c r="D339" s="88">
        <v>0.2</v>
      </c>
      <c r="E339" s="87">
        <f t="shared" si="1"/>
        <v>8.352</v>
      </c>
      <c r="F339" s="20" t="s">
        <v>131</v>
      </c>
      <c r="G339" s="20" t="s">
        <v>132</v>
      </c>
    </row>
    <row r="340" ht="19.5" customHeight="1">
      <c r="A340" s="85" t="s">
        <v>797</v>
      </c>
      <c r="B340" s="20" t="s">
        <v>798</v>
      </c>
      <c r="C340" s="87">
        <v>16.8</v>
      </c>
      <c r="D340" s="88">
        <v>0.2</v>
      </c>
      <c r="E340" s="87">
        <f t="shared" si="1"/>
        <v>13.44</v>
      </c>
      <c r="F340" s="20" t="s">
        <v>131</v>
      </c>
      <c r="G340" s="20" t="s">
        <v>132</v>
      </c>
    </row>
    <row r="341" ht="19.5" customHeight="1">
      <c r="A341" s="85" t="s">
        <v>799</v>
      </c>
      <c r="B341" s="20" t="s">
        <v>800</v>
      </c>
      <c r="C341" s="87">
        <v>16.8</v>
      </c>
      <c r="D341" s="88">
        <v>0.2</v>
      </c>
      <c r="E341" s="87">
        <f t="shared" si="1"/>
        <v>13.44</v>
      </c>
      <c r="F341" s="20" t="s">
        <v>131</v>
      </c>
      <c r="G341" s="20" t="s">
        <v>132</v>
      </c>
    </row>
    <row r="342" ht="19.5" customHeight="1">
      <c r="A342" s="85" t="s">
        <v>801</v>
      </c>
      <c r="B342" s="20" t="s">
        <v>802</v>
      </c>
      <c r="C342" s="87">
        <v>0.0</v>
      </c>
      <c r="D342" s="88">
        <v>0.2</v>
      </c>
      <c r="E342" s="87">
        <f t="shared" si="1"/>
        <v>0</v>
      </c>
      <c r="F342" s="20" t="s">
        <v>131</v>
      </c>
      <c r="G342" s="20" t="s">
        <v>132</v>
      </c>
    </row>
    <row r="343" ht="19.5" customHeight="1">
      <c r="A343" s="85" t="s">
        <v>803</v>
      </c>
      <c r="B343" s="20" t="s">
        <v>804</v>
      </c>
      <c r="C343" s="87">
        <v>16.8</v>
      </c>
      <c r="D343" s="88">
        <v>0.2</v>
      </c>
      <c r="E343" s="87">
        <f t="shared" si="1"/>
        <v>13.44</v>
      </c>
      <c r="F343" s="20" t="s">
        <v>131</v>
      </c>
      <c r="G343" s="20" t="s">
        <v>132</v>
      </c>
    </row>
    <row r="344" ht="19.5" customHeight="1">
      <c r="A344" s="85" t="s">
        <v>805</v>
      </c>
      <c r="B344" s="20" t="s">
        <v>806</v>
      </c>
      <c r="C344" s="87">
        <v>16.8</v>
      </c>
      <c r="D344" s="88">
        <v>0.2</v>
      </c>
      <c r="E344" s="87">
        <f t="shared" si="1"/>
        <v>13.44</v>
      </c>
      <c r="F344" s="20" t="s">
        <v>131</v>
      </c>
      <c r="G344" s="20" t="s">
        <v>132</v>
      </c>
    </row>
    <row r="345" ht="19.5" customHeight="1">
      <c r="A345" s="85" t="s">
        <v>807</v>
      </c>
      <c r="B345" s="20" t="s">
        <v>808</v>
      </c>
      <c r="C345" s="87">
        <v>16.8</v>
      </c>
      <c r="D345" s="88">
        <v>0.2</v>
      </c>
      <c r="E345" s="87">
        <f t="shared" si="1"/>
        <v>13.44</v>
      </c>
      <c r="F345" s="20" t="s">
        <v>131</v>
      </c>
      <c r="G345" s="20" t="s">
        <v>132</v>
      </c>
    </row>
    <row r="346" ht="19.5" customHeight="1">
      <c r="A346" s="85" t="s">
        <v>809</v>
      </c>
      <c r="B346" s="20" t="s">
        <v>810</v>
      </c>
      <c r="C346" s="87">
        <v>16.8</v>
      </c>
      <c r="D346" s="88">
        <v>0.2</v>
      </c>
      <c r="E346" s="87">
        <f t="shared" si="1"/>
        <v>13.44</v>
      </c>
      <c r="F346" s="20" t="s">
        <v>131</v>
      </c>
      <c r="G346" s="20" t="s">
        <v>132</v>
      </c>
    </row>
    <row r="347" ht="19.5" customHeight="1">
      <c r="A347" s="85" t="s">
        <v>811</v>
      </c>
      <c r="B347" s="20" t="s">
        <v>802</v>
      </c>
      <c r="C347" s="87">
        <v>0.0</v>
      </c>
      <c r="D347" s="88">
        <v>0.2</v>
      </c>
      <c r="E347" s="87">
        <f t="shared" si="1"/>
        <v>0</v>
      </c>
      <c r="F347" s="20" t="s">
        <v>131</v>
      </c>
      <c r="G347" s="20" t="s">
        <v>132</v>
      </c>
    </row>
    <row r="348" ht="19.5" customHeight="1">
      <c r="A348" s="85" t="s">
        <v>812</v>
      </c>
      <c r="B348" s="20" t="s">
        <v>813</v>
      </c>
      <c r="C348" s="87">
        <v>0.0</v>
      </c>
      <c r="D348" s="88">
        <v>0.2</v>
      </c>
      <c r="E348" s="87">
        <f t="shared" si="1"/>
        <v>0</v>
      </c>
      <c r="F348" s="20" t="s">
        <v>131</v>
      </c>
      <c r="G348" s="20" t="s">
        <v>132</v>
      </c>
    </row>
    <row r="349" ht="19.5" customHeight="1">
      <c r="A349" s="85" t="s">
        <v>814</v>
      </c>
      <c r="B349" s="20" t="s">
        <v>815</v>
      </c>
      <c r="C349" s="87">
        <v>16.8</v>
      </c>
      <c r="D349" s="88">
        <v>0.2</v>
      </c>
      <c r="E349" s="87">
        <f t="shared" si="1"/>
        <v>13.44</v>
      </c>
      <c r="F349" s="20" t="s">
        <v>131</v>
      </c>
      <c r="G349" s="20" t="s">
        <v>132</v>
      </c>
    </row>
    <row r="350" ht="19.5" customHeight="1">
      <c r="A350" s="85" t="s">
        <v>816</v>
      </c>
      <c r="B350" s="20" t="s">
        <v>817</v>
      </c>
      <c r="C350" s="87">
        <v>16.8</v>
      </c>
      <c r="D350" s="88">
        <v>0.2</v>
      </c>
      <c r="E350" s="87">
        <f t="shared" si="1"/>
        <v>13.44</v>
      </c>
      <c r="F350" s="20" t="s">
        <v>131</v>
      </c>
      <c r="G350" s="20" t="s">
        <v>132</v>
      </c>
    </row>
    <row r="351" ht="19.5" customHeight="1">
      <c r="A351" s="85" t="s">
        <v>24</v>
      </c>
      <c r="B351" s="20" t="s">
        <v>818</v>
      </c>
      <c r="C351" s="87">
        <v>20.16</v>
      </c>
      <c r="D351" s="88">
        <v>0.2</v>
      </c>
      <c r="E351" s="87">
        <f t="shared" si="1"/>
        <v>16.128</v>
      </c>
      <c r="F351" s="20" t="s">
        <v>131</v>
      </c>
      <c r="G351" s="20" t="s">
        <v>132</v>
      </c>
    </row>
    <row r="352" ht="19.5" customHeight="1">
      <c r="A352" s="85" t="s">
        <v>819</v>
      </c>
      <c r="B352" s="20" t="s">
        <v>820</v>
      </c>
      <c r="C352" s="87">
        <v>36.31</v>
      </c>
      <c r="D352" s="88">
        <v>0.2</v>
      </c>
      <c r="E352" s="87">
        <f t="shared" si="1"/>
        <v>29.048</v>
      </c>
      <c r="F352" s="20" t="s">
        <v>131</v>
      </c>
      <c r="G352" s="20" t="s">
        <v>132</v>
      </c>
    </row>
    <row r="353" ht="19.5" customHeight="1">
      <c r="A353" s="85" t="s">
        <v>821</v>
      </c>
      <c r="B353" s="20" t="s">
        <v>822</v>
      </c>
      <c r="C353" s="87">
        <v>21.3</v>
      </c>
      <c r="D353" s="88">
        <v>0.2</v>
      </c>
      <c r="E353" s="87">
        <f t="shared" si="1"/>
        <v>17.04</v>
      </c>
      <c r="F353" s="20" t="s">
        <v>131</v>
      </c>
      <c r="G353" s="20" t="s">
        <v>132</v>
      </c>
    </row>
    <row r="354" ht="19.5" customHeight="1">
      <c r="A354" s="85" t="s">
        <v>823</v>
      </c>
      <c r="B354" s="20" t="s">
        <v>824</v>
      </c>
      <c r="C354" s="87">
        <v>26.61</v>
      </c>
      <c r="D354" s="88">
        <v>0.2</v>
      </c>
      <c r="E354" s="87">
        <f t="shared" si="1"/>
        <v>21.288</v>
      </c>
      <c r="F354" s="20" t="s">
        <v>131</v>
      </c>
      <c r="G354" s="20" t="s">
        <v>132</v>
      </c>
    </row>
    <row r="355" ht="19.5" customHeight="1">
      <c r="A355" s="85" t="s">
        <v>825</v>
      </c>
      <c r="B355" s="20" t="s">
        <v>826</v>
      </c>
      <c r="C355" s="87">
        <v>37.09</v>
      </c>
      <c r="D355" s="88">
        <v>0.2</v>
      </c>
      <c r="E355" s="87">
        <f t="shared" si="1"/>
        <v>29.672</v>
      </c>
      <c r="F355" s="20" t="s">
        <v>131</v>
      </c>
      <c r="G355" s="20" t="s">
        <v>132</v>
      </c>
    </row>
    <row r="356" ht="19.5" customHeight="1">
      <c r="A356" s="85" t="s">
        <v>20</v>
      </c>
      <c r="B356" s="20" t="s">
        <v>827</v>
      </c>
      <c r="C356" s="87">
        <v>37.09</v>
      </c>
      <c r="D356" s="88">
        <v>0.2</v>
      </c>
      <c r="E356" s="87">
        <f t="shared" si="1"/>
        <v>29.672</v>
      </c>
      <c r="F356" s="20" t="s">
        <v>131</v>
      </c>
      <c r="G356" s="20" t="s">
        <v>132</v>
      </c>
    </row>
    <row r="357" ht="19.5" customHeight="1">
      <c r="A357" s="85" t="s">
        <v>828</v>
      </c>
      <c r="B357" s="20" t="s">
        <v>829</v>
      </c>
      <c r="C357" s="87">
        <v>38.63</v>
      </c>
      <c r="D357" s="88">
        <v>0.2</v>
      </c>
      <c r="E357" s="87">
        <f t="shared" si="1"/>
        <v>30.904</v>
      </c>
      <c r="F357" s="20" t="s">
        <v>131</v>
      </c>
      <c r="G357" s="20" t="s">
        <v>132</v>
      </c>
    </row>
    <row r="358" ht="19.5" customHeight="1">
      <c r="A358" s="85" t="s">
        <v>830</v>
      </c>
      <c r="B358" s="20" t="s">
        <v>831</v>
      </c>
      <c r="C358" s="87">
        <v>38.63</v>
      </c>
      <c r="D358" s="88">
        <v>0.2</v>
      </c>
      <c r="E358" s="87">
        <f t="shared" si="1"/>
        <v>30.904</v>
      </c>
      <c r="F358" s="20" t="s">
        <v>131</v>
      </c>
      <c r="G358" s="20" t="s">
        <v>132</v>
      </c>
    </row>
    <row r="359" ht="19.5" customHeight="1">
      <c r="A359" s="85" t="s">
        <v>832</v>
      </c>
      <c r="B359" s="20" t="s">
        <v>833</v>
      </c>
      <c r="C359" s="87">
        <v>43.37</v>
      </c>
      <c r="D359" s="88">
        <v>0.2</v>
      </c>
      <c r="E359" s="87">
        <f t="shared" si="1"/>
        <v>34.696</v>
      </c>
      <c r="F359" s="20" t="s">
        <v>131</v>
      </c>
      <c r="G359" s="20" t="s">
        <v>132</v>
      </c>
    </row>
    <row r="360" ht="19.5" customHeight="1">
      <c r="A360" s="85" t="s">
        <v>834</v>
      </c>
      <c r="B360" s="20" t="s">
        <v>835</v>
      </c>
      <c r="C360" s="87">
        <v>14.13</v>
      </c>
      <c r="D360" s="88">
        <v>0.2</v>
      </c>
      <c r="E360" s="87">
        <f t="shared" si="1"/>
        <v>11.304</v>
      </c>
      <c r="F360" s="20" t="s">
        <v>131</v>
      </c>
      <c r="G360" s="20" t="s">
        <v>132</v>
      </c>
    </row>
    <row r="361" ht="19.5" customHeight="1">
      <c r="A361" s="85" t="s">
        <v>836</v>
      </c>
      <c r="B361" s="20" t="s">
        <v>837</v>
      </c>
      <c r="C361" s="87">
        <v>35.72</v>
      </c>
      <c r="D361" s="88">
        <v>0.2</v>
      </c>
      <c r="E361" s="87">
        <f t="shared" si="1"/>
        <v>28.576</v>
      </c>
      <c r="F361" s="20" t="s">
        <v>131</v>
      </c>
      <c r="G361" s="20" t="s">
        <v>132</v>
      </c>
    </row>
    <row r="362" ht="19.5" customHeight="1">
      <c r="A362" s="85" t="s">
        <v>838</v>
      </c>
      <c r="B362" s="20" t="s">
        <v>839</v>
      </c>
      <c r="C362" s="87">
        <v>39.24</v>
      </c>
      <c r="D362" s="88">
        <v>0.2</v>
      </c>
      <c r="E362" s="87">
        <f t="shared" si="1"/>
        <v>31.392</v>
      </c>
      <c r="F362" s="20" t="s">
        <v>131</v>
      </c>
      <c r="G362" s="20" t="s">
        <v>132</v>
      </c>
    </row>
    <row r="363" ht="19.5" customHeight="1">
      <c r="A363" s="85" t="s">
        <v>840</v>
      </c>
      <c r="B363" s="20" t="s">
        <v>841</v>
      </c>
      <c r="C363" s="87">
        <v>2.79</v>
      </c>
      <c r="D363" s="88">
        <v>0.2</v>
      </c>
      <c r="E363" s="87">
        <f t="shared" si="1"/>
        <v>2.232</v>
      </c>
      <c r="F363" s="20" t="s">
        <v>131</v>
      </c>
      <c r="G363" s="20" t="s">
        <v>132</v>
      </c>
    </row>
    <row r="364" ht="19.5" customHeight="1">
      <c r="A364" s="85" t="s">
        <v>842</v>
      </c>
      <c r="B364" s="20" t="s">
        <v>843</v>
      </c>
      <c r="C364" s="87">
        <v>1.24</v>
      </c>
      <c r="D364" s="88">
        <v>0.2</v>
      </c>
      <c r="E364" s="87">
        <f t="shared" si="1"/>
        <v>0.992</v>
      </c>
      <c r="F364" s="20" t="s">
        <v>131</v>
      </c>
      <c r="G364" s="20" t="s">
        <v>132</v>
      </c>
    </row>
    <row r="365" ht="19.5" customHeight="1">
      <c r="A365" s="85" t="s">
        <v>844</v>
      </c>
      <c r="B365" s="20" t="s">
        <v>845</v>
      </c>
      <c r="C365" s="87">
        <v>1.98</v>
      </c>
      <c r="D365" s="88">
        <v>0.2</v>
      </c>
      <c r="E365" s="87">
        <f t="shared" si="1"/>
        <v>1.584</v>
      </c>
      <c r="F365" s="20" t="s">
        <v>131</v>
      </c>
      <c r="G365" s="20" t="s">
        <v>132</v>
      </c>
    </row>
    <row r="366" ht="19.5" customHeight="1">
      <c r="A366" s="85" t="s">
        <v>846</v>
      </c>
      <c r="B366" s="20" t="s">
        <v>847</v>
      </c>
      <c r="C366" s="87">
        <v>0.97</v>
      </c>
      <c r="D366" s="88">
        <v>0.2</v>
      </c>
      <c r="E366" s="87">
        <f t="shared" si="1"/>
        <v>0.776</v>
      </c>
      <c r="F366" s="20" t="s">
        <v>131</v>
      </c>
      <c r="G366" s="20" t="s">
        <v>132</v>
      </c>
    </row>
    <row r="367" ht="19.5" customHeight="1">
      <c r="A367" s="85" t="s">
        <v>848</v>
      </c>
      <c r="B367" s="20" t="s">
        <v>849</v>
      </c>
      <c r="C367" s="87">
        <v>0.97</v>
      </c>
      <c r="D367" s="88">
        <v>0.2</v>
      </c>
      <c r="E367" s="87">
        <f t="shared" si="1"/>
        <v>0.776</v>
      </c>
      <c r="F367" s="20" t="s">
        <v>131</v>
      </c>
      <c r="G367" s="20" t="s">
        <v>132</v>
      </c>
    </row>
    <row r="368" ht="19.5" customHeight="1">
      <c r="A368" s="85" t="s">
        <v>850</v>
      </c>
      <c r="B368" s="20" t="s">
        <v>851</v>
      </c>
      <c r="C368" s="87">
        <v>0.97</v>
      </c>
      <c r="D368" s="88">
        <v>0.2</v>
      </c>
      <c r="E368" s="87">
        <f t="shared" si="1"/>
        <v>0.776</v>
      </c>
      <c r="F368" s="20" t="s">
        <v>131</v>
      </c>
      <c r="G368" s="20" t="s">
        <v>132</v>
      </c>
    </row>
    <row r="369" ht="19.5" customHeight="1">
      <c r="A369" s="85" t="s">
        <v>852</v>
      </c>
      <c r="B369" s="20" t="s">
        <v>853</v>
      </c>
      <c r="C369" s="87">
        <v>0.97</v>
      </c>
      <c r="D369" s="88">
        <v>0.2</v>
      </c>
      <c r="E369" s="87">
        <f t="shared" si="1"/>
        <v>0.776</v>
      </c>
      <c r="F369" s="20" t="s">
        <v>131</v>
      </c>
      <c r="G369" s="20" t="s">
        <v>132</v>
      </c>
    </row>
    <row r="370" ht="19.5" customHeight="1">
      <c r="A370" s="85" t="s">
        <v>854</v>
      </c>
      <c r="B370" s="20" t="s">
        <v>855</v>
      </c>
      <c r="C370" s="87">
        <v>90.34</v>
      </c>
      <c r="D370" s="88">
        <v>0.2</v>
      </c>
      <c r="E370" s="87">
        <f t="shared" si="1"/>
        <v>72.272</v>
      </c>
      <c r="F370" s="20" t="s">
        <v>131</v>
      </c>
      <c r="G370" s="20" t="s">
        <v>132</v>
      </c>
    </row>
    <row r="371" ht="19.5" customHeight="1">
      <c r="A371" s="85" t="s">
        <v>856</v>
      </c>
      <c r="B371" s="20" t="s">
        <v>857</v>
      </c>
      <c r="C371" s="87">
        <v>90.34</v>
      </c>
      <c r="D371" s="88">
        <v>0.2</v>
      </c>
      <c r="E371" s="87">
        <f t="shared" si="1"/>
        <v>72.272</v>
      </c>
      <c r="F371" s="20" t="s">
        <v>131</v>
      </c>
      <c r="G371" s="20" t="s">
        <v>132</v>
      </c>
    </row>
    <row r="372" ht="19.5" customHeight="1">
      <c r="A372" s="85" t="s">
        <v>858</v>
      </c>
      <c r="B372" s="20" t="s">
        <v>859</v>
      </c>
      <c r="C372" s="87">
        <v>62.65</v>
      </c>
      <c r="D372" s="88">
        <v>0.2</v>
      </c>
      <c r="E372" s="87">
        <f t="shared" si="1"/>
        <v>50.12</v>
      </c>
      <c r="F372" s="20" t="s">
        <v>131</v>
      </c>
      <c r="G372" s="20" t="s">
        <v>132</v>
      </c>
    </row>
    <row r="373" ht="19.5" customHeight="1">
      <c r="A373" s="85" t="s">
        <v>860</v>
      </c>
      <c r="B373" s="20" t="s">
        <v>861</v>
      </c>
      <c r="C373" s="87">
        <v>62.65</v>
      </c>
      <c r="D373" s="88">
        <v>0.2</v>
      </c>
      <c r="E373" s="87">
        <f t="shared" si="1"/>
        <v>50.12</v>
      </c>
      <c r="F373" s="20" t="s">
        <v>131</v>
      </c>
      <c r="G373" s="20" t="s">
        <v>132</v>
      </c>
    </row>
    <row r="374" ht="19.5" customHeight="1">
      <c r="A374" s="85" t="s">
        <v>862</v>
      </c>
      <c r="B374" s="20" t="s">
        <v>863</v>
      </c>
      <c r="C374" s="87">
        <v>71.66</v>
      </c>
      <c r="D374" s="88">
        <v>0.2</v>
      </c>
      <c r="E374" s="87">
        <f t="shared" si="1"/>
        <v>57.328</v>
      </c>
      <c r="F374" s="20" t="s">
        <v>131</v>
      </c>
      <c r="G374" s="20" t="s">
        <v>132</v>
      </c>
    </row>
    <row r="375" ht="19.5" customHeight="1">
      <c r="A375" s="85" t="s">
        <v>864</v>
      </c>
      <c r="B375" s="20" t="s">
        <v>865</v>
      </c>
      <c r="C375" s="87">
        <v>74.53</v>
      </c>
      <c r="D375" s="88">
        <v>0.2</v>
      </c>
      <c r="E375" s="87">
        <f t="shared" si="1"/>
        <v>59.624</v>
      </c>
      <c r="F375" s="20" t="s">
        <v>131</v>
      </c>
      <c r="G375" s="20" t="s">
        <v>132</v>
      </c>
    </row>
    <row r="376" ht="19.5" customHeight="1">
      <c r="A376" s="85" t="s">
        <v>866</v>
      </c>
      <c r="B376" s="20" t="s">
        <v>867</v>
      </c>
      <c r="C376" s="87">
        <v>76.68</v>
      </c>
      <c r="D376" s="88">
        <v>0.2</v>
      </c>
      <c r="E376" s="87">
        <f t="shared" si="1"/>
        <v>61.344</v>
      </c>
      <c r="F376" s="20" t="s">
        <v>131</v>
      </c>
      <c r="G376" s="20" t="s">
        <v>132</v>
      </c>
    </row>
    <row r="377" ht="19.5" customHeight="1">
      <c r="A377" s="85" t="s">
        <v>868</v>
      </c>
      <c r="B377" s="20" t="s">
        <v>869</v>
      </c>
      <c r="C377" s="87">
        <v>85.99</v>
      </c>
      <c r="D377" s="88">
        <v>0.2</v>
      </c>
      <c r="E377" s="87">
        <f t="shared" si="1"/>
        <v>68.792</v>
      </c>
      <c r="F377" s="20" t="s">
        <v>131</v>
      </c>
      <c r="G377" s="20" t="s">
        <v>132</v>
      </c>
    </row>
    <row r="378" ht="19.5" customHeight="1">
      <c r="A378" s="85" t="s">
        <v>870</v>
      </c>
      <c r="B378" s="20" t="s">
        <v>871</v>
      </c>
      <c r="C378" s="87">
        <v>78.83</v>
      </c>
      <c r="D378" s="88">
        <v>0.2</v>
      </c>
      <c r="E378" s="87">
        <f t="shared" si="1"/>
        <v>63.064</v>
      </c>
      <c r="F378" s="20" t="s">
        <v>131</v>
      </c>
      <c r="G378" s="20" t="s">
        <v>132</v>
      </c>
    </row>
    <row r="379" ht="19.5" customHeight="1">
      <c r="A379" s="85" t="s">
        <v>872</v>
      </c>
      <c r="B379" s="20" t="s">
        <v>873</v>
      </c>
      <c r="C379" s="87">
        <v>82.41</v>
      </c>
      <c r="D379" s="88">
        <v>0.2</v>
      </c>
      <c r="E379" s="87">
        <f t="shared" si="1"/>
        <v>65.928</v>
      </c>
      <c r="F379" s="20" t="s">
        <v>131</v>
      </c>
      <c r="G379" s="20" t="s">
        <v>132</v>
      </c>
    </row>
    <row r="380" ht="19.5" customHeight="1">
      <c r="A380" s="85" t="s">
        <v>874</v>
      </c>
      <c r="B380" s="20" t="s">
        <v>875</v>
      </c>
      <c r="C380" s="87">
        <v>71.66</v>
      </c>
      <c r="D380" s="88">
        <v>0.2</v>
      </c>
      <c r="E380" s="87">
        <f t="shared" si="1"/>
        <v>57.328</v>
      </c>
      <c r="F380" s="20" t="s">
        <v>131</v>
      </c>
      <c r="G380" s="20" t="s">
        <v>132</v>
      </c>
    </row>
    <row r="381" ht="19.5" customHeight="1">
      <c r="A381" s="85" t="s">
        <v>876</v>
      </c>
      <c r="B381" s="20" t="s">
        <v>877</v>
      </c>
      <c r="C381" s="87">
        <v>71.66</v>
      </c>
      <c r="D381" s="88">
        <v>0.2</v>
      </c>
      <c r="E381" s="87">
        <f t="shared" si="1"/>
        <v>57.328</v>
      </c>
      <c r="F381" s="20" t="s">
        <v>131</v>
      </c>
      <c r="G381" s="20" t="s">
        <v>132</v>
      </c>
    </row>
    <row r="382" ht="19.5" customHeight="1">
      <c r="A382" s="85" t="s">
        <v>878</v>
      </c>
      <c r="B382" s="20" t="s">
        <v>879</v>
      </c>
      <c r="C382" s="87">
        <v>64.9</v>
      </c>
      <c r="D382" s="88">
        <v>0.2</v>
      </c>
      <c r="E382" s="87">
        <f t="shared" si="1"/>
        <v>51.92</v>
      </c>
      <c r="F382" s="20" t="s">
        <v>131</v>
      </c>
      <c r="G382" s="20" t="s">
        <v>132</v>
      </c>
    </row>
    <row r="383" ht="19.5" customHeight="1">
      <c r="A383" s="85" t="s">
        <v>880</v>
      </c>
      <c r="B383" s="20" t="s">
        <v>881</v>
      </c>
      <c r="C383" s="87">
        <v>64.9</v>
      </c>
      <c r="D383" s="88">
        <v>0.2</v>
      </c>
      <c r="E383" s="87">
        <f t="shared" si="1"/>
        <v>51.92</v>
      </c>
      <c r="F383" s="20" t="s">
        <v>131</v>
      </c>
      <c r="G383" s="20" t="s">
        <v>132</v>
      </c>
    </row>
    <row r="384" ht="19.5" customHeight="1">
      <c r="A384" s="85" t="s">
        <v>882</v>
      </c>
      <c r="B384" s="20" t="s">
        <v>883</v>
      </c>
      <c r="C384" s="87">
        <v>64.9</v>
      </c>
      <c r="D384" s="88">
        <v>0.2</v>
      </c>
      <c r="E384" s="87">
        <f t="shared" si="1"/>
        <v>51.92</v>
      </c>
      <c r="F384" s="20" t="s">
        <v>131</v>
      </c>
      <c r="G384" s="20" t="s">
        <v>132</v>
      </c>
    </row>
    <row r="385" ht="19.5" customHeight="1">
      <c r="A385" s="85" t="s">
        <v>884</v>
      </c>
      <c r="B385" s="20" t="s">
        <v>885</v>
      </c>
      <c r="C385" s="87">
        <v>64.9</v>
      </c>
      <c r="D385" s="88">
        <v>0.2</v>
      </c>
      <c r="E385" s="87">
        <f t="shared" si="1"/>
        <v>51.92</v>
      </c>
      <c r="F385" s="20" t="s">
        <v>131</v>
      </c>
      <c r="G385" s="20" t="s">
        <v>132</v>
      </c>
    </row>
    <row r="386" ht="19.5" customHeight="1">
      <c r="A386" s="85" t="s">
        <v>886</v>
      </c>
      <c r="B386" s="20" t="s">
        <v>887</v>
      </c>
      <c r="C386" s="87">
        <v>71.66</v>
      </c>
      <c r="D386" s="88">
        <v>0.2</v>
      </c>
      <c r="E386" s="87">
        <f t="shared" si="1"/>
        <v>57.328</v>
      </c>
      <c r="F386" s="20" t="s">
        <v>131</v>
      </c>
      <c r="G386" s="20" t="s">
        <v>132</v>
      </c>
    </row>
    <row r="387" ht="19.5" customHeight="1">
      <c r="A387" s="85" t="s">
        <v>888</v>
      </c>
      <c r="B387" s="20" t="s">
        <v>889</v>
      </c>
      <c r="C387" s="87">
        <v>71.66</v>
      </c>
      <c r="D387" s="88">
        <v>0.2</v>
      </c>
      <c r="E387" s="87">
        <f t="shared" si="1"/>
        <v>57.328</v>
      </c>
      <c r="F387" s="20" t="s">
        <v>131</v>
      </c>
      <c r="G387" s="20" t="s">
        <v>132</v>
      </c>
    </row>
    <row r="388" ht="19.5" customHeight="1">
      <c r="A388" s="85" t="s">
        <v>890</v>
      </c>
      <c r="B388" s="20" t="s">
        <v>891</v>
      </c>
      <c r="C388" s="87">
        <v>0.0</v>
      </c>
      <c r="D388" s="88">
        <v>0.2</v>
      </c>
      <c r="E388" s="87">
        <f t="shared" si="1"/>
        <v>0</v>
      </c>
      <c r="F388" s="20" t="s">
        <v>131</v>
      </c>
      <c r="G388" s="20" t="s">
        <v>132</v>
      </c>
    </row>
    <row r="389" ht="19.5" customHeight="1">
      <c r="A389" s="85" t="s">
        <v>892</v>
      </c>
      <c r="B389" s="20" t="s">
        <v>893</v>
      </c>
      <c r="C389" s="87">
        <v>74.53</v>
      </c>
      <c r="D389" s="88">
        <v>0.2</v>
      </c>
      <c r="E389" s="87">
        <f t="shared" si="1"/>
        <v>59.624</v>
      </c>
      <c r="F389" s="20" t="s">
        <v>131</v>
      </c>
      <c r="G389" s="20" t="s">
        <v>132</v>
      </c>
    </row>
    <row r="390" ht="19.5" customHeight="1">
      <c r="A390" s="85" t="s">
        <v>894</v>
      </c>
      <c r="B390" s="20" t="s">
        <v>895</v>
      </c>
      <c r="C390" s="87">
        <v>76.68</v>
      </c>
      <c r="D390" s="88">
        <v>0.2</v>
      </c>
      <c r="E390" s="87">
        <f t="shared" si="1"/>
        <v>61.344</v>
      </c>
      <c r="F390" s="20" t="s">
        <v>131</v>
      </c>
      <c r="G390" s="20" t="s">
        <v>132</v>
      </c>
    </row>
    <row r="391" ht="19.5" customHeight="1">
      <c r="A391" s="85" t="s">
        <v>896</v>
      </c>
      <c r="B391" s="20" t="s">
        <v>897</v>
      </c>
      <c r="C391" s="87">
        <v>85.99</v>
      </c>
      <c r="D391" s="88">
        <v>0.2</v>
      </c>
      <c r="E391" s="87">
        <f t="shared" si="1"/>
        <v>68.792</v>
      </c>
      <c r="F391" s="20" t="s">
        <v>131</v>
      </c>
      <c r="G391" s="20" t="s">
        <v>132</v>
      </c>
    </row>
    <row r="392" ht="19.5" customHeight="1">
      <c r="A392" s="85" t="s">
        <v>898</v>
      </c>
      <c r="B392" s="20" t="s">
        <v>899</v>
      </c>
      <c r="C392" s="87">
        <v>78.83</v>
      </c>
      <c r="D392" s="88">
        <v>0.2</v>
      </c>
      <c r="E392" s="87">
        <f t="shared" si="1"/>
        <v>63.064</v>
      </c>
      <c r="F392" s="20" t="s">
        <v>131</v>
      </c>
      <c r="G392" s="20" t="s">
        <v>132</v>
      </c>
    </row>
    <row r="393" ht="19.5" customHeight="1">
      <c r="A393" s="85" t="s">
        <v>900</v>
      </c>
      <c r="B393" s="20" t="s">
        <v>901</v>
      </c>
      <c r="C393" s="87">
        <v>82.41</v>
      </c>
      <c r="D393" s="88">
        <v>0.2</v>
      </c>
      <c r="E393" s="87">
        <f t="shared" si="1"/>
        <v>65.928</v>
      </c>
      <c r="F393" s="20" t="s">
        <v>131</v>
      </c>
      <c r="G393" s="20" t="s">
        <v>132</v>
      </c>
    </row>
    <row r="394" ht="19.5" customHeight="1">
      <c r="A394" s="85" t="s">
        <v>902</v>
      </c>
      <c r="B394" s="20" t="s">
        <v>903</v>
      </c>
      <c r="C394" s="87">
        <v>71.66</v>
      </c>
      <c r="D394" s="88">
        <v>0.2</v>
      </c>
      <c r="E394" s="87">
        <f t="shared" si="1"/>
        <v>57.328</v>
      </c>
      <c r="F394" s="20" t="s">
        <v>131</v>
      </c>
      <c r="G394" s="20" t="s">
        <v>132</v>
      </c>
    </row>
    <row r="395" ht="19.5" customHeight="1">
      <c r="A395" s="85" t="s">
        <v>26</v>
      </c>
      <c r="B395" s="20" t="s">
        <v>904</v>
      </c>
      <c r="C395" s="87">
        <v>71.66</v>
      </c>
      <c r="D395" s="88">
        <v>0.2</v>
      </c>
      <c r="E395" s="87">
        <f t="shared" si="1"/>
        <v>57.328</v>
      </c>
      <c r="F395" s="20" t="s">
        <v>131</v>
      </c>
      <c r="G395" s="20" t="s">
        <v>132</v>
      </c>
    </row>
    <row r="396" ht="19.5" customHeight="1">
      <c r="A396" s="85" t="s">
        <v>905</v>
      </c>
      <c r="B396" s="20" t="s">
        <v>906</v>
      </c>
      <c r="C396" s="87">
        <v>63.04</v>
      </c>
      <c r="D396" s="88">
        <v>0.2</v>
      </c>
      <c r="E396" s="87">
        <f t="shared" si="1"/>
        <v>50.432</v>
      </c>
      <c r="F396" s="20" t="s">
        <v>131</v>
      </c>
      <c r="G396" s="20" t="s">
        <v>132</v>
      </c>
    </row>
    <row r="397" ht="19.5" customHeight="1">
      <c r="A397" s="85" t="s">
        <v>907</v>
      </c>
      <c r="B397" s="20" t="s">
        <v>908</v>
      </c>
      <c r="C397" s="87">
        <v>63.04</v>
      </c>
      <c r="D397" s="88">
        <v>0.2</v>
      </c>
      <c r="E397" s="87">
        <f t="shared" si="1"/>
        <v>50.432</v>
      </c>
      <c r="F397" s="20" t="s">
        <v>131</v>
      </c>
      <c r="G397" s="20" t="s">
        <v>132</v>
      </c>
    </row>
    <row r="398" ht="19.5" customHeight="1">
      <c r="A398" s="85" t="s">
        <v>909</v>
      </c>
      <c r="B398" s="20" t="s">
        <v>910</v>
      </c>
      <c r="C398" s="87">
        <v>63.04</v>
      </c>
      <c r="D398" s="88">
        <v>0.2</v>
      </c>
      <c r="E398" s="87">
        <f t="shared" si="1"/>
        <v>50.432</v>
      </c>
      <c r="F398" s="20" t="s">
        <v>131</v>
      </c>
      <c r="G398" s="20" t="s">
        <v>132</v>
      </c>
    </row>
    <row r="399" ht="19.5" customHeight="1">
      <c r="A399" s="85" t="s">
        <v>911</v>
      </c>
      <c r="B399" s="20" t="s">
        <v>912</v>
      </c>
      <c r="C399" s="87">
        <v>63.04</v>
      </c>
      <c r="D399" s="88">
        <v>0.2</v>
      </c>
      <c r="E399" s="87">
        <f t="shared" si="1"/>
        <v>50.432</v>
      </c>
      <c r="F399" s="20" t="s">
        <v>131</v>
      </c>
      <c r="G399" s="20" t="s">
        <v>132</v>
      </c>
    </row>
    <row r="400" ht="19.5" customHeight="1">
      <c r="A400" s="85" t="s">
        <v>913</v>
      </c>
      <c r="B400" s="20" t="s">
        <v>914</v>
      </c>
      <c r="C400" s="87">
        <v>63.04</v>
      </c>
      <c r="D400" s="88">
        <v>0.2</v>
      </c>
      <c r="E400" s="87">
        <f t="shared" si="1"/>
        <v>50.432</v>
      </c>
      <c r="F400" s="20" t="s">
        <v>131</v>
      </c>
      <c r="G400" s="20" t="s">
        <v>132</v>
      </c>
    </row>
    <row r="401" ht="19.5" customHeight="1">
      <c r="A401" s="85" t="s">
        <v>915</v>
      </c>
      <c r="B401" s="20" t="s">
        <v>916</v>
      </c>
      <c r="C401" s="87">
        <v>63.04</v>
      </c>
      <c r="D401" s="88">
        <v>0.2</v>
      </c>
      <c r="E401" s="87">
        <f t="shared" si="1"/>
        <v>50.432</v>
      </c>
      <c r="F401" s="20" t="s">
        <v>131</v>
      </c>
      <c r="G401" s="20" t="s">
        <v>132</v>
      </c>
    </row>
    <row r="402" ht="19.5" customHeight="1">
      <c r="A402" s="85" t="s">
        <v>917</v>
      </c>
      <c r="B402" s="20" t="s">
        <v>918</v>
      </c>
      <c r="C402" s="87">
        <v>0.0</v>
      </c>
      <c r="D402" s="88">
        <v>0.2</v>
      </c>
      <c r="E402" s="87">
        <f t="shared" si="1"/>
        <v>0</v>
      </c>
      <c r="F402" s="20" t="s">
        <v>131</v>
      </c>
      <c r="G402" s="20" t="s">
        <v>132</v>
      </c>
    </row>
    <row r="403" ht="19.5" customHeight="1">
      <c r="A403" s="85" t="s">
        <v>919</v>
      </c>
      <c r="B403" s="20" t="s">
        <v>920</v>
      </c>
      <c r="C403" s="87">
        <v>65.56</v>
      </c>
      <c r="D403" s="88">
        <v>0.2</v>
      </c>
      <c r="E403" s="87">
        <f t="shared" si="1"/>
        <v>52.448</v>
      </c>
      <c r="F403" s="20" t="s">
        <v>131</v>
      </c>
      <c r="G403" s="20" t="s">
        <v>132</v>
      </c>
    </row>
    <row r="404" ht="19.5" customHeight="1">
      <c r="A404" s="85" t="s">
        <v>921</v>
      </c>
      <c r="B404" s="20" t="s">
        <v>922</v>
      </c>
      <c r="C404" s="87">
        <v>67.45</v>
      </c>
      <c r="D404" s="88">
        <v>0.2</v>
      </c>
      <c r="E404" s="87">
        <f t="shared" si="1"/>
        <v>53.96</v>
      </c>
      <c r="F404" s="20" t="s">
        <v>131</v>
      </c>
      <c r="G404" s="20" t="s">
        <v>132</v>
      </c>
    </row>
    <row r="405" ht="19.5" customHeight="1">
      <c r="A405" s="85" t="s">
        <v>923</v>
      </c>
      <c r="B405" s="20" t="s">
        <v>924</v>
      </c>
      <c r="C405" s="87">
        <v>75.65</v>
      </c>
      <c r="D405" s="88">
        <v>0.2</v>
      </c>
      <c r="E405" s="87">
        <f t="shared" si="1"/>
        <v>60.52</v>
      </c>
      <c r="F405" s="20" t="s">
        <v>131</v>
      </c>
      <c r="G405" s="20" t="s">
        <v>132</v>
      </c>
    </row>
    <row r="406" ht="19.5" customHeight="1">
      <c r="A406" s="85" t="s">
        <v>925</v>
      </c>
      <c r="B406" s="20" t="s">
        <v>926</v>
      </c>
      <c r="C406" s="87">
        <v>69.34</v>
      </c>
      <c r="D406" s="88">
        <v>0.2</v>
      </c>
      <c r="E406" s="87">
        <f t="shared" si="1"/>
        <v>55.472</v>
      </c>
      <c r="F406" s="20" t="s">
        <v>131</v>
      </c>
      <c r="G406" s="20" t="s">
        <v>132</v>
      </c>
    </row>
    <row r="407" ht="19.5" customHeight="1">
      <c r="A407" s="85" t="s">
        <v>927</v>
      </c>
      <c r="B407" s="20" t="s">
        <v>928</v>
      </c>
      <c r="C407" s="87">
        <v>72.5</v>
      </c>
      <c r="D407" s="88">
        <v>0.2</v>
      </c>
      <c r="E407" s="87">
        <f t="shared" si="1"/>
        <v>58</v>
      </c>
      <c r="F407" s="20" t="s">
        <v>131</v>
      </c>
      <c r="G407" s="20" t="s">
        <v>132</v>
      </c>
    </row>
    <row r="408" ht="19.5" customHeight="1">
      <c r="A408" s="85" t="s">
        <v>929</v>
      </c>
      <c r="B408" s="20" t="s">
        <v>930</v>
      </c>
      <c r="C408" s="87">
        <v>63.04</v>
      </c>
      <c r="D408" s="88">
        <v>0.2</v>
      </c>
      <c r="E408" s="87">
        <f t="shared" si="1"/>
        <v>50.432</v>
      </c>
      <c r="F408" s="20" t="s">
        <v>131</v>
      </c>
      <c r="G408" s="20" t="s">
        <v>132</v>
      </c>
    </row>
    <row r="409" ht="19.5" customHeight="1">
      <c r="A409" s="85" t="s">
        <v>931</v>
      </c>
      <c r="B409" s="20" t="s">
        <v>932</v>
      </c>
      <c r="C409" s="87">
        <v>63.04</v>
      </c>
      <c r="D409" s="88">
        <v>0.2</v>
      </c>
      <c r="E409" s="87">
        <f t="shared" si="1"/>
        <v>50.432</v>
      </c>
      <c r="F409" s="20" t="s">
        <v>131</v>
      </c>
      <c r="G409" s="20" t="s">
        <v>132</v>
      </c>
    </row>
    <row r="410" ht="19.5" customHeight="1">
      <c r="A410" s="85" t="s">
        <v>933</v>
      </c>
      <c r="B410" s="20" t="s">
        <v>934</v>
      </c>
      <c r="C410" s="87">
        <v>1.178</v>
      </c>
      <c r="D410" s="88">
        <v>0.2</v>
      </c>
      <c r="E410" s="87">
        <f t="shared" si="1"/>
        <v>0.9424</v>
      </c>
      <c r="F410" s="20" t="s">
        <v>131</v>
      </c>
      <c r="G410" s="20" t="s">
        <v>132</v>
      </c>
    </row>
    <row r="411" ht="19.5" customHeight="1">
      <c r="A411" s="85" t="s">
        <v>935</v>
      </c>
      <c r="B411" s="20" t="s">
        <v>936</v>
      </c>
      <c r="C411" s="87">
        <v>1.178</v>
      </c>
      <c r="D411" s="88">
        <v>0.2</v>
      </c>
      <c r="E411" s="87">
        <f t="shared" si="1"/>
        <v>0.9424</v>
      </c>
      <c r="F411" s="20" t="s">
        <v>131</v>
      </c>
      <c r="G411" s="20" t="s">
        <v>132</v>
      </c>
    </row>
    <row r="412" ht="19.5" customHeight="1">
      <c r="A412" s="85" t="s">
        <v>937</v>
      </c>
      <c r="B412" s="20" t="s">
        <v>938</v>
      </c>
      <c r="C412" s="87">
        <v>1.178</v>
      </c>
      <c r="D412" s="88">
        <v>0.2</v>
      </c>
      <c r="E412" s="87">
        <f t="shared" si="1"/>
        <v>0.9424</v>
      </c>
      <c r="F412" s="20" t="s">
        <v>131</v>
      </c>
      <c r="G412" s="20" t="s">
        <v>132</v>
      </c>
    </row>
    <row r="413" ht="19.5" customHeight="1">
      <c r="A413" s="85" t="s">
        <v>939</v>
      </c>
      <c r="B413" s="20" t="s">
        <v>940</v>
      </c>
      <c r="C413" s="87">
        <v>11.35</v>
      </c>
      <c r="D413" s="88">
        <v>0.2</v>
      </c>
      <c r="E413" s="87">
        <f t="shared" si="1"/>
        <v>9.08</v>
      </c>
      <c r="F413" s="20" t="s">
        <v>131</v>
      </c>
      <c r="G413" s="20" t="s">
        <v>132</v>
      </c>
    </row>
    <row r="414" ht="19.5" customHeight="1">
      <c r="A414" s="85" t="s">
        <v>941</v>
      </c>
      <c r="B414" s="20" t="s">
        <v>942</v>
      </c>
      <c r="C414" s="87">
        <v>17.02</v>
      </c>
      <c r="D414" s="88">
        <v>0.2</v>
      </c>
      <c r="E414" s="87">
        <f t="shared" si="1"/>
        <v>13.616</v>
      </c>
      <c r="F414" s="20" t="s">
        <v>131</v>
      </c>
      <c r="G414" s="20" t="s">
        <v>132</v>
      </c>
    </row>
    <row r="415" ht="19.5" customHeight="1">
      <c r="A415" s="85" t="s">
        <v>943</v>
      </c>
      <c r="B415" s="20" t="s">
        <v>944</v>
      </c>
      <c r="C415" s="87">
        <v>25.22</v>
      </c>
      <c r="D415" s="88">
        <v>0.2</v>
      </c>
      <c r="E415" s="87">
        <f t="shared" si="1"/>
        <v>20.176</v>
      </c>
      <c r="F415" s="20" t="s">
        <v>131</v>
      </c>
      <c r="G415" s="20" t="s">
        <v>132</v>
      </c>
    </row>
    <row r="416" ht="19.5" customHeight="1">
      <c r="A416" s="85" t="s">
        <v>945</v>
      </c>
      <c r="B416" s="20" t="s">
        <v>946</v>
      </c>
      <c r="C416" s="87">
        <v>21.2</v>
      </c>
      <c r="D416" s="88">
        <v>0.2</v>
      </c>
      <c r="E416" s="87">
        <f t="shared" si="1"/>
        <v>16.96</v>
      </c>
      <c r="F416" s="20" t="s">
        <v>131</v>
      </c>
      <c r="G416" s="20" t="s">
        <v>132</v>
      </c>
    </row>
    <row r="417" ht="19.5" customHeight="1">
      <c r="A417" s="85" t="s">
        <v>947</v>
      </c>
      <c r="B417" s="20" t="s">
        <v>948</v>
      </c>
      <c r="C417" s="87">
        <v>28.16</v>
      </c>
      <c r="D417" s="88">
        <v>0.2</v>
      </c>
      <c r="E417" s="87">
        <f t="shared" si="1"/>
        <v>22.528</v>
      </c>
      <c r="F417" s="20" t="s">
        <v>131</v>
      </c>
      <c r="G417" s="20" t="s">
        <v>132</v>
      </c>
    </row>
    <row r="418" ht="19.5" customHeight="1">
      <c r="A418" s="85" t="s">
        <v>949</v>
      </c>
      <c r="B418" s="20" t="s">
        <v>950</v>
      </c>
      <c r="C418" s="87">
        <v>29.28</v>
      </c>
      <c r="D418" s="88">
        <v>0.2</v>
      </c>
      <c r="E418" s="87">
        <f t="shared" si="1"/>
        <v>23.424</v>
      </c>
      <c r="F418" s="20" t="s">
        <v>131</v>
      </c>
      <c r="G418" s="20" t="s">
        <v>132</v>
      </c>
    </row>
    <row r="419" ht="19.5" customHeight="1">
      <c r="A419" s="85" t="s">
        <v>951</v>
      </c>
      <c r="B419" s="20" t="s">
        <v>952</v>
      </c>
      <c r="C419" s="87">
        <v>30.82</v>
      </c>
      <c r="D419" s="88">
        <v>0.2</v>
      </c>
      <c r="E419" s="87">
        <f t="shared" si="1"/>
        <v>24.656</v>
      </c>
      <c r="F419" s="20" t="s">
        <v>131</v>
      </c>
      <c r="G419" s="20" t="s">
        <v>132</v>
      </c>
    </row>
    <row r="420" ht="19.5" customHeight="1">
      <c r="A420" s="85" t="s">
        <v>953</v>
      </c>
      <c r="B420" s="20" t="s">
        <v>954</v>
      </c>
      <c r="C420" s="87">
        <v>36.17</v>
      </c>
      <c r="D420" s="88">
        <v>0.2</v>
      </c>
      <c r="E420" s="87">
        <f t="shared" si="1"/>
        <v>28.936</v>
      </c>
      <c r="F420" s="20" t="s">
        <v>131</v>
      </c>
      <c r="G420" s="20" t="s">
        <v>132</v>
      </c>
    </row>
    <row r="421" ht="19.5" customHeight="1">
      <c r="A421" s="85" t="s">
        <v>955</v>
      </c>
      <c r="B421" s="20" t="s">
        <v>956</v>
      </c>
      <c r="C421" s="87">
        <v>57.9</v>
      </c>
      <c r="D421" s="88">
        <v>0.2</v>
      </c>
      <c r="E421" s="87">
        <f t="shared" si="1"/>
        <v>46.32</v>
      </c>
      <c r="F421" s="20" t="s">
        <v>131</v>
      </c>
      <c r="G421" s="20" t="s">
        <v>132</v>
      </c>
    </row>
    <row r="422" ht="19.5" customHeight="1">
      <c r="A422" s="85" t="s">
        <v>957</v>
      </c>
      <c r="B422" s="20" t="s">
        <v>958</v>
      </c>
      <c r="C422" s="87">
        <v>52.39</v>
      </c>
      <c r="D422" s="88">
        <v>0.2</v>
      </c>
      <c r="E422" s="87">
        <f t="shared" si="1"/>
        <v>41.912</v>
      </c>
      <c r="F422" s="20" t="s">
        <v>131</v>
      </c>
      <c r="G422" s="20" t="s">
        <v>132</v>
      </c>
    </row>
    <row r="423" ht="19.5" customHeight="1">
      <c r="A423" s="85" t="s">
        <v>959</v>
      </c>
      <c r="B423" s="20" t="s">
        <v>960</v>
      </c>
      <c r="C423" s="87">
        <v>64.35</v>
      </c>
      <c r="D423" s="88">
        <v>0.2</v>
      </c>
      <c r="E423" s="87">
        <f t="shared" si="1"/>
        <v>51.48</v>
      </c>
      <c r="F423" s="20" t="s">
        <v>131</v>
      </c>
      <c r="G423" s="20" t="s">
        <v>132</v>
      </c>
    </row>
    <row r="424" ht="19.5" customHeight="1">
      <c r="A424" s="85" t="s">
        <v>961</v>
      </c>
      <c r="B424" s="20" t="s">
        <v>962</v>
      </c>
      <c r="C424" s="87">
        <v>55.15</v>
      </c>
      <c r="D424" s="88">
        <v>0.2</v>
      </c>
      <c r="E424" s="87">
        <f t="shared" si="1"/>
        <v>44.12</v>
      </c>
      <c r="F424" s="20" t="s">
        <v>131</v>
      </c>
      <c r="G424" s="20" t="s">
        <v>132</v>
      </c>
    </row>
    <row r="425" ht="19.5" customHeight="1">
      <c r="A425" s="85" t="s">
        <v>963</v>
      </c>
      <c r="B425" s="20" t="s">
        <v>964</v>
      </c>
      <c r="C425" s="87">
        <v>55.15</v>
      </c>
      <c r="D425" s="88">
        <v>0.2</v>
      </c>
      <c r="E425" s="87">
        <f t="shared" si="1"/>
        <v>44.12</v>
      </c>
      <c r="F425" s="20" t="s">
        <v>131</v>
      </c>
      <c r="G425" s="20" t="s">
        <v>132</v>
      </c>
    </row>
    <row r="426" ht="19.5" customHeight="1">
      <c r="A426" s="85" t="s">
        <v>965</v>
      </c>
      <c r="B426" s="20" t="s">
        <v>966</v>
      </c>
      <c r="C426" s="87">
        <v>57.9</v>
      </c>
      <c r="D426" s="88">
        <v>0.2</v>
      </c>
      <c r="E426" s="87">
        <f t="shared" si="1"/>
        <v>46.32</v>
      </c>
      <c r="F426" s="20" t="s">
        <v>131</v>
      </c>
      <c r="G426" s="20" t="s">
        <v>132</v>
      </c>
    </row>
    <row r="427" ht="19.5" customHeight="1">
      <c r="A427" s="85" t="s">
        <v>967</v>
      </c>
      <c r="B427" s="20" t="s">
        <v>968</v>
      </c>
      <c r="C427" s="87">
        <v>57.9</v>
      </c>
      <c r="D427" s="88">
        <v>0.2</v>
      </c>
      <c r="E427" s="87">
        <f t="shared" si="1"/>
        <v>46.32</v>
      </c>
      <c r="F427" s="20" t="s">
        <v>131</v>
      </c>
      <c r="G427" s="20" t="s">
        <v>132</v>
      </c>
    </row>
    <row r="428" ht="19.5" customHeight="1">
      <c r="A428" s="85" t="s">
        <v>969</v>
      </c>
      <c r="B428" s="20" t="s">
        <v>970</v>
      </c>
      <c r="C428" s="87">
        <v>38.77</v>
      </c>
      <c r="D428" s="88">
        <v>0.2</v>
      </c>
      <c r="E428" s="87">
        <f t="shared" si="1"/>
        <v>31.016</v>
      </c>
      <c r="F428" s="20" t="s">
        <v>131</v>
      </c>
      <c r="G428" s="20" t="s">
        <v>132</v>
      </c>
    </row>
    <row r="429" ht="19.5" customHeight="1">
      <c r="A429" s="85" t="s">
        <v>971</v>
      </c>
      <c r="B429" s="20" t="s">
        <v>972</v>
      </c>
      <c r="C429" s="87">
        <v>26.3</v>
      </c>
      <c r="D429" s="88">
        <v>0.2</v>
      </c>
      <c r="E429" s="87">
        <f t="shared" si="1"/>
        <v>21.04</v>
      </c>
      <c r="F429" s="20" t="s">
        <v>131</v>
      </c>
      <c r="G429" s="20" t="s">
        <v>132</v>
      </c>
    </row>
    <row r="430" ht="19.5" customHeight="1">
      <c r="A430" s="85" t="s">
        <v>973</v>
      </c>
      <c r="B430" s="20" t="s">
        <v>974</v>
      </c>
      <c r="C430" s="87">
        <v>54.61</v>
      </c>
      <c r="D430" s="88">
        <v>0.2</v>
      </c>
      <c r="E430" s="87">
        <f t="shared" si="1"/>
        <v>43.688</v>
      </c>
      <c r="F430" s="20" t="s">
        <v>131</v>
      </c>
      <c r="G430" s="20" t="s">
        <v>132</v>
      </c>
    </row>
    <row r="431" ht="19.5" customHeight="1">
      <c r="A431" s="85" t="s">
        <v>975</v>
      </c>
      <c r="B431" s="20" t="s">
        <v>976</v>
      </c>
      <c r="C431" s="87">
        <v>35.59</v>
      </c>
      <c r="D431" s="88">
        <v>0.2</v>
      </c>
      <c r="E431" s="87">
        <f t="shared" si="1"/>
        <v>28.472</v>
      </c>
      <c r="F431" s="20" t="s">
        <v>131</v>
      </c>
      <c r="G431" s="20" t="s">
        <v>132</v>
      </c>
    </row>
    <row r="432" ht="19.5" customHeight="1">
      <c r="A432" s="85" t="s">
        <v>977</v>
      </c>
      <c r="B432" s="20" t="s">
        <v>978</v>
      </c>
      <c r="C432" s="87">
        <v>28.02</v>
      </c>
      <c r="D432" s="88">
        <v>0.2</v>
      </c>
      <c r="E432" s="87">
        <f t="shared" si="1"/>
        <v>22.416</v>
      </c>
      <c r="F432" s="20" t="s">
        <v>131</v>
      </c>
      <c r="G432" s="20" t="s">
        <v>132</v>
      </c>
    </row>
    <row r="433" ht="19.5" customHeight="1">
      <c r="A433" s="85" t="s">
        <v>979</v>
      </c>
      <c r="B433" s="20" t="s">
        <v>980</v>
      </c>
      <c r="C433" s="87">
        <v>29.87</v>
      </c>
      <c r="D433" s="88">
        <v>0.2</v>
      </c>
      <c r="E433" s="87">
        <f t="shared" si="1"/>
        <v>23.896</v>
      </c>
      <c r="F433" s="20" t="s">
        <v>131</v>
      </c>
      <c r="G433" s="20" t="s">
        <v>132</v>
      </c>
    </row>
    <row r="434" ht="19.5" customHeight="1">
      <c r="A434" s="85" t="s">
        <v>981</v>
      </c>
      <c r="B434" s="20" t="s">
        <v>982</v>
      </c>
      <c r="C434" s="87">
        <v>39.78</v>
      </c>
      <c r="D434" s="88">
        <v>0.2</v>
      </c>
      <c r="E434" s="87">
        <f t="shared" si="1"/>
        <v>31.824</v>
      </c>
      <c r="F434" s="20" t="s">
        <v>131</v>
      </c>
      <c r="G434" s="20" t="s">
        <v>132</v>
      </c>
    </row>
    <row r="435" ht="19.5" customHeight="1">
      <c r="A435" s="85" t="s">
        <v>983</v>
      </c>
      <c r="B435" s="20" t="s">
        <v>984</v>
      </c>
      <c r="C435" s="87">
        <v>41.38</v>
      </c>
      <c r="D435" s="88">
        <v>0.2</v>
      </c>
      <c r="E435" s="87">
        <f t="shared" si="1"/>
        <v>33.104</v>
      </c>
      <c r="F435" s="20" t="s">
        <v>131</v>
      </c>
      <c r="G435" s="20" t="s">
        <v>132</v>
      </c>
    </row>
    <row r="436" ht="19.5" customHeight="1">
      <c r="A436" s="85" t="s">
        <v>985</v>
      </c>
      <c r="B436" s="20" t="s">
        <v>986</v>
      </c>
      <c r="C436" s="87">
        <v>43.58</v>
      </c>
      <c r="D436" s="88">
        <v>0.2</v>
      </c>
      <c r="E436" s="87">
        <f t="shared" si="1"/>
        <v>34.864</v>
      </c>
      <c r="F436" s="20" t="s">
        <v>131</v>
      </c>
      <c r="G436" s="20" t="s">
        <v>132</v>
      </c>
    </row>
    <row r="437" ht="19.5" customHeight="1">
      <c r="A437" s="85" t="s">
        <v>987</v>
      </c>
      <c r="B437" s="20" t="s">
        <v>988</v>
      </c>
      <c r="C437" s="87">
        <v>51.2</v>
      </c>
      <c r="D437" s="88">
        <v>0.2</v>
      </c>
      <c r="E437" s="87">
        <f t="shared" si="1"/>
        <v>40.96</v>
      </c>
      <c r="F437" s="20" t="s">
        <v>131</v>
      </c>
      <c r="G437" s="20" t="s">
        <v>132</v>
      </c>
    </row>
    <row r="438" ht="19.5" customHeight="1">
      <c r="A438" s="85" t="s">
        <v>989</v>
      </c>
      <c r="B438" s="20" t="s">
        <v>990</v>
      </c>
      <c r="C438" s="87">
        <v>74.7</v>
      </c>
      <c r="D438" s="88">
        <v>0.2</v>
      </c>
      <c r="E438" s="87">
        <f t="shared" si="1"/>
        <v>59.76</v>
      </c>
      <c r="F438" s="20" t="s">
        <v>131</v>
      </c>
      <c r="G438" s="20" t="s">
        <v>132</v>
      </c>
    </row>
    <row r="439" ht="19.5" customHeight="1">
      <c r="A439" s="85" t="s">
        <v>991</v>
      </c>
      <c r="B439" s="20" t="s">
        <v>992</v>
      </c>
      <c r="C439" s="87">
        <v>68.71</v>
      </c>
      <c r="D439" s="88">
        <v>0.2</v>
      </c>
      <c r="E439" s="87">
        <f t="shared" si="1"/>
        <v>54.968</v>
      </c>
      <c r="F439" s="20" t="s">
        <v>131</v>
      </c>
      <c r="G439" s="20" t="s">
        <v>132</v>
      </c>
    </row>
    <row r="440" ht="19.5" customHeight="1">
      <c r="A440" s="85" t="s">
        <v>993</v>
      </c>
      <c r="B440" s="20" t="s">
        <v>994</v>
      </c>
      <c r="C440" s="87">
        <v>81.72</v>
      </c>
      <c r="D440" s="88">
        <v>0.2</v>
      </c>
      <c r="E440" s="87">
        <f t="shared" si="1"/>
        <v>65.376</v>
      </c>
      <c r="F440" s="20" t="s">
        <v>131</v>
      </c>
      <c r="G440" s="20" t="s">
        <v>132</v>
      </c>
    </row>
    <row r="441" ht="19.5" customHeight="1">
      <c r="A441" s="85" t="s">
        <v>995</v>
      </c>
      <c r="B441" s="20" t="s">
        <v>996</v>
      </c>
      <c r="C441" s="87">
        <v>71.7</v>
      </c>
      <c r="D441" s="88">
        <v>0.2</v>
      </c>
      <c r="E441" s="87">
        <f t="shared" si="1"/>
        <v>57.36</v>
      </c>
      <c r="F441" s="20" t="s">
        <v>131</v>
      </c>
      <c r="G441" s="20" t="s">
        <v>132</v>
      </c>
    </row>
    <row r="442" ht="19.5" customHeight="1">
      <c r="A442" s="85" t="s">
        <v>997</v>
      </c>
      <c r="B442" s="20" t="s">
        <v>998</v>
      </c>
      <c r="C442" s="87">
        <v>71.7</v>
      </c>
      <c r="D442" s="88">
        <v>0.2</v>
      </c>
      <c r="E442" s="87">
        <f t="shared" si="1"/>
        <v>57.36</v>
      </c>
      <c r="F442" s="20" t="s">
        <v>131</v>
      </c>
      <c r="G442" s="20" t="s">
        <v>132</v>
      </c>
    </row>
    <row r="443" ht="19.5" customHeight="1">
      <c r="A443" s="85" t="s">
        <v>999</v>
      </c>
      <c r="B443" s="20" t="s">
        <v>1000</v>
      </c>
      <c r="C443" s="87">
        <v>74.7</v>
      </c>
      <c r="D443" s="88">
        <v>0.2</v>
      </c>
      <c r="E443" s="87">
        <f t="shared" si="1"/>
        <v>59.76</v>
      </c>
      <c r="F443" s="20" t="s">
        <v>131</v>
      </c>
      <c r="G443" s="20" t="s">
        <v>132</v>
      </c>
    </row>
    <row r="444" ht="19.5" customHeight="1">
      <c r="A444" s="85" t="s">
        <v>1001</v>
      </c>
      <c r="B444" s="20" t="s">
        <v>1002</v>
      </c>
      <c r="C444" s="87">
        <v>74.7</v>
      </c>
      <c r="D444" s="88">
        <v>0.2</v>
      </c>
      <c r="E444" s="87">
        <f t="shared" si="1"/>
        <v>59.76</v>
      </c>
      <c r="F444" s="20" t="s">
        <v>131</v>
      </c>
      <c r="G444" s="20" t="s">
        <v>132</v>
      </c>
    </row>
    <row r="445" ht="19.5" customHeight="1">
      <c r="A445" s="85" t="s">
        <v>1003</v>
      </c>
      <c r="B445" s="20" t="s">
        <v>1004</v>
      </c>
      <c r="C445" s="87">
        <v>54.91</v>
      </c>
      <c r="D445" s="88">
        <v>0.2</v>
      </c>
      <c r="E445" s="87">
        <f t="shared" si="1"/>
        <v>43.928</v>
      </c>
      <c r="F445" s="20" t="s">
        <v>131</v>
      </c>
      <c r="G445" s="20" t="s">
        <v>132</v>
      </c>
    </row>
    <row r="446" ht="19.5" customHeight="1">
      <c r="A446" s="85" t="s">
        <v>1005</v>
      </c>
      <c r="B446" s="20" t="s">
        <v>1006</v>
      </c>
      <c r="C446" s="87">
        <v>24.76</v>
      </c>
      <c r="D446" s="88">
        <v>0.2</v>
      </c>
      <c r="E446" s="87">
        <f t="shared" si="1"/>
        <v>19.808</v>
      </c>
      <c r="F446" s="20" t="s">
        <v>131</v>
      </c>
      <c r="G446" s="20" t="s">
        <v>132</v>
      </c>
    </row>
    <row r="447" ht="19.5" customHeight="1">
      <c r="A447" s="85" t="s">
        <v>1007</v>
      </c>
      <c r="B447" s="20" t="s">
        <v>1008</v>
      </c>
      <c r="C447" s="87">
        <v>37.13</v>
      </c>
      <c r="D447" s="88">
        <v>0.2</v>
      </c>
      <c r="E447" s="87">
        <f t="shared" si="1"/>
        <v>29.704</v>
      </c>
      <c r="F447" s="20" t="s">
        <v>131</v>
      </c>
      <c r="G447" s="20" t="s">
        <v>132</v>
      </c>
    </row>
    <row r="448" ht="19.5" customHeight="1">
      <c r="A448" s="85" t="s">
        <v>1009</v>
      </c>
      <c r="B448" s="20" t="s">
        <v>1010</v>
      </c>
      <c r="C448" s="87">
        <v>69.46</v>
      </c>
      <c r="D448" s="88">
        <v>0.2</v>
      </c>
      <c r="E448" s="87">
        <f t="shared" si="1"/>
        <v>55.568</v>
      </c>
      <c r="F448" s="20" t="s">
        <v>131</v>
      </c>
      <c r="G448" s="20" t="s">
        <v>132</v>
      </c>
    </row>
    <row r="449" ht="19.5" customHeight="1">
      <c r="A449" s="85" t="s">
        <v>1011</v>
      </c>
      <c r="B449" s="20" t="s">
        <v>1012</v>
      </c>
      <c r="C449" s="87">
        <v>67.05</v>
      </c>
      <c r="D449" s="88">
        <v>0.2</v>
      </c>
      <c r="E449" s="87">
        <f t="shared" si="1"/>
        <v>53.64</v>
      </c>
      <c r="F449" s="20" t="s">
        <v>131</v>
      </c>
      <c r="G449" s="20" t="s">
        <v>132</v>
      </c>
    </row>
    <row r="450" ht="19.5" customHeight="1">
      <c r="A450" s="85" t="s">
        <v>1013</v>
      </c>
      <c r="B450" s="20" t="s">
        <v>1014</v>
      </c>
      <c r="C450" s="87">
        <v>56.43</v>
      </c>
      <c r="D450" s="88">
        <v>0.2</v>
      </c>
      <c r="E450" s="87">
        <f t="shared" si="1"/>
        <v>45.144</v>
      </c>
      <c r="F450" s="20" t="s">
        <v>131</v>
      </c>
      <c r="G450" s="20" t="s">
        <v>132</v>
      </c>
    </row>
    <row r="451" ht="19.5" customHeight="1">
      <c r="A451" s="85" t="s">
        <v>1015</v>
      </c>
      <c r="B451" s="20" t="s">
        <v>1016</v>
      </c>
      <c r="C451" s="87">
        <v>74.82</v>
      </c>
      <c r="D451" s="88">
        <v>0.2</v>
      </c>
      <c r="E451" s="87">
        <f t="shared" si="1"/>
        <v>59.856</v>
      </c>
      <c r="F451" s="20" t="s">
        <v>131</v>
      </c>
      <c r="G451" s="20" t="s">
        <v>132</v>
      </c>
    </row>
    <row r="452" ht="19.5" customHeight="1">
      <c r="A452" s="85" t="s">
        <v>1017</v>
      </c>
      <c r="B452" s="20" t="s">
        <v>1018</v>
      </c>
      <c r="C452" s="87">
        <v>77.79</v>
      </c>
      <c r="D452" s="88">
        <v>0.2</v>
      </c>
      <c r="E452" s="87">
        <f t="shared" si="1"/>
        <v>62.232</v>
      </c>
      <c r="F452" s="20" t="s">
        <v>131</v>
      </c>
      <c r="G452" s="20" t="s">
        <v>132</v>
      </c>
    </row>
    <row r="453" ht="19.5" customHeight="1">
      <c r="A453" s="85" t="s">
        <v>1019</v>
      </c>
      <c r="B453" s="20" t="s">
        <v>1020</v>
      </c>
      <c r="C453" s="87">
        <v>81.87</v>
      </c>
      <c r="D453" s="88">
        <v>0.2</v>
      </c>
      <c r="E453" s="87">
        <f t="shared" si="1"/>
        <v>65.496</v>
      </c>
      <c r="F453" s="20" t="s">
        <v>131</v>
      </c>
      <c r="G453" s="20" t="s">
        <v>132</v>
      </c>
    </row>
    <row r="454" ht="19.5" customHeight="1">
      <c r="A454" s="85" t="s">
        <v>1021</v>
      </c>
      <c r="B454" s="20" t="s">
        <v>1022</v>
      </c>
      <c r="C454" s="87">
        <v>96.01</v>
      </c>
      <c r="D454" s="88">
        <v>0.2</v>
      </c>
      <c r="E454" s="87">
        <f t="shared" si="1"/>
        <v>76.808</v>
      </c>
      <c r="F454" s="20" t="s">
        <v>131</v>
      </c>
      <c r="G454" s="20" t="s">
        <v>132</v>
      </c>
    </row>
    <row r="455" ht="19.5" customHeight="1">
      <c r="A455" s="85" t="s">
        <v>1023</v>
      </c>
      <c r="B455" s="20" t="s">
        <v>1024</v>
      </c>
      <c r="C455" s="87">
        <v>122.46</v>
      </c>
      <c r="D455" s="88">
        <v>0.2</v>
      </c>
      <c r="E455" s="87">
        <f t="shared" si="1"/>
        <v>97.968</v>
      </c>
      <c r="F455" s="20" t="s">
        <v>131</v>
      </c>
      <c r="G455" s="20" t="s">
        <v>132</v>
      </c>
    </row>
    <row r="456" ht="19.5" customHeight="1">
      <c r="A456" s="85" t="s">
        <v>1025</v>
      </c>
      <c r="B456" s="20" t="s">
        <v>1026</v>
      </c>
      <c r="C456" s="87">
        <v>115.49</v>
      </c>
      <c r="D456" s="88">
        <v>0.2</v>
      </c>
      <c r="E456" s="87">
        <f t="shared" si="1"/>
        <v>92.392</v>
      </c>
      <c r="F456" s="20" t="s">
        <v>131</v>
      </c>
      <c r="G456" s="20" t="s">
        <v>132</v>
      </c>
    </row>
    <row r="457" ht="19.5" customHeight="1">
      <c r="A457" s="85" t="s">
        <v>1027</v>
      </c>
      <c r="B457" s="20" t="s">
        <v>1028</v>
      </c>
      <c r="C457" s="87">
        <v>130.63</v>
      </c>
      <c r="D457" s="88">
        <v>0.2</v>
      </c>
      <c r="E457" s="87">
        <f t="shared" si="1"/>
        <v>104.504</v>
      </c>
      <c r="F457" s="20" t="s">
        <v>131</v>
      </c>
      <c r="G457" s="20" t="s">
        <v>132</v>
      </c>
    </row>
    <row r="458" ht="19.5" customHeight="1">
      <c r="A458" s="85" t="s">
        <v>1029</v>
      </c>
      <c r="B458" s="20" t="s">
        <v>1030</v>
      </c>
      <c r="C458" s="87">
        <v>118.97</v>
      </c>
      <c r="D458" s="88">
        <v>0.2</v>
      </c>
      <c r="E458" s="87">
        <f t="shared" si="1"/>
        <v>95.176</v>
      </c>
      <c r="F458" s="20" t="s">
        <v>131</v>
      </c>
      <c r="G458" s="20" t="s">
        <v>132</v>
      </c>
    </row>
    <row r="459" ht="19.5" customHeight="1">
      <c r="A459" s="85" t="s">
        <v>1031</v>
      </c>
      <c r="B459" s="20" t="s">
        <v>1032</v>
      </c>
      <c r="C459" s="87">
        <v>118.97</v>
      </c>
      <c r="D459" s="88">
        <v>0.2</v>
      </c>
      <c r="E459" s="87">
        <f t="shared" si="1"/>
        <v>95.176</v>
      </c>
      <c r="F459" s="20" t="s">
        <v>131</v>
      </c>
      <c r="G459" s="20" t="s">
        <v>132</v>
      </c>
    </row>
    <row r="460" ht="19.5" customHeight="1">
      <c r="A460" s="85" t="s">
        <v>1033</v>
      </c>
      <c r="B460" s="20" t="s">
        <v>1034</v>
      </c>
      <c r="C460" s="87">
        <v>122.46</v>
      </c>
      <c r="D460" s="88">
        <v>0.2</v>
      </c>
      <c r="E460" s="87">
        <f t="shared" si="1"/>
        <v>97.968</v>
      </c>
      <c r="F460" s="20" t="s">
        <v>131</v>
      </c>
      <c r="G460" s="20" t="s">
        <v>132</v>
      </c>
    </row>
    <row r="461" ht="19.5" customHeight="1">
      <c r="A461" s="85" t="s">
        <v>1035</v>
      </c>
      <c r="B461" s="20" t="s">
        <v>1036</v>
      </c>
      <c r="C461" s="87">
        <v>122.46</v>
      </c>
      <c r="D461" s="88">
        <v>0.2</v>
      </c>
      <c r="E461" s="87">
        <f t="shared" si="1"/>
        <v>97.968</v>
      </c>
      <c r="F461" s="20" t="s">
        <v>131</v>
      </c>
      <c r="G461" s="20" t="s">
        <v>132</v>
      </c>
    </row>
    <row r="462" ht="19.5" customHeight="1">
      <c r="A462" s="85" t="s">
        <v>1037</v>
      </c>
      <c r="B462" s="20" t="s">
        <v>1038</v>
      </c>
      <c r="C462" s="87">
        <v>102.89</v>
      </c>
      <c r="D462" s="88">
        <v>0.2</v>
      </c>
      <c r="E462" s="87">
        <f t="shared" si="1"/>
        <v>82.312</v>
      </c>
      <c r="F462" s="20" t="s">
        <v>131</v>
      </c>
      <c r="G462" s="20" t="s">
        <v>132</v>
      </c>
    </row>
    <row r="463" ht="19.5" customHeight="1">
      <c r="A463" s="85" t="s">
        <v>1039</v>
      </c>
      <c r="B463" s="20" t="s">
        <v>1040</v>
      </c>
      <c r="C463" s="87">
        <v>69.9</v>
      </c>
      <c r="D463" s="88">
        <v>0.2</v>
      </c>
      <c r="E463" s="87">
        <f t="shared" si="1"/>
        <v>55.92</v>
      </c>
      <c r="F463" s="20" t="s">
        <v>131</v>
      </c>
      <c r="G463" s="20" t="s">
        <v>132</v>
      </c>
    </row>
    <row r="464" ht="19.5" customHeight="1">
      <c r="A464" s="85" t="s">
        <v>1041</v>
      </c>
      <c r="B464" s="20" t="s">
        <v>1042</v>
      </c>
      <c r="C464" s="87">
        <v>115.36</v>
      </c>
      <c r="D464" s="88">
        <v>0.2</v>
      </c>
      <c r="E464" s="87">
        <f t="shared" si="1"/>
        <v>92.288</v>
      </c>
      <c r="F464" s="20" t="s">
        <v>131</v>
      </c>
      <c r="G464" s="20" t="s">
        <v>132</v>
      </c>
    </row>
    <row r="465" ht="19.5" customHeight="1">
      <c r="A465" s="85" t="s">
        <v>1043</v>
      </c>
      <c r="B465" s="20" t="s">
        <v>1044</v>
      </c>
      <c r="C465" s="87">
        <v>44.61</v>
      </c>
      <c r="D465" s="88">
        <v>0.2</v>
      </c>
      <c r="E465" s="87">
        <f t="shared" si="1"/>
        <v>35.688</v>
      </c>
      <c r="F465" s="20" t="s">
        <v>131</v>
      </c>
      <c r="G465" s="20" t="s">
        <v>132</v>
      </c>
    </row>
    <row r="466" ht="19.5" customHeight="1">
      <c r="A466" s="85" t="s">
        <v>1045</v>
      </c>
      <c r="B466" s="20" t="s">
        <v>1046</v>
      </c>
      <c r="C466" s="87">
        <v>38.12</v>
      </c>
      <c r="D466" s="88">
        <v>0.2</v>
      </c>
      <c r="E466" s="87">
        <f t="shared" si="1"/>
        <v>30.496</v>
      </c>
      <c r="F466" s="20" t="s">
        <v>131</v>
      </c>
      <c r="G466" s="20" t="s">
        <v>132</v>
      </c>
    </row>
    <row r="467" ht="19.5" customHeight="1">
      <c r="A467" s="85" t="s">
        <v>1047</v>
      </c>
      <c r="B467" s="20" t="s">
        <v>1048</v>
      </c>
      <c r="C467" s="87">
        <v>49.37</v>
      </c>
      <c r="D467" s="88">
        <v>0.2</v>
      </c>
      <c r="E467" s="87">
        <f t="shared" si="1"/>
        <v>39.496</v>
      </c>
      <c r="F467" s="20" t="s">
        <v>131</v>
      </c>
      <c r="G467" s="20" t="s">
        <v>132</v>
      </c>
    </row>
    <row r="468" ht="19.5" customHeight="1">
      <c r="A468" s="85" t="s">
        <v>1049</v>
      </c>
      <c r="B468" s="20" t="s">
        <v>1050</v>
      </c>
      <c r="C468" s="87">
        <v>51.18</v>
      </c>
      <c r="D468" s="88">
        <v>0.2</v>
      </c>
      <c r="E468" s="87">
        <f t="shared" si="1"/>
        <v>40.944</v>
      </c>
      <c r="F468" s="20" t="s">
        <v>131</v>
      </c>
      <c r="G468" s="20" t="s">
        <v>132</v>
      </c>
    </row>
    <row r="469" ht="19.5" customHeight="1">
      <c r="A469" s="85" t="s">
        <v>1051</v>
      </c>
      <c r="B469" s="20" t="s">
        <v>1052</v>
      </c>
      <c r="C469" s="87">
        <v>53.68</v>
      </c>
      <c r="D469" s="88">
        <v>0.2</v>
      </c>
      <c r="E469" s="87">
        <f t="shared" si="1"/>
        <v>42.944</v>
      </c>
      <c r="F469" s="20" t="s">
        <v>131</v>
      </c>
      <c r="G469" s="20" t="s">
        <v>132</v>
      </c>
    </row>
    <row r="470" ht="19.5" customHeight="1">
      <c r="A470" s="85" t="s">
        <v>1053</v>
      </c>
      <c r="B470" s="20" t="s">
        <v>1054</v>
      </c>
      <c r="C470" s="87">
        <v>62.33</v>
      </c>
      <c r="D470" s="88">
        <v>0.2</v>
      </c>
      <c r="E470" s="87">
        <f t="shared" si="1"/>
        <v>49.864</v>
      </c>
      <c r="F470" s="20" t="s">
        <v>131</v>
      </c>
      <c r="G470" s="20" t="s">
        <v>132</v>
      </c>
    </row>
    <row r="471" ht="19.5" customHeight="1">
      <c r="A471" s="85" t="s">
        <v>1055</v>
      </c>
      <c r="B471" s="20" t="s">
        <v>1056</v>
      </c>
      <c r="C471" s="87">
        <v>94.08</v>
      </c>
      <c r="D471" s="88">
        <v>0.2</v>
      </c>
      <c r="E471" s="87">
        <f t="shared" si="1"/>
        <v>75.264</v>
      </c>
      <c r="F471" s="20" t="s">
        <v>131</v>
      </c>
      <c r="G471" s="20" t="s">
        <v>132</v>
      </c>
    </row>
    <row r="472" ht="19.5" customHeight="1">
      <c r="A472" s="85" t="s">
        <v>1057</v>
      </c>
      <c r="B472" s="20" t="s">
        <v>1058</v>
      </c>
      <c r="C472" s="87">
        <v>86.09</v>
      </c>
      <c r="D472" s="88">
        <v>0.2</v>
      </c>
      <c r="E472" s="87">
        <f t="shared" si="1"/>
        <v>68.872</v>
      </c>
      <c r="F472" s="20" t="s">
        <v>131</v>
      </c>
      <c r="G472" s="20" t="s">
        <v>132</v>
      </c>
    </row>
    <row r="473" ht="19.5" customHeight="1">
      <c r="A473" s="85" t="s">
        <v>1059</v>
      </c>
      <c r="B473" s="20" t="s">
        <v>1060</v>
      </c>
      <c r="C473" s="87">
        <v>103.45</v>
      </c>
      <c r="D473" s="88">
        <v>0.2</v>
      </c>
      <c r="E473" s="87">
        <f t="shared" si="1"/>
        <v>82.76</v>
      </c>
      <c r="F473" s="20" t="s">
        <v>131</v>
      </c>
      <c r="G473" s="20" t="s">
        <v>132</v>
      </c>
    </row>
    <row r="474" ht="19.5" customHeight="1">
      <c r="A474" s="85" t="s">
        <v>1061</v>
      </c>
      <c r="B474" s="20" t="s">
        <v>1062</v>
      </c>
      <c r="C474" s="87">
        <v>90.08</v>
      </c>
      <c r="D474" s="88">
        <v>0.2</v>
      </c>
      <c r="E474" s="87">
        <f t="shared" si="1"/>
        <v>72.064</v>
      </c>
      <c r="F474" s="20" t="s">
        <v>131</v>
      </c>
      <c r="G474" s="20" t="s">
        <v>132</v>
      </c>
    </row>
    <row r="475" ht="19.5" customHeight="1">
      <c r="A475" s="85" t="s">
        <v>1063</v>
      </c>
      <c r="B475" s="20" t="s">
        <v>1064</v>
      </c>
      <c r="C475" s="87">
        <v>90.08</v>
      </c>
      <c r="D475" s="88">
        <v>0.2</v>
      </c>
      <c r="E475" s="87">
        <f t="shared" si="1"/>
        <v>72.064</v>
      </c>
      <c r="F475" s="20" t="s">
        <v>131</v>
      </c>
      <c r="G475" s="20" t="s">
        <v>132</v>
      </c>
    </row>
    <row r="476" ht="19.5" customHeight="1">
      <c r="A476" s="85" t="s">
        <v>1065</v>
      </c>
      <c r="B476" s="20" t="s">
        <v>1066</v>
      </c>
      <c r="C476" s="87">
        <v>94.08</v>
      </c>
      <c r="D476" s="88">
        <v>0.2</v>
      </c>
      <c r="E476" s="87">
        <f t="shared" si="1"/>
        <v>75.264</v>
      </c>
      <c r="F476" s="20" t="s">
        <v>131</v>
      </c>
      <c r="G476" s="20" t="s">
        <v>132</v>
      </c>
    </row>
    <row r="477" ht="19.5" customHeight="1">
      <c r="A477" s="85" t="s">
        <v>1067</v>
      </c>
      <c r="B477" s="20" t="s">
        <v>1068</v>
      </c>
      <c r="C477" s="87">
        <v>94.08</v>
      </c>
      <c r="D477" s="88">
        <v>0.2</v>
      </c>
      <c r="E477" s="87">
        <f t="shared" si="1"/>
        <v>75.264</v>
      </c>
      <c r="F477" s="20" t="s">
        <v>131</v>
      </c>
      <c r="G477" s="20" t="s">
        <v>132</v>
      </c>
    </row>
    <row r="478" ht="19.5" customHeight="1">
      <c r="A478" s="85" t="s">
        <v>1069</v>
      </c>
      <c r="B478" s="20" t="s">
        <v>1070</v>
      </c>
      <c r="C478" s="87">
        <v>66.54</v>
      </c>
      <c r="D478" s="88">
        <v>0.2</v>
      </c>
      <c r="E478" s="87">
        <f t="shared" si="1"/>
        <v>53.232</v>
      </c>
      <c r="F478" s="20" t="s">
        <v>131</v>
      </c>
      <c r="G478" s="20" t="s">
        <v>132</v>
      </c>
    </row>
    <row r="479" ht="19.5" customHeight="1">
      <c r="A479" s="85" t="s">
        <v>1071</v>
      </c>
      <c r="B479" s="20" t="s">
        <v>1072</v>
      </c>
      <c r="C479" s="87">
        <v>46.36</v>
      </c>
      <c r="D479" s="88">
        <v>0.2</v>
      </c>
      <c r="E479" s="87">
        <f t="shared" si="1"/>
        <v>37.088</v>
      </c>
      <c r="F479" s="20" t="s">
        <v>131</v>
      </c>
      <c r="G479" s="20" t="s">
        <v>132</v>
      </c>
    </row>
    <row r="480" ht="19.5" customHeight="1">
      <c r="A480" s="85" t="s">
        <v>1073</v>
      </c>
      <c r="B480" s="20" t="s">
        <v>1074</v>
      </c>
      <c r="C480" s="87">
        <v>88.37</v>
      </c>
      <c r="D480" s="88">
        <v>0.2</v>
      </c>
      <c r="E480" s="87">
        <f t="shared" si="1"/>
        <v>70.696</v>
      </c>
      <c r="F480" s="20" t="s">
        <v>131</v>
      </c>
      <c r="G480" s="20" t="s">
        <v>132</v>
      </c>
    </row>
    <row r="481" ht="19.5" customHeight="1">
      <c r="A481" s="85" t="s">
        <v>1075</v>
      </c>
      <c r="B481" s="20" t="s">
        <v>1076</v>
      </c>
      <c r="C481" s="87">
        <v>160.47</v>
      </c>
      <c r="D481" s="88">
        <v>0.2</v>
      </c>
      <c r="E481" s="87">
        <f t="shared" si="1"/>
        <v>128.376</v>
      </c>
      <c r="F481" s="20" t="s">
        <v>131</v>
      </c>
      <c r="G481" s="20" t="s">
        <v>132</v>
      </c>
    </row>
    <row r="482" ht="19.5" customHeight="1">
      <c r="A482" s="85" t="s">
        <v>1077</v>
      </c>
      <c r="B482" s="20" t="s">
        <v>1078</v>
      </c>
      <c r="C482" s="87">
        <v>137.45</v>
      </c>
      <c r="D482" s="88">
        <v>0.2</v>
      </c>
      <c r="E482" s="87">
        <f t="shared" si="1"/>
        <v>109.96</v>
      </c>
      <c r="F482" s="20" t="s">
        <v>131</v>
      </c>
      <c r="G482" s="20" t="s">
        <v>132</v>
      </c>
    </row>
    <row r="483" ht="19.5" customHeight="1">
      <c r="A483" s="85" t="s">
        <v>1079</v>
      </c>
      <c r="B483" s="20" t="s">
        <v>1080</v>
      </c>
      <c r="C483" s="87">
        <v>177.32</v>
      </c>
      <c r="D483" s="88">
        <v>0.2</v>
      </c>
      <c r="E483" s="87">
        <f t="shared" si="1"/>
        <v>141.856</v>
      </c>
      <c r="F483" s="20" t="s">
        <v>131</v>
      </c>
      <c r="G483" s="20" t="s">
        <v>132</v>
      </c>
    </row>
    <row r="484" ht="19.5" customHeight="1">
      <c r="A484" s="85" t="s">
        <v>1081</v>
      </c>
      <c r="B484" s="20" t="s">
        <v>1082</v>
      </c>
      <c r="C484" s="87">
        <v>183.74</v>
      </c>
      <c r="D484" s="88">
        <v>0.2</v>
      </c>
      <c r="E484" s="87">
        <f t="shared" si="1"/>
        <v>146.992</v>
      </c>
      <c r="F484" s="20" t="s">
        <v>131</v>
      </c>
      <c r="G484" s="20" t="s">
        <v>132</v>
      </c>
    </row>
    <row r="485" ht="19.5" customHeight="1">
      <c r="A485" s="85" t="s">
        <v>1083</v>
      </c>
      <c r="B485" s="20" t="s">
        <v>1084</v>
      </c>
      <c r="C485" s="87">
        <v>192.59</v>
      </c>
      <c r="D485" s="88">
        <v>0.2</v>
      </c>
      <c r="E485" s="87">
        <f t="shared" si="1"/>
        <v>154.072</v>
      </c>
      <c r="F485" s="20" t="s">
        <v>131</v>
      </c>
      <c r="G485" s="20" t="s">
        <v>132</v>
      </c>
    </row>
    <row r="486" ht="19.5" customHeight="1">
      <c r="A486" s="85" t="s">
        <v>1085</v>
      </c>
      <c r="B486" s="20" t="s">
        <v>1086</v>
      </c>
      <c r="C486" s="87">
        <v>223.25</v>
      </c>
      <c r="D486" s="88">
        <v>0.2</v>
      </c>
      <c r="E486" s="87">
        <f t="shared" si="1"/>
        <v>178.6</v>
      </c>
      <c r="F486" s="20" t="s">
        <v>131</v>
      </c>
      <c r="G486" s="20" t="s">
        <v>132</v>
      </c>
    </row>
    <row r="487" ht="19.5" customHeight="1">
      <c r="A487" s="85" t="s">
        <v>1087</v>
      </c>
      <c r="B487" s="20" t="s">
        <v>1088</v>
      </c>
      <c r="C487" s="87">
        <v>285.28</v>
      </c>
      <c r="D487" s="88">
        <v>0.2</v>
      </c>
      <c r="E487" s="87">
        <f t="shared" si="1"/>
        <v>228.224</v>
      </c>
      <c r="F487" s="20" t="s">
        <v>131</v>
      </c>
      <c r="G487" s="20" t="s">
        <v>132</v>
      </c>
    </row>
    <row r="488" ht="19.5" customHeight="1">
      <c r="A488" s="85" t="s">
        <v>1089</v>
      </c>
      <c r="B488" s="20" t="s">
        <v>1090</v>
      </c>
      <c r="C488" s="87">
        <v>275.08</v>
      </c>
      <c r="D488" s="88">
        <v>0.2</v>
      </c>
      <c r="E488" s="87">
        <f t="shared" si="1"/>
        <v>220.064</v>
      </c>
      <c r="F488" s="20" t="s">
        <v>131</v>
      </c>
      <c r="G488" s="20" t="s">
        <v>132</v>
      </c>
    </row>
    <row r="489" ht="19.5" customHeight="1">
      <c r="A489" s="85" t="s">
        <v>1091</v>
      </c>
      <c r="B489" s="20" t="s">
        <v>1092</v>
      </c>
      <c r="C489" s="87">
        <v>297.21</v>
      </c>
      <c r="D489" s="88">
        <v>0.2</v>
      </c>
      <c r="E489" s="87">
        <f t="shared" si="1"/>
        <v>237.768</v>
      </c>
      <c r="F489" s="20" t="s">
        <v>131</v>
      </c>
      <c r="G489" s="20" t="s">
        <v>132</v>
      </c>
    </row>
    <row r="490" ht="19.5" customHeight="1">
      <c r="A490" s="85" t="s">
        <v>1093</v>
      </c>
      <c r="B490" s="20" t="s">
        <v>1094</v>
      </c>
      <c r="C490" s="87">
        <v>280.15</v>
      </c>
      <c r="D490" s="88">
        <v>0.2</v>
      </c>
      <c r="E490" s="87">
        <f t="shared" si="1"/>
        <v>224.12</v>
      </c>
      <c r="F490" s="20" t="s">
        <v>131</v>
      </c>
      <c r="G490" s="20" t="s">
        <v>132</v>
      </c>
    </row>
    <row r="491" ht="19.5" customHeight="1">
      <c r="A491" s="85" t="s">
        <v>1095</v>
      </c>
      <c r="B491" s="20" t="s">
        <v>1096</v>
      </c>
      <c r="C491" s="87">
        <v>280.15</v>
      </c>
      <c r="D491" s="88">
        <v>0.2</v>
      </c>
      <c r="E491" s="87">
        <f t="shared" si="1"/>
        <v>224.12</v>
      </c>
      <c r="F491" s="20" t="s">
        <v>131</v>
      </c>
      <c r="G491" s="20" t="s">
        <v>132</v>
      </c>
    </row>
    <row r="492" ht="19.5" customHeight="1">
      <c r="A492" s="85" t="s">
        <v>1097</v>
      </c>
      <c r="B492" s="20" t="s">
        <v>1098</v>
      </c>
      <c r="C492" s="87">
        <v>285.28</v>
      </c>
      <c r="D492" s="88">
        <v>0.2</v>
      </c>
      <c r="E492" s="87">
        <f t="shared" si="1"/>
        <v>228.224</v>
      </c>
      <c r="F492" s="20" t="s">
        <v>131</v>
      </c>
      <c r="G492" s="20" t="s">
        <v>132</v>
      </c>
    </row>
    <row r="493" ht="19.5" customHeight="1">
      <c r="A493" s="85" t="s">
        <v>1099</v>
      </c>
      <c r="B493" s="20" t="s">
        <v>1100</v>
      </c>
      <c r="C493" s="87">
        <v>285.28</v>
      </c>
      <c r="D493" s="88">
        <v>0.2</v>
      </c>
      <c r="E493" s="87">
        <f t="shared" si="1"/>
        <v>228.224</v>
      </c>
      <c r="F493" s="20" t="s">
        <v>131</v>
      </c>
      <c r="G493" s="20" t="s">
        <v>132</v>
      </c>
    </row>
    <row r="494" ht="19.5" customHeight="1">
      <c r="A494" s="85" t="s">
        <v>1101</v>
      </c>
      <c r="B494" s="20" t="s">
        <v>1102</v>
      </c>
      <c r="C494" s="87">
        <v>238.16</v>
      </c>
      <c r="D494" s="88">
        <v>0.2</v>
      </c>
      <c r="E494" s="87">
        <f t="shared" si="1"/>
        <v>190.528</v>
      </c>
      <c r="F494" s="20" t="s">
        <v>131</v>
      </c>
      <c r="G494" s="20" t="s">
        <v>132</v>
      </c>
    </row>
    <row r="495" ht="19.5" customHeight="1">
      <c r="A495" s="85" t="s">
        <v>1103</v>
      </c>
      <c r="B495" s="20" t="s">
        <v>1104</v>
      </c>
      <c r="C495" s="87">
        <v>166.65</v>
      </c>
      <c r="D495" s="88">
        <v>0.2</v>
      </c>
      <c r="E495" s="87">
        <f t="shared" si="1"/>
        <v>133.32</v>
      </c>
      <c r="F495" s="20" t="s">
        <v>131</v>
      </c>
      <c r="G495" s="20" t="s">
        <v>132</v>
      </c>
    </row>
    <row r="496" ht="19.5" customHeight="1">
      <c r="A496" s="85" t="s">
        <v>1105</v>
      </c>
      <c r="B496" s="20" t="s">
        <v>1106</v>
      </c>
      <c r="C496" s="87">
        <v>279.05</v>
      </c>
      <c r="D496" s="88">
        <v>0.2</v>
      </c>
      <c r="E496" s="87">
        <f t="shared" si="1"/>
        <v>223.24</v>
      </c>
      <c r="F496" s="20" t="s">
        <v>131</v>
      </c>
      <c r="G496" s="20" t="s">
        <v>132</v>
      </c>
    </row>
    <row r="497" ht="19.5" customHeight="1">
      <c r="A497" s="85" t="s">
        <v>1107</v>
      </c>
      <c r="B497" s="20" t="s">
        <v>1108</v>
      </c>
      <c r="C497" s="87">
        <v>279.05</v>
      </c>
      <c r="D497" s="88">
        <v>0.2</v>
      </c>
      <c r="E497" s="87">
        <f t="shared" si="1"/>
        <v>223.24</v>
      </c>
      <c r="F497" s="20" t="s">
        <v>131</v>
      </c>
      <c r="G497" s="20" t="s">
        <v>132</v>
      </c>
    </row>
    <row r="498" ht="19.5" customHeight="1">
      <c r="A498" s="85" t="s">
        <v>1109</v>
      </c>
      <c r="B498" s="20" t="s">
        <v>1110</v>
      </c>
      <c r="C498" s="87">
        <v>159.96</v>
      </c>
      <c r="D498" s="88">
        <v>0.2</v>
      </c>
      <c r="E498" s="87">
        <f t="shared" si="1"/>
        <v>127.968</v>
      </c>
      <c r="F498" s="20" t="s">
        <v>131</v>
      </c>
      <c r="G498" s="20" t="s">
        <v>132</v>
      </c>
    </row>
    <row r="499" ht="19.5" customHeight="1">
      <c r="A499" s="85" t="s">
        <v>1111</v>
      </c>
      <c r="B499" s="20" t="s">
        <v>1112</v>
      </c>
      <c r="C499" s="87">
        <v>239.94</v>
      </c>
      <c r="D499" s="88">
        <v>0.2</v>
      </c>
      <c r="E499" s="87">
        <f t="shared" si="1"/>
        <v>191.952</v>
      </c>
      <c r="F499" s="20" t="s">
        <v>131</v>
      </c>
      <c r="G499" s="20" t="s">
        <v>132</v>
      </c>
    </row>
    <row r="500" ht="19.5" customHeight="1">
      <c r="A500" s="85" t="s">
        <v>1113</v>
      </c>
      <c r="B500" s="20" t="s">
        <v>1114</v>
      </c>
      <c r="C500" s="87">
        <v>319.91</v>
      </c>
      <c r="D500" s="88">
        <v>0.2</v>
      </c>
      <c r="E500" s="87">
        <f t="shared" si="1"/>
        <v>255.928</v>
      </c>
      <c r="F500" s="20" t="s">
        <v>131</v>
      </c>
      <c r="G500" s="20" t="s">
        <v>132</v>
      </c>
    </row>
    <row r="501" ht="19.5" customHeight="1">
      <c r="A501" s="85" t="s">
        <v>1115</v>
      </c>
      <c r="B501" s="20" t="s">
        <v>1116</v>
      </c>
      <c r="C501" s="87">
        <v>479.87</v>
      </c>
      <c r="D501" s="88">
        <v>0.2</v>
      </c>
      <c r="E501" s="87">
        <f t="shared" si="1"/>
        <v>383.896</v>
      </c>
      <c r="F501" s="20" t="s">
        <v>131</v>
      </c>
      <c r="G501" s="20" t="s">
        <v>132</v>
      </c>
    </row>
    <row r="502" ht="19.5" customHeight="1">
      <c r="A502" s="85" t="s">
        <v>1117</v>
      </c>
      <c r="B502" s="20" t="s">
        <v>1118</v>
      </c>
      <c r="C502" s="87">
        <v>166.36</v>
      </c>
      <c r="D502" s="88">
        <v>0.2</v>
      </c>
      <c r="E502" s="87">
        <f t="shared" si="1"/>
        <v>133.088</v>
      </c>
      <c r="F502" s="20" t="s">
        <v>131</v>
      </c>
      <c r="G502" s="20" t="s">
        <v>132</v>
      </c>
    </row>
    <row r="503" ht="19.5" customHeight="1">
      <c r="A503" s="85" t="s">
        <v>1119</v>
      </c>
      <c r="B503" s="20" t="s">
        <v>1120</v>
      </c>
      <c r="C503" s="87">
        <v>249.54</v>
      </c>
      <c r="D503" s="88">
        <v>0.2</v>
      </c>
      <c r="E503" s="87">
        <f t="shared" si="1"/>
        <v>199.632</v>
      </c>
      <c r="F503" s="20" t="s">
        <v>131</v>
      </c>
      <c r="G503" s="20" t="s">
        <v>132</v>
      </c>
    </row>
    <row r="504" ht="19.5" customHeight="1">
      <c r="A504" s="85" t="s">
        <v>1121</v>
      </c>
      <c r="B504" s="20" t="s">
        <v>1122</v>
      </c>
      <c r="C504" s="87">
        <v>332.71</v>
      </c>
      <c r="D504" s="88">
        <v>0.2</v>
      </c>
      <c r="E504" s="87">
        <f t="shared" si="1"/>
        <v>266.168</v>
      </c>
      <c r="F504" s="20" t="s">
        <v>131</v>
      </c>
      <c r="G504" s="20" t="s">
        <v>132</v>
      </c>
    </row>
    <row r="505" ht="19.5" customHeight="1">
      <c r="A505" s="85" t="s">
        <v>1123</v>
      </c>
      <c r="B505" s="20" t="s">
        <v>1124</v>
      </c>
      <c r="C505" s="87">
        <v>499.06</v>
      </c>
      <c r="D505" s="88">
        <v>0.2</v>
      </c>
      <c r="E505" s="87">
        <f t="shared" si="1"/>
        <v>399.248</v>
      </c>
      <c r="F505" s="20" t="s">
        <v>131</v>
      </c>
      <c r="G505" s="20" t="s">
        <v>132</v>
      </c>
    </row>
    <row r="506" ht="19.5" customHeight="1">
      <c r="A506" s="85" t="s">
        <v>1125</v>
      </c>
      <c r="B506" s="20" t="s">
        <v>1126</v>
      </c>
      <c r="C506" s="87">
        <v>171.16</v>
      </c>
      <c r="D506" s="88">
        <v>0.2</v>
      </c>
      <c r="E506" s="87">
        <f t="shared" si="1"/>
        <v>136.928</v>
      </c>
      <c r="F506" s="20" t="s">
        <v>131</v>
      </c>
      <c r="G506" s="20" t="s">
        <v>132</v>
      </c>
    </row>
    <row r="507" ht="19.5" customHeight="1">
      <c r="A507" s="85" t="s">
        <v>1127</v>
      </c>
      <c r="B507" s="20" t="s">
        <v>1128</v>
      </c>
      <c r="C507" s="87">
        <v>256.74</v>
      </c>
      <c r="D507" s="88">
        <v>0.2</v>
      </c>
      <c r="E507" s="87">
        <f t="shared" si="1"/>
        <v>205.392</v>
      </c>
      <c r="F507" s="20" t="s">
        <v>131</v>
      </c>
      <c r="G507" s="20" t="s">
        <v>132</v>
      </c>
    </row>
    <row r="508" ht="19.5" customHeight="1">
      <c r="A508" s="85" t="s">
        <v>1129</v>
      </c>
      <c r="B508" s="20" t="s">
        <v>1130</v>
      </c>
      <c r="C508" s="87">
        <v>342.3</v>
      </c>
      <c r="D508" s="88">
        <v>0.2</v>
      </c>
      <c r="E508" s="87">
        <f t="shared" si="1"/>
        <v>273.84</v>
      </c>
      <c r="F508" s="20" t="s">
        <v>131</v>
      </c>
      <c r="G508" s="20" t="s">
        <v>132</v>
      </c>
    </row>
    <row r="509" ht="19.5" customHeight="1">
      <c r="A509" s="85" t="s">
        <v>1131</v>
      </c>
      <c r="B509" s="20" t="s">
        <v>1132</v>
      </c>
      <c r="C509" s="87">
        <v>513.46</v>
      </c>
      <c r="D509" s="88">
        <v>0.2</v>
      </c>
      <c r="E509" s="87">
        <f t="shared" si="1"/>
        <v>410.768</v>
      </c>
      <c r="F509" s="20" t="s">
        <v>131</v>
      </c>
      <c r="G509" s="20" t="s">
        <v>132</v>
      </c>
    </row>
    <row r="510" ht="19.5" customHeight="1">
      <c r="A510" s="85" t="s">
        <v>1133</v>
      </c>
      <c r="B510" s="20" t="s">
        <v>1134</v>
      </c>
      <c r="C510" s="87">
        <v>191.95</v>
      </c>
      <c r="D510" s="88">
        <v>0.2</v>
      </c>
      <c r="E510" s="87">
        <f t="shared" si="1"/>
        <v>153.56</v>
      </c>
      <c r="F510" s="20" t="s">
        <v>131</v>
      </c>
      <c r="G510" s="20" t="s">
        <v>132</v>
      </c>
    </row>
    <row r="511" ht="19.5" customHeight="1">
      <c r="A511" s="85" t="s">
        <v>1135</v>
      </c>
      <c r="B511" s="20" t="s">
        <v>1136</v>
      </c>
      <c r="C511" s="87">
        <v>287.93</v>
      </c>
      <c r="D511" s="88">
        <v>0.2</v>
      </c>
      <c r="E511" s="87">
        <f t="shared" si="1"/>
        <v>230.344</v>
      </c>
      <c r="F511" s="20" t="s">
        <v>131</v>
      </c>
      <c r="G511" s="20" t="s">
        <v>132</v>
      </c>
    </row>
    <row r="512" ht="19.5" customHeight="1">
      <c r="A512" s="85" t="s">
        <v>1137</v>
      </c>
      <c r="B512" s="20" t="s">
        <v>1138</v>
      </c>
      <c r="C512" s="87">
        <v>383.89</v>
      </c>
      <c r="D512" s="88">
        <v>0.2</v>
      </c>
      <c r="E512" s="87">
        <f t="shared" si="1"/>
        <v>307.112</v>
      </c>
      <c r="F512" s="20" t="s">
        <v>131</v>
      </c>
      <c r="G512" s="20" t="s">
        <v>132</v>
      </c>
    </row>
    <row r="513" ht="19.5" customHeight="1">
      <c r="A513" s="85" t="s">
        <v>1139</v>
      </c>
      <c r="B513" s="20" t="s">
        <v>1140</v>
      </c>
      <c r="C513" s="87">
        <v>575.84</v>
      </c>
      <c r="D513" s="88">
        <v>0.2</v>
      </c>
      <c r="E513" s="87">
        <f t="shared" si="1"/>
        <v>460.672</v>
      </c>
      <c r="F513" s="20" t="s">
        <v>131</v>
      </c>
      <c r="G513" s="20" t="s">
        <v>132</v>
      </c>
    </row>
    <row r="514" ht="19.5" customHeight="1">
      <c r="A514" s="85" t="s">
        <v>1141</v>
      </c>
      <c r="B514" s="20" t="s">
        <v>1142</v>
      </c>
      <c r="C514" s="87">
        <v>175.96</v>
      </c>
      <c r="D514" s="88">
        <v>0.2</v>
      </c>
      <c r="E514" s="87">
        <f t="shared" si="1"/>
        <v>140.768</v>
      </c>
      <c r="F514" s="20" t="s">
        <v>131</v>
      </c>
      <c r="G514" s="20" t="s">
        <v>132</v>
      </c>
    </row>
    <row r="515" ht="19.5" customHeight="1">
      <c r="A515" s="85" t="s">
        <v>1143</v>
      </c>
      <c r="B515" s="20" t="s">
        <v>1144</v>
      </c>
      <c r="C515" s="87">
        <v>263.93</v>
      </c>
      <c r="D515" s="88">
        <v>0.2</v>
      </c>
      <c r="E515" s="87">
        <f t="shared" si="1"/>
        <v>211.144</v>
      </c>
      <c r="F515" s="20" t="s">
        <v>131</v>
      </c>
      <c r="G515" s="20" t="s">
        <v>132</v>
      </c>
    </row>
    <row r="516" ht="19.5" customHeight="1">
      <c r="A516" s="85" t="s">
        <v>1145</v>
      </c>
      <c r="B516" s="20" t="s">
        <v>1146</v>
      </c>
      <c r="C516" s="87">
        <v>351.9</v>
      </c>
      <c r="D516" s="88">
        <v>0.2</v>
      </c>
      <c r="E516" s="87">
        <f t="shared" si="1"/>
        <v>281.52</v>
      </c>
      <c r="F516" s="20" t="s">
        <v>131</v>
      </c>
      <c r="G516" s="20" t="s">
        <v>132</v>
      </c>
    </row>
    <row r="517" ht="19.5" customHeight="1">
      <c r="A517" s="85" t="s">
        <v>1147</v>
      </c>
      <c r="B517" s="20" t="s">
        <v>1148</v>
      </c>
      <c r="C517" s="87">
        <v>527.86</v>
      </c>
      <c r="D517" s="88">
        <v>0.2</v>
      </c>
      <c r="E517" s="87">
        <f t="shared" si="1"/>
        <v>422.288</v>
      </c>
      <c r="F517" s="20" t="s">
        <v>131</v>
      </c>
      <c r="G517" s="20" t="s">
        <v>132</v>
      </c>
    </row>
    <row r="518" ht="19.5" customHeight="1">
      <c r="A518" s="85" t="s">
        <v>1149</v>
      </c>
      <c r="B518" s="20" t="s">
        <v>1150</v>
      </c>
      <c r="C518" s="87">
        <v>183.95</v>
      </c>
      <c r="D518" s="88">
        <v>0.2</v>
      </c>
      <c r="E518" s="87">
        <f t="shared" si="1"/>
        <v>147.16</v>
      </c>
      <c r="F518" s="20" t="s">
        <v>131</v>
      </c>
      <c r="G518" s="20" t="s">
        <v>132</v>
      </c>
    </row>
    <row r="519" ht="19.5" customHeight="1">
      <c r="A519" s="85" t="s">
        <v>1151</v>
      </c>
      <c r="B519" s="20" t="s">
        <v>1152</v>
      </c>
      <c r="C519" s="87">
        <v>275.93</v>
      </c>
      <c r="D519" s="88">
        <v>0.2</v>
      </c>
      <c r="E519" s="87">
        <f t="shared" si="1"/>
        <v>220.744</v>
      </c>
      <c r="F519" s="20" t="s">
        <v>131</v>
      </c>
      <c r="G519" s="20" t="s">
        <v>132</v>
      </c>
    </row>
    <row r="520" ht="19.5" customHeight="1">
      <c r="A520" s="85" t="s">
        <v>1153</v>
      </c>
      <c r="B520" s="20" t="s">
        <v>1154</v>
      </c>
      <c r="C520" s="87">
        <v>367.9</v>
      </c>
      <c r="D520" s="88">
        <v>0.2</v>
      </c>
      <c r="E520" s="87">
        <f t="shared" si="1"/>
        <v>294.32</v>
      </c>
      <c r="F520" s="20" t="s">
        <v>131</v>
      </c>
      <c r="G520" s="20" t="s">
        <v>132</v>
      </c>
    </row>
    <row r="521" ht="19.5" customHeight="1">
      <c r="A521" s="85" t="s">
        <v>1155</v>
      </c>
      <c r="B521" s="20" t="s">
        <v>1156</v>
      </c>
      <c r="C521" s="87">
        <v>551.85</v>
      </c>
      <c r="D521" s="88">
        <v>0.2</v>
      </c>
      <c r="E521" s="87">
        <f t="shared" si="1"/>
        <v>441.48</v>
      </c>
      <c r="F521" s="20" t="s">
        <v>131</v>
      </c>
      <c r="G521" s="20" t="s">
        <v>132</v>
      </c>
    </row>
    <row r="522" ht="19.5" customHeight="1">
      <c r="A522" s="85" t="s">
        <v>1157</v>
      </c>
      <c r="B522" s="20" t="s">
        <v>1158</v>
      </c>
      <c r="C522" s="87">
        <v>339.6</v>
      </c>
      <c r="D522" s="88">
        <v>0.2</v>
      </c>
      <c r="E522" s="87">
        <f t="shared" si="1"/>
        <v>271.68</v>
      </c>
      <c r="F522" s="20" t="s">
        <v>131</v>
      </c>
      <c r="G522" s="20" t="s">
        <v>132</v>
      </c>
    </row>
    <row r="523" ht="19.5" customHeight="1">
      <c r="A523" s="85" t="s">
        <v>1159</v>
      </c>
      <c r="B523" s="20" t="s">
        <v>1160</v>
      </c>
      <c r="C523" s="87">
        <v>353.18</v>
      </c>
      <c r="D523" s="88">
        <v>0.2</v>
      </c>
      <c r="E523" s="87">
        <f t="shared" si="1"/>
        <v>282.544</v>
      </c>
      <c r="F523" s="20" t="s">
        <v>131</v>
      </c>
      <c r="G523" s="20" t="s">
        <v>132</v>
      </c>
    </row>
    <row r="524" ht="19.5" customHeight="1">
      <c r="A524" s="85" t="s">
        <v>1161</v>
      </c>
      <c r="B524" s="20" t="s">
        <v>1162</v>
      </c>
      <c r="C524" s="87">
        <v>363.37</v>
      </c>
      <c r="D524" s="88">
        <v>0.2</v>
      </c>
      <c r="E524" s="87">
        <f t="shared" si="1"/>
        <v>290.696</v>
      </c>
      <c r="F524" s="20" t="s">
        <v>131</v>
      </c>
      <c r="G524" s="20" t="s">
        <v>132</v>
      </c>
    </row>
    <row r="525" ht="19.5" customHeight="1">
      <c r="A525" s="85" t="s">
        <v>1163</v>
      </c>
      <c r="B525" s="20" t="s">
        <v>1164</v>
      </c>
      <c r="C525" s="87">
        <v>407.52</v>
      </c>
      <c r="D525" s="88">
        <v>0.2</v>
      </c>
      <c r="E525" s="87">
        <f t="shared" si="1"/>
        <v>326.016</v>
      </c>
      <c r="F525" s="20" t="s">
        <v>131</v>
      </c>
      <c r="G525" s="20" t="s">
        <v>132</v>
      </c>
    </row>
    <row r="526" ht="19.5" customHeight="1">
      <c r="A526" s="85" t="s">
        <v>1165</v>
      </c>
      <c r="B526" s="20" t="s">
        <v>1166</v>
      </c>
      <c r="C526" s="87">
        <v>373.56</v>
      </c>
      <c r="D526" s="88">
        <v>0.2</v>
      </c>
      <c r="E526" s="87">
        <f t="shared" si="1"/>
        <v>298.848</v>
      </c>
      <c r="F526" s="20" t="s">
        <v>131</v>
      </c>
      <c r="G526" s="20" t="s">
        <v>132</v>
      </c>
    </row>
    <row r="527" ht="19.5" customHeight="1">
      <c r="A527" s="85" t="s">
        <v>1167</v>
      </c>
      <c r="B527" s="20" t="s">
        <v>1168</v>
      </c>
      <c r="C527" s="87">
        <v>390.54</v>
      </c>
      <c r="D527" s="88">
        <v>0.2</v>
      </c>
      <c r="E527" s="87">
        <f t="shared" si="1"/>
        <v>312.432</v>
      </c>
      <c r="F527" s="20" t="s">
        <v>131</v>
      </c>
      <c r="G527" s="20" t="s">
        <v>132</v>
      </c>
    </row>
    <row r="528" ht="19.5" customHeight="1">
      <c r="A528" s="85" t="s">
        <v>1169</v>
      </c>
      <c r="B528" s="20" t="s">
        <v>1170</v>
      </c>
      <c r="C528" s="87">
        <v>353.18</v>
      </c>
      <c r="D528" s="88">
        <v>0.2</v>
      </c>
      <c r="E528" s="87">
        <f t="shared" si="1"/>
        <v>282.544</v>
      </c>
      <c r="F528" s="20" t="s">
        <v>131</v>
      </c>
      <c r="G528" s="20" t="s">
        <v>132</v>
      </c>
    </row>
    <row r="529" ht="19.5" customHeight="1">
      <c r="A529" s="85" t="s">
        <v>1171</v>
      </c>
      <c r="B529" s="20" t="s">
        <v>1172</v>
      </c>
      <c r="C529" s="87">
        <v>339.6</v>
      </c>
      <c r="D529" s="88">
        <v>0.2</v>
      </c>
      <c r="E529" s="87">
        <f t="shared" si="1"/>
        <v>271.68</v>
      </c>
      <c r="F529" s="20" t="s">
        <v>131</v>
      </c>
      <c r="G529" s="20" t="s">
        <v>132</v>
      </c>
    </row>
    <row r="530" ht="19.5" customHeight="1">
      <c r="A530" s="85" t="s">
        <v>1173</v>
      </c>
      <c r="B530" s="20" t="s">
        <v>1174</v>
      </c>
      <c r="C530" s="87">
        <v>54.69</v>
      </c>
      <c r="D530" s="88">
        <v>0.2</v>
      </c>
      <c r="E530" s="87">
        <f t="shared" si="1"/>
        <v>43.752</v>
      </c>
      <c r="F530" s="20" t="s">
        <v>127</v>
      </c>
      <c r="G530" s="20" t="s">
        <v>128</v>
      </c>
    </row>
    <row r="531" ht="19.5" customHeight="1">
      <c r="A531" s="85" t="s">
        <v>1175</v>
      </c>
      <c r="B531" s="20" t="s">
        <v>1176</v>
      </c>
      <c r="C531" s="87">
        <v>118.5</v>
      </c>
      <c r="D531" s="88">
        <v>0.2</v>
      </c>
      <c r="E531" s="87">
        <f t="shared" si="1"/>
        <v>94.8</v>
      </c>
      <c r="F531" s="20" t="s">
        <v>127</v>
      </c>
      <c r="G531" s="20" t="s">
        <v>128</v>
      </c>
    </row>
    <row r="532" ht="19.5" customHeight="1">
      <c r="A532" s="85" t="s">
        <v>1177</v>
      </c>
      <c r="B532" s="20" t="s">
        <v>1178</v>
      </c>
      <c r="C532" s="87">
        <v>45.59</v>
      </c>
      <c r="D532" s="88">
        <v>0.2</v>
      </c>
      <c r="E532" s="87">
        <f t="shared" si="1"/>
        <v>36.472</v>
      </c>
      <c r="F532" s="20" t="s">
        <v>127</v>
      </c>
      <c r="G532" s="20" t="s">
        <v>128</v>
      </c>
    </row>
    <row r="533" ht="19.5" customHeight="1">
      <c r="A533" s="85" t="s">
        <v>1179</v>
      </c>
      <c r="B533" s="20" t="s">
        <v>1180</v>
      </c>
      <c r="C533" s="87">
        <v>98.77</v>
      </c>
      <c r="D533" s="88">
        <v>0.2</v>
      </c>
      <c r="E533" s="87">
        <f t="shared" si="1"/>
        <v>79.016</v>
      </c>
      <c r="F533" s="20" t="s">
        <v>127</v>
      </c>
      <c r="G533" s="20" t="s">
        <v>128</v>
      </c>
    </row>
    <row r="534" ht="19.5" customHeight="1">
      <c r="A534" s="85" t="s">
        <v>1181</v>
      </c>
      <c r="B534" s="20" t="s">
        <v>1182</v>
      </c>
      <c r="C534" s="87">
        <v>53.84</v>
      </c>
      <c r="D534" s="88">
        <v>0.2</v>
      </c>
      <c r="E534" s="87">
        <f t="shared" si="1"/>
        <v>43.072</v>
      </c>
      <c r="F534" s="20" t="s">
        <v>127</v>
      </c>
      <c r="G534" s="20" t="s">
        <v>128</v>
      </c>
    </row>
    <row r="535" ht="19.5" customHeight="1">
      <c r="A535" s="85" t="s">
        <v>1183</v>
      </c>
      <c r="B535" s="20" t="s">
        <v>1184</v>
      </c>
      <c r="C535" s="87">
        <v>116.66</v>
      </c>
      <c r="D535" s="88">
        <v>0.2</v>
      </c>
      <c r="E535" s="87">
        <f t="shared" si="1"/>
        <v>93.328</v>
      </c>
      <c r="F535" s="20" t="s">
        <v>127</v>
      </c>
      <c r="G535" s="20" t="s">
        <v>128</v>
      </c>
    </row>
    <row r="536" ht="19.5" customHeight="1">
      <c r="A536" s="85" t="s">
        <v>1185</v>
      </c>
      <c r="B536" s="20" t="s">
        <v>1186</v>
      </c>
      <c r="C536" s="87">
        <v>56.81</v>
      </c>
      <c r="D536" s="88">
        <v>0.2</v>
      </c>
      <c r="E536" s="87">
        <f t="shared" si="1"/>
        <v>45.448</v>
      </c>
      <c r="F536" s="20" t="s">
        <v>127</v>
      </c>
      <c r="G536" s="20" t="s">
        <v>128</v>
      </c>
    </row>
    <row r="537" ht="19.5" customHeight="1">
      <c r="A537" s="85" t="s">
        <v>1187</v>
      </c>
      <c r="B537" s="20" t="s">
        <v>1188</v>
      </c>
      <c r="C537" s="87">
        <v>123.09</v>
      </c>
      <c r="D537" s="88">
        <v>0.2</v>
      </c>
      <c r="E537" s="87">
        <f t="shared" si="1"/>
        <v>98.472</v>
      </c>
      <c r="F537" s="20" t="s">
        <v>127</v>
      </c>
      <c r="G537" s="20" t="s">
        <v>128</v>
      </c>
    </row>
    <row r="538" ht="19.5" customHeight="1">
      <c r="A538" s="85" t="s">
        <v>1189</v>
      </c>
      <c r="B538" s="20" t="s">
        <v>1190</v>
      </c>
      <c r="C538" s="87">
        <v>56.81</v>
      </c>
      <c r="D538" s="88">
        <v>0.2</v>
      </c>
      <c r="E538" s="87">
        <f t="shared" si="1"/>
        <v>45.448</v>
      </c>
      <c r="F538" s="20" t="s">
        <v>127</v>
      </c>
      <c r="G538" s="20" t="s">
        <v>128</v>
      </c>
    </row>
    <row r="539" ht="19.5" customHeight="1">
      <c r="A539" s="85" t="s">
        <v>1191</v>
      </c>
      <c r="B539" s="20" t="s">
        <v>1192</v>
      </c>
      <c r="C539" s="87">
        <v>123.09</v>
      </c>
      <c r="D539" s="88">
        <v>0.2</v>
      </c>
      <c r="E539" s="87">
        <f t="shared" si="1"/>
        <v>98.472</v>
      </c>
      <c r="F539" s="20" t="s">
        <v>127</v>
      </c>
      <c r="G539" s="20" t="s">
        <v>128</v>
      </c>
    </row>
    <row r="540" ht="19.5" customHeight="1">
      <c r="A540" s="85" t="s">
        <v>1193</v>
      </c>
      <c r="B540" s="20" t="s">
        <v>1194</v>
      </c>
      <c r="C540" s="87">
        <v>54.69</v>
      </c>
      <c r="D540" s="88">
        <v>0.2</v>
      </c>
      <c r="E540" s="87">
        <f t="shared" si="1"/>
        <v>43.752</v>
      </c>
      <c r="F540" s="20" t="s">
        <v>127</v>
      </c>
      <c r="G540" s="20" t="s">
        <v>128</v>
      </c>
    </row>
    <row r="541" ht="19.5" customHeight="1">
      <c r="A541" s="85" t="s">
        <v>1195</v>
      </c>
      <c r="B541" s="20" t="s">
        <v>1196</v>
      </c>
      <c r="C541" s="87">
        <v>118.5</v>
      </c>
      <c r="D541" s="88">
        <v>0.2</v>
      </c>
      <c r="E541" s="87">
        <f t="shared" si="1"/>
        <v>94.8</v>
      </c>
      <c r="F541" s="20" t="s">
        <v>127</v>
      </c>
      <c r="G541" s="20" t="s">
        <v>128</v>
      </c>
    </row>
    <row r="542" ht="19.5" customHeight="1">
      <c r="A542" s="85" t="s">
        <v>1197</v>
      </c>
      <c r="B542" s="20" t="s">
        <v>1198</v>
      </c>
      <c r="C542" s="87">
        <v>34.55</v>
      </c>
      <c r="D542" s="88">
        <v>0.2</v>
      </c>
      <c r="E542" s="87">
        <f t="shared" si="1"/>
        <v>27.64</v>
      </c>
      <c r="F542" s="20" t="s">
        <v>127</v>
      </c>
      <c r="G542" s="20" t="s">
        <v>128</v>
      </c>
    </row>
    <row r="543" ht="19.5" customHeight="1">
      <c r="A543" s="85" t="s">
        <v>1199</v>
      </c>
      <c r="B543" s="20" t="s">
        <v>1200</v>
      </c>
      <c r="C543" s="87">
        <v>16.26</v>
      </c>
      <c r="D543" s="88">
        <v>0.2</v>
      </c>
      <c r="E543" s="87">
        <f t="shared" si="1"/>
        <v>13.008</v>
      </c>
      <c r="F543" s="20" t="s">
        <v>127</v>
      </c>
      <c r="G543" s="20" t="s">
        <v>128</v>
      </c>
    </row>
    <row r="544" ht="19.5" customHeight="1">
      <c r="A544" s="85" t="s">
        <v>1201</v>
      </c>
      <c r="B544" s="20" t="s">
        <v>1202</v>
      </c>
      <c r="C544" s="87">
        <v>35.23</v>
      </c>
      <c r="D544" s="88">
        <v>0.2</v>
      </c>
      <c r="E544" s="87">
        <f t="shared" si="1"/>
        <v>28.184</v>
      </c>
      <c r="F544" s="20" t="s">
        <v>127</v>
      </c>
      <c r="G544" s="20" t="s">
        <v>128</v>
      </c>
    </row>
    <row r="545" ht="19.5" customHeight="1">
      <c r="A545" s="85" t="s">
        <v>1203</v>
      </c>
      <c r="B545" s="20" t="s">
        <v>1204</v>
      </c>
      <c r="C545" s="87">
        <v>12.87</v>
      </c>
      <c r="D545" s="88">
        <v>0.2</v>
      </c>
      <c r="E545" s="87">
        <f t="shared" si="1"/>
        <v>10.296</v>
      </c>
      <c r="F545" s="20" t="s">
        <v>127</v>
      </c>
      <c r="G545" s="20" t="s">
        <v>128</v>
      </c>
    </row>
    <row r="546" ht="19.5" customHeight="1">
      <c r="A546" s="85" t="s">
        <v>1205</v>
      </c>
      <c r="B546" s="20" t="s">
        <v>1206</v>
      </c>
      <c r="C546" s="87">
        <v>27.89</v>
      </c>
      <c r="D546" s="88">
        <v>0.2</v>
      </c>
      <c r="E546" s="87">
        <f t="shared" si="1"/>
        <v>22.312</v>
      </c>
      <c r="F546" s="20" t="s">
        <v>127</v>
      </c>
      <c r="G546" s="20" t="s">
        <v>128</v>
      </c>
    </row>
    <row r="547" ht="19.5" customHeight="1">
      <c r="A547" s="85" t="s">
        <v>1207</v>
      </c>
      <c r="B547" s="20" t="s">
        <v>1208</v>
      </c>
      <c r="C547" s="87">
        <v>17.67</v>
      </c>
      <c r="D547" s="88">
        <v>0.2</v>
      </c>
      <c r="E547" s="87">
        <f t="shared" si="1"/>
        <v>14.136</v>
      </c>
      <c r="F547" s="20" t="s">
        <v>127</v>
      </c>
      <c r="G547" s="20" t="s">
        <v>128</v>
      </c>
    </row>
    <row r="548" ht="19.5" customHeight="1">
      <c r="A548" s="85" t="s">
        <v>1209</v>
      </c>
      <c r="B548" s="20" t="s">
        <v>1210</v>
      </c>
      <c r="C548" s="87">
        <v>38.3</v>
      </c>
      <c r="D548" s="88">
        <v>0.2</v>
      </c>
      <c r="E548" s="87">
        <f t="shared" si="1"/>
        <v>30.64</v>
      </c>
      <c r="F548" s="20" t="s">
        <v>127</v>
      </c>
      <c r="G548" s="20" t="s">
        <v>128</v>
      </c>
    </row>
    <row r="549" ht="19.5" customHeight="1">
      <c r="A549" s="85" t="s">
        <v>1211</v>
      </c>
      <c r="B549" s="20" t="s">
        <v>1212</v>
      </c>
      <c r="C549" s="87">
        <v>25.0</v>
      </c>
      <c r="D549" s="88">
        <v>0.2</v>
      </c>
      <c r="E549" s="87">
        <f t="shared" si="1"/>
        <v>20</v>
      </c>
      <c r="F549" s="20" t="s">
        <v>127</v>
      </c>
      <c r="G549" s="20" t="s">
        <v>128</v>
      </c>
    </row>
    <row r="550" ht="19.5" customHeight="1">
      <c r="A550" s="85" t="s">
        <v>1213</v>
      </c>
      <c r="B550" s="20" t="s">
        <v>1214</v>
      </c>
      <c r="C550" s="87">
        <v>54.16</v>
      </c>
      <c r="D550" s="88">
        <v>0.2</v>
      </c>
      <c r="E550" s="87">
        <f t="shared" si="1"/>
        <v>43.328</v>
      </c>
      <c r="F550" s="20" t="s">
        <v>127</v>
      </c>
      <c r="G550" s="20" t="s">
        <v>128</v>
      </c>
    </row>
    <row r="551" ht="19.5" customHeight="1">
      <c r="A551" s="85" t="s">
        <v>1215</v>
      </c>
      <c r="B551" s="20" t="s">
        <v>1216</v>
      </c>
      <c r="C551" s="87">
        <v>15.95</v>
      </c>
      <c r="D551" s="88">
        <v>0.2</v>
      </c>
      <c r="E551" s="87">
        <f t="shared" si="1"/>
        <v>12.76</v>
      </c>
      <c r="F551" s="20" t="s">
        <v>127</v>
      </c>
      <c r="G551" s="20" t="s">
        <v>128</v>
      </c>
    </row>
    <row r="552" ht="19.5" customHeight="1">
      <c r="A552" s="85" t="s">
        <v>1217</v>
      </c>
      <c r="B552" s="20" t="s">
        <v>1218</v>
      </c>
      <c r="C552" s="87">
        <v>34.55</v>
      </c>
      <c r="D552" s="88">
        <v>0.2</v>
      </c>
      <c r="E552" s="87">
        <f t="shared" si="1"/>
        <v>27.64</v>
      </c>
      <c r="F552" s="20" t="s">
        <v>127</v>
      </c>
      <c r="G552" s="20" t="s">
        <v>128</v>
      </c>
    </row>
    <row r="553" ht="19.5" customHeight="1">
      <c r="A553" s="85" t="s">
        <v>1219</v>
      </c>
      <c r="B553" s="20" t="s">
        <v>1220</v>
      </c>
      <c r="C553" s="87">
        <v>17.05</v>
      </c>
      <c r="D553" s="88">
        <v>0.2</v>
      </c>
      <c r="E553" s="87">
        <f t="shared" si="1"/>
        <v>13.64</v>
      </c>
      <c r="F553" s="20" t="s">
        <v>127</v>
      </c>
      <c r="G553" s="20" t="s">
        <v>128</v>
      </c>
    </row>
    <row r="554" ht="19.5" customHeight="1">
      <c r="A554" s="85" t="s">
        <v>1221</v>
      </c>
      <c r="B554" s="20" t="s">
        <v>1222</v>
      </c>
      <c r="C554" s="87">
        <v>36.94</v>
      </c>
      <c r="D554" s="88">
        <v>0.2</v>
      </c>
      <c r="E554" s="87">
        <f t="shared" si="1"/>
        <v>29.552</v>
      </c>
      <c r="F554" s="20" t="s">
        <v>127</v>
      </c>
      <c r="G554" s="20" t="s">
        <v>128</v>
      </c>
    </row>
    <row r="555" ht="19.5" customHeight="1">
      <c r="A555" s="85" t="s">
        <v>1223</v>
      </c>
      <c r="B555" s="20" t="s">
        <v>1224</v>
      </c>
      <c r="C555" s="87">
        <v>17.05</v>
      </c>
      <c r="D555" s="88">
        <v>0.2</v>
      </c>
      <c r="E555" s="87">
        <f t="shared" si="1"/>
        <v>13.64</v>
      </c>
      <c r="F555" s="20" t="s">
        <v>127</v>
      </c>
      <c r="G555" s="20" t="s">
        <v>128</v>
      </c>
    </row>
    <row r="556" ht="19.5" customHeight="1">
      <c r="A556" s="85" t="s">
        <v>1225</v>
      </c>
      <c r="B556" s="20" t="s">
        <v>1226</v>
      </c>
      <c r="C556" s="87">
        <v>36.94</v>
      </c>
      <c r="D556" s="88">
        <v>0.2</v>
      </c>
      <c r="E556" s="87">
        <f t="shared" si="1"/>
        <v>29.552</v>
      </c>
      <c r="F556" s="20" t="s">
        <v>127</v>
      </c>
      <c r="G556" s="20" t="s">
        <v>128</v>
      </c>
    </row>
    <row r="557" ht="19.5" customHeight="1">
      <c r="A557" s="85" t="s">
        <v>1227</v>
      </c>
      <c r="B557" s="20" t="s">
        <v>1228</v>
      </c>
      <c r="C557" s="87">
        <v>35.23</v>
      </c>
      <c r="D557" s="88">
        <v>0.2</v>
      </c>
      <c r="E557" s="87">
        <f t="shared" si="1"/>
        <v>28.184</v>
      </c>
      <c r="F557" s="20" t="s">
        <v>127</v>
      </c>
      <c r="G557" s="20" t="s">
        <v>128</v>
      </c>
    </row>
    <row r="558" ht="19.5" customHeight="1">
      <c r="A558" s="85" t="s">
        <v>1229</v>
      </c>
      <c r="B558" s="20" t="s">
        <v>1230</v>
      </c>
      <c r="C558" s="87">
        <v>16.26</v>
      </c>
      <c r="D558" s="88">
        <v>0.2</v>
      </c>
      <c r="E558" s="87">
        <f t="shared" si="1"/>
        <v>13.008</v>
      </c>
      <c r="F558" s="20" t="s">
        <v>127</v>
      </c>
      <c r="G558" s="20" t="s">
        <v>128</v>
      </c>
    </row>
    <row r="559" ht="19.5" customHeight="1">
      <c r="A559" s="85" t="s">
        <v>32</v>
      </c>
      <c r="B559" s="20" t="s">
        <v>1231</v>
      </c>
      <c r="C559" s="87">
        <v>35.23</v>
      </c>
      <c r="D559" s="88">
        <v>0.2</v>
      </c>
      <c r="E559" s="87">
        <f t="shared" si="1"/>
        <v>28.184</v>
      </c>
      <c r="F559" s="20" t="s">
        <v>127</v>
      </c>
      <c r="G559" s="20" t="s">
        <v>128</v>
      </c>
    </row>
    <row r="560" ht="19.5" customHeight="1">
      <c r="A560" s="85" t="s">
        <v>1232</v>
      </c>
      <c r="B560" s="20" t="s">
        <v>1233</v>
      </c>
      <c r="C560" s="87">
        <v>44.51</v>
      </c>
      <c r="D560" s="88">
        <v>0.2</v>
      </c>
      <c r="E560" s="87">
        <f t="shared" si="1"/>
        <v>35.608</v>
      </c>
      <c r="F560" s="20" t="s">
        <v>127</v>
      </c>
      <c r="G560" s="20" t="s">
        <v>128</v>
      </c>
    </row>
    <row r="561" ht="19.5" customHeight="1">
      <c r="A561" s="85" t="s">
        <v>1234</v>
      </c>
      <c r="B561" s="20" t="s">
        <v>1235</v>
      </c>
      <c r="C561" s="87">
        <v>96.43</v>
      </c>
      <c r="D561" s="88">
        <v>0.2</v>
      </c>
      <c r="E561" s="87">
        <f t="shared" si="1"/>
        <v>77.144</v>
      </c>
      <c r="F561" s="20" t="s">
        <v>127</v>
      </c>
      <c r="G561" s="20" t="s">
        <v>128</v>
      </c>
    </row>
    <row r="562" ht="19.5" customHeight="1">
      <c r="A562" s="85" t="s">
        <v>1236</v>
      </c>
      <c r="B562" s="20" t="s">
        <v>1237</v>
      </c>
      <c r="C562" s="87">
        <v>39.74</v>
      </c>
      <c r="D562" s="88">
        <v>0.2</v>
      </c>
      <c r="E562" s="87">
        <f t="shared" si="1"/>
        <v>31.792</v>
      </c>
      <c r="F562" s="20" t="s">
        <v>127</v>
      </c>
      <c r="G562" s="20" t="s">
        <v>128</v>
      </c>
    </row>
    <row r="563" ht="19.5" customHeight="1">
      <c r="A563" s="85" t="s">
        <v>1238</v>
      </c>
      <c r="B563" s="20" t="s">
        <v>1239</v>
      </c>
      <c r="C563" s="87">
        <v>86.09</v>
      </c>
      <c r="D563" s="88">
        <v>0.2</v>
      </c>
      <c r="E563" s="87">
        <f t="shared" si="1"/>
        <v>68.872</v>
      </c>
      <c r="F563" s="20" t="s">
        <v>127</v>
      </c>
      <c r="G563" s="20" t="s">
        <v>128</v>
      </c>
    </row>
    <row r="564" ht="19.5" customHeight="1">
      <c r="A564" s="85" t="s">
        <v>1240</v>
      </c>
      <c r="B564" s="20" t="s">
        <v>1241</v>
      </c>
      <c r="C564" s="87">
        <v>56.81</v>
      </c>
      <c r="D564" s="88">
        <v>0.2</v>
      </c>
      <c r="E564" s="87">
        <f t="shared" si="1"/>
        <v>45.448</v>
      </c>
      <c r="F564" s="20" t="s">
        <v>127</v>
      </c>
      <c r="G564" s="20" t="s">
        <v>128</v>
      </c>
    </row>
    <row r="565" ht="19.5" customHeight="1">
      <c r="A565" s="85" t="s">
        <v>1242</v>
      </c>
      <c r="B565" s="20" t="s">
        <v>1243</v>
      </c>
      <c r="C565" s="87">
        <v>123.08</v>
      </c>
      <c r="D565" s="88">
        <v>0.2</v>
      </c>
      <c r="E565" s="87">
        <f t="shared" si="1"/>
        <v>98.464</v>
      </c>
      <c r="F565" s="20" t="s">
        <v>127</v>
      </c>
      <c r="G565" s="20" t="s">
        <v>128</v>
      </c>
    </row>
    <row r="566" ht="19.5" customHeight="1">
      <c r="A566" s="85" t="s">
        <v>1244</v>
      </c>
      <c r="B566" s="20" t="s">
        <v>1245</v>
      </c>
      <c r="C566" s="87">
        <v>44.06</v>
      </c>
      <c r="D566" s="88">
        <v>0.2</v>
      </c>
      <c r="E566" s="87">
        <f t="shared" si="1"/>
        <v>35.248</v>
      </c>
      <c r="F566" s="20" t="s">
        <v>127</v>
      </c>
      <c r="G566" s="20" t="s">
        <v>128</v>
      </c>
    </row>
    <row r="567" ht="19.5" customHeight="1">
      <c r="A567" s="85" t="s">
        <v>1246</v>
      </c>
      <c r="B567" s="20" t="s">
        <v>1247</v>
      </c>
      <c r="C567" s="87">
        <v>95.47</v>
      </c>
      <c r="D567" s="88">
        <v>0.2</v>
      </c>
      <c r="E567" s="87">
        <f t="shared" si="1"/>
        <v>76.376</v>
      </c>
      <c r="F567" s="20" t="s">
        <v>127</v>
      </c>
      <c r="G567" s="20" t="s">
        <v>128</v>
      </c>
    </row>
    <row r="568" ht="19.5" customHeight="1">
      <c r="A568" s="85" t="s">
        <v>1248</v>
      </c>
      <c r="B568" s="20" t="s">
        <v>1249</v>
      </c>
      <c r="C568" s="87">
        <v>45.62</v>
      </c>
      <c r="D568" s="88">
        <v>0.2</v>
      </c>
      <c r="E568" s="87">
        <f t="shared" si="1"/>
        <v>36.496</v>
      </c>
      <c r="F568" s="20" t="s">
        <v>127</v>
      </c>
      <c r="G568" s="20" t="s">
        <v>128</v>
      </c>
    </row>
    <row r="569" ht="19.5" customHeight="1">
      <c r="A569" s="85" t="s">
        <v>1250</v>
      </c>
      <c r="B569" s="20" t="s">
        <v>1251</v>
      </c>
      <c r="C569" s="87">
        <v>98.84</v>
      </c>
      <c r="D569" s="88">
        <v>0.2</v>
      </c>
      <c r="E569" s="87">
        <f t="shared" si="1"/>
        <v>79.072</v>
      </c>
      <c r="F569" s="20" t="s">
        <v>127</v>
      </c>
      <c r="G569" s="20" t="s">
        <v>128</v>
      </c>
    </row>
    <row r="570" ht="19.5" customHeight="1">
      <c r="A570" s="85" t="s">
        <v>1252</v>
      </c>
      <c r="B570" s="20" t="s">
        <v>1253</v>
      </c>
      <c r="C570" s="87">
        <v>45.62</v>
      </c>
      <c r="D570" s="88">
        <v>0.2</v>
      </c>
      <c r="E570" s="87">
        <f t="shared" si="1"/>
        <v>36.496</v>
      </c>
      <c r="F570" s="20" t="s">
        <v>127</v>
      </c>
      <c r="G570" s="20" t="s">
        <v>128</v>
      </c>
    </row>
    <row r="571" ht="19.5" customHeight="1">
      <c r="A571" s="85" t="s">
        <v>1254</v>
      </c>
      <c r="B571" s="20" t="s">
        <v>1255</v>
      </c>
      <c r="C571" s="87">
        <v>98.84</v>
      </c>
      <c r="D571" s="88">
        <v>0.2</v>
      </c>
      <c r="E571" s="87">
        <f t="shared" si="1"/>
        <v>79.072</v>
      </c>
      <c r="F571" s="20" t="s">
        <v>127</v>
      </c>
      <c r="G571" s="20" t="s">
        <v>128</v>
      </c>
    </row>
    <row r="572" ht="19.5" customHeight="1">
      <c r="A572" s="85" t="s">
        <v>1256</v>
      </c>
      <c r="B572" s="20" t="s">
        <v>1257</v>
      </c>
      <c r="C572" s="87">
        <v>96.43</v>
      </c>
      <c r="D572" s="88">
        <v>0.2</v>
      </c>
      <c r="E572" s="87">
        <f t="shared" si="1"/>
        <v>77.144</v>
      </c>
      <c r="F572" s="20" t="s">
        <v>127</v>
      </c>
      <c r="G572" s="20" t="s">
        <v>128</v>
      </c>
    </row>
    <row r="573" ht="19.5" customHeight="1">
      <c r="A573" s="85" t="s">
        <v>34</v>
      </c>
      <c r="B573" s="20" t="s">
        <v>1258</v>
      </c>
      <c r="C573" s="87">
        <v>44.51</v>
      </c>
      <c r="D573" s="88">
        <v>0.2</v>
      </c>
      <c r="E573" s="87">
        <f t="shared" si="1"/>
        <v>35.608</v>
      </c>
      <c r="F573" s="20" t="s">
        <v>127</v>
      </c>
      <c r="G573" s="20" t="s">
        <v>128</v>
      </c>
    </row>
    <row r="574" ht="19.5" customHeight="1">
      <c r="A574" s="85" t="s">
        <v>1259</v>
      </c>
      <c r="B574" s="20" t="s">
        <v>1260</v>
      </c>
      <c r="C574" s="87">
        <v>96.43</v>
      </c>
      <c r="D574" s="88">
        <v>0.2</v>
      </c>
      <c r="E574" s="87">
        <f t="shared" si="1"/>
        <v>77.144</v>
      </c>
      <c r="F574" s="20" t="s">
        <v>127</v>
      </c>
      <c r="G574" s="20" t="s">
        <v>128</v>
      </c>
    </row>
    <row r="575" ht="19.5" customHeight="1">
      <c r="A575" s="85" t="s">
        <v>1261</v>
      </c>
      <c r="B575" s="20" t="s">
        <v>1262</v>
      </c>
      <c r="C575" s="87">
        <v>98.84</v>
      </c>
      <c r="D575" s="88">
        <v>0.2</v>
      </c>
      <c r="E575" s="87">
        <f t="shared" si="1"/>
        <v>79.072</v>
      </c>
      <c r="F575" s="20" t="s">
        <v>127</v>
      </c>
      <c r="G575" s="20" t="s">
        <v>128</v>
      </c>
    </row>
    <row r="576" ht="19.5" customHeight="1">
      <c r="A576" s="85" t="s">
        <v>1263</v>
      </c>
      <c r="B576" s="20" t="s">
        <v>1264</v>
      </c>
      <c r="C576" s="87">
        <v>33.59</v>
      </c>
      <c r="D576" s="88">
        <v>0.2</v>
      </c>
      <c r="E576" s="87">
        <f t="shared" si="1"/>
        <v>26.872</v>
      </c>
      <c r="F576" s="20" t="s">
        <v>127</v>
      </c>
      <c r="G576" s="20" t="s">
        <v>128</v>
      </c>
    </row>
    <row r="577" ht="19.5" customHeight="1">
      <c r="A577" s="85" t="s">
        <v>1265</v>
      </c>
      <c r="B577" s="20" t="s">
        <v>1266</v>
      </c>
      <c r="C577" s="87">
        <v>72.78</v>
      </c>
      <c r="D577" s="88">
        <v>0.2</v>
      </c>
      <c r="E577" s="87">
        <f t="shared" si="1"/>
        <v>58.224</v>
      </c>
      <c r="F577" s="20" t="s">
        <v>127</v>
      </c>
      <c r="G577" s="20" t="s">
        <v>128</v>
      </c>
    </row>
    <row r="578" ht="19.5" customHeight="1">
      <c r="A578" s="85" t="s">
        <v>1267</v>
      </c>
      <c r="B578" s="20" t="s">
        <v>1268</v>
      </c>
      <c r="C578" s="87">
        <v>26.96</v>
      </c>
      <c r="D578" s="88">
        <v>0.2</v>
      </c>
      <c r="E578" s="87">
        <f t="shared" si="1"/>
        <v>21.568</v>
      </c>
      <c r="F578" s="20" t="s">
        <v>127</v>
      </c>
      <c r="G578" s="20" t="s">
        <v>128</v>
      </c>
    </row>
    <row r="579" ht="19.5" customHeight="1">
      <c r="A579" s="85" t="s">
        <v>1269</v>
      </c>
      <c r="B579" s="20" t="s">
        <v>1270</v>
      </c>
      <c r="C579" s="87">
        <v>58.4</v>
      </c>
      <c r="D579" s="88">
        <v>0.2</v>
      </c>
      <c r="E579" s="87">
        <f t="shared" si="1"/>
        <v>46.72</v>
      </c>
      <c r="F579" s="20" t="s">
        <v>127</v>
      </c>
      <c r="G579" s="20" t="s">
        <v>128</v>
      </c>
    </row>
    <row r="580" ht="19.5" customHeight="1">
      <c r="A580" s="85" t="s">
        <v>1271</v>
      </c>
      <c r="B580" s="20" t="s">
        <v>1272</v>
      </c>
      <c r="C580" s="87">
        <v>0.0</v>
      </c>
      <c r="D580" s="88">
        <v>0.2</v>
      </c>
      <c r="E580" s="87">
        <f t="shared" si="1"/>
        <v>0</v>
      </c>
      <c r="F580" s="20" t="s">
        <v>127</v>
      </c>
      <c r="G580" s="20" t="s">
        <v>128</v>
      </c>
    </row>
    <row r="581" ht="19.5" customHeight="1">
      <c r="A581" s="85" t="s">
        <v>1273</v>
      </c>
      <c r="B581" s="20" t="s">
        <v>1272</v>
      </c>
      <c r="C581" s="87">
        <v>36.35</v>
      </c>
      <c r="D581" s="88">
        <v>0.2</v>
      </c>
      <c r="E581" s="87">
        <f t="shared" si="1"/>
        <v>29.08</v>
      </c>
      <c r="F581" s="20" t="s">
        <v>127</v>
      </c>
      <c r="G581" s="20" t="s">
        <v>128</v>
      </c>
    </row>
    <row r="582" ht="19.5" customHeight="1">
      <c r="A582" s="85" t="s">
        <v>1274</v>
      </c>
      <c r="B582" s="20" t="s">
        <v>1275</v>
      </c>
      <c r="C582" s="87">
        <v>78.77</v>
      </c>
      <c r="D582" s="88">
        <v>0.2</v>
      </c>
      <c r="E582" s="87">
        <f t="shared" si="1"/>
        <v>63.016</v>
      </c>
      <c r="F582" s="20" t="s">
        <v>127</v>
      </c>
      <c r="G582" s="20" t="s">
        <v>128</v>
      </c>
    </row>
    <row r="583" ht="19.5" customHeight="1">
      <c r="A583" s="85" t="s">
        <v>1276</v>
      </c>
      <c r="B583" s="20" t="s">
        <v>1277</v>
      </c>
      <c r="C583" s="87">
        <v>50.68</v>
      </c>
      <c r="D583" s="88">
        <v>0.2</v>
      </c>
      <c r="E583" s="87">
        <f t="shared" si="1"/>
        <v>40.544</v>
      </c>
      <c r="F583" s="20" t="s">
        <v>127</v>
      </c>
      <c r="G583" s="20" t="s">
        <v>128</v>
      </c>
    </row>
    <row r="584" ht="19.5" customHeight="1">
      <c r="A584" s="85" t="s">
        <v>1278</v>
      </c>
      <c r="B584" s="20" t="s">
        <v>1279</v>
      </c>
      <c r="C584" s="87">
        <v>109.81</v>
      </c>
      <c r="D584" s="88">
        <v>0.2</v>
      </c>
      <c r="E584" s="87">
        <f t="shared" si="1"/>
        <v>87.848</v>
      </c>
      <c r="F584" s="20" t="s">
        <v>127</v>
      </c>
      <c r="G584" s="20" t="s">
        <v>128</v>
      </c>
    </row>
    <row r="585" ht="19.5" customHeight="1">
      <c r="A585" s="85" t="s">
        <v>1280</v>
      </c>
      <c r="B585" s="20" t="s">
        <v>1281</v>
      </c>
      <c r="C585" s="87">
        <v>32.97</v>
      </c>
      <c r="D585" s="88">
        <v>0.2</v>
      </c>
      <c r="E585" s="87">
        <f t="shared" si="1"/>
        <v>26.376</v>
      </c>
      <c r="F585" s="20" t="s">
        <v>127</v>
      </c>
      <c r="G585" s="20" t="s">
        <v>128</v>
      </c>
    </row>
    <row r="586" ht="19.5" customHeight="1">
      <c r="A586" s="85" t="s">
        <v>1282</v>
      </c>
      <c r="B586" s="20" t="s">
        <v>1283</v>
      </c>
      <c r="C586" s="87">
        <v>71.44</v>
      </c>
      <c r="D586" s="88">
        <v>0.2</v>
      </c>
      <c r="E586" s="87">
        <f t="shared" si="1"/>
        <v>57.152</v>
      </c>
      <c r="F586" s="20" t="s">
        <v>127</v>
      </c>
      <c r="G586" s="20" t="s">
        <v>128</v>
      </c>
    </row>
    <row r="587" ht="19.5" customHeight="1">
      <c r="A587" s="85" t="s">
        <v>1284</v>
      </c>
      <c r="B587" s="20" t="s">
        <v>1285</v>
      </c>
      <c r="C587" s="87">
        <v>35.13</v>
      </c>
      <c r="D587" s="88">
        <v>0.2</v>
      </c>
      <c r="E587" s="87">
        <f t="shared" si="1"/>
        <v>28.104</v>
      </c>
      <c r="F587" s="20" t="s">
        <v>127</v>
      </c>
      <c r="G587" s="20" t="s">
        <v>128</v>
      </c>
    </row>
    <row r="588" ht="19.5" customHeight="1">
      <c r="A588" s="85" t="s">
        <v>1286</v>
      </c>
      <c r="B588" s="20" t="s">
        <v>1287</v>
      </c>
      <c r="C588" s="87">
        <v>76.12</v>
      </c>
      <c r="D588" s="88">
        <v>0.2</v>
      </c>
      <c r="E588" s="87">
        <f t="shared" si="1"/>
        <v>60.896</v>
      </c>
      <c r="F588" s="20" t="s">
        <v>127</v>
      </c>
      <c r="G588" s="20" t="s">
        <v>128</v>
      </c>
    </row>
    <row r="589" ht="19.5" customHeight="1">
      <c r="A589" s="85" t="s">
        <v>1288</v>
      </c>
      <c r="B589" s="20" t="s">
        <v>1289</v>
      </c>
      <c r="C589" s="87">
        <v>35.13</v>
      </c>
      <c r="D589" s="88">
        <v>0.2</v>
      </c>
      <c r="E589" s="87">
        <f t="shared" si="1"/>
        <v>28.104</v>
      </c>
      <c r="F589" s="20" t="s">
        <v>127</v>
      </c>
      <c r="G589" s="20" t="s">
        <v>128</v>
      </c>
    </row>
    <row r="590" ht="19.5" customHeight="1">
      <c r="A590" s="85" t="s">
        <v>1290</v>
      </c>
      <c r="B590" s="20" t="s">
        <v>1291</v>
      </c>
      <c r="C590" s="87">
        <v>76.12</v>
      </c>
      <c r="D590" s="88">
        <v>0.2</v>
      </c>
      <c r="E590" s="87">
        <f t="shared" si="1"/>
        <v>60.896</v>
      </c>
      <c r="F590" s="20" t="s">
        <v>127</v>
      </c>
      <c r="G590" s="20" t="s">
        <v>128</v>
      </c>
    </row>
    <row r="591" ht="19.5" customHeight="1">
      <c r="A591" s="85" t="s">
        <v>1292</v>
      </c>
      <c r="B591" s="20" t="s">
        <v>1293</v>
      </c>
      <c r="C591" s="87">
        <v>72.78</v>
      </c>
      <c r="D591" s="88">
        <v>0.2</v>
      </c>
      <c r="E591" s="87">
        <f t="shared" si="1"/>
        <v>58.224</v>
      </c>
      <c r="F591" s="20" t="s">
        <v>127</v>
      </c>
      <c r="G591" s="20" t="s">
        <v>128</v>
      </c>
    </row>
    <row r="592" ht="19.5" customHeight="1">
      <c r="A592" s="85" t="s">
        <v>1294</v>
      </c>
      <c r="B592" s="20" t="s">
        <v>1295</v>
      </c>
      <c r="C592" s="87">
        <v>33.59</v>
      </c>
      <c r="D592" s="88">
        <v>0.2</v>
      </c>
      <c r="E592" s="87">
        <f t="shared" si="1"/>
        <v>26.872</v>
      </c>
      <c r="F592" s="20" t="s">
        <v>127</v>
      </c>
      <c r="G592" s="20" t="s">
        <v>128</v>
      </c>
    </row>
    <row r="593" ht="19.5" customHeight="1">
      <c r="A593" s="85" t="s">
        <v>31</v>
      </c>
      <c r="B593" s="20" t="s">
        <v>1296</v>
      </c>
      <c r="C593" s="87">
        <v>72.78</v>
      </c>
      <c r="D593" s="88">
        <v>0.2</v>
      </c>
      <c r="E593" s="87">
        <f t="shared" si="1"/>
        <v>58.224</v>
      </c>
      <c r="F593" s="20" t="s">
        <v>127</v>
      </c>
      <c r="G593" s="20" t="s">
        <v>128</v>
      </c>
    </row>
    <row r="594" ht="19.5" customHeight="1">
      <c r="A594" s="85" t="s">
        <v>1297</v>
      </c>
      <c r="B594" s="20" t="s">
        <v>1298</v>
      </c>
      <c r="C594" s="87">
        <v>11.7</v>
      </c>
      <c r="D594" s="88">
        <v>0.2</v>
      </c>
      <c r="E594" s="87">
        <f t="shared" si="1"/>
        <v>9.36</v>
      </c>
      <c r="F594" s="20" t="s">
        <v>127</v>
      </c>
      <c r="G594" s="20" t="s">
        <v>128</v>
      </c>
    </row>
    <row r="595" ht="19.5" customHeight="1">
      <c r="A595" s="85" t="s">
        <v>1299</v>
      </c>
      <c r="B595" s="20" t="s">
        <v>1300</v>
      </c>
      <c r="C595" s="87">
        <v>25.34</v>
      </c>
      <c r="D595" s="88">
        <v>0.2</v>
      </c>
      <c r="E595" s="87">
        <f t="shared" si="1"/>
        <v>20.272</v>
      </c>
      <c r="F595" s="20" t="s">
        <v>127</v>
      </c>
      <c r="G595" s="20" t="s">
        <v>128</v>
      </c>
    </row>
    <row r="596" ht="19.5" customHeight="1">
      <c r="A596" s="85" t="s">
        <v>1301</v>
      </c>
      <c r="B596" s="20" t="s">
        <v>1302</v>
      </c>
      <c r="C596" s="87">
        <v>8.91</v>
      </c>
      <c r="D596" s="88">
        <v>0.2</v>
      </c>
      <c r="E596" s="87">
        <f t="shared" si="1"/>
        <v>7.128</v>
      </c>
      <c r="F596" s="20" t="s">
        <v>127</v>
      </c>
      <c r="G596" s="20" t="s">
        <v>128</v>
      </c>
    </row>
    <row r="597" ht="19.5" customHeight="1">
      <c r="A597" s="85" t="s">
        <v>1303</v>
      </c>
      <c r="B597" s="20" t="s">
        <v>1304</v>
      </c>
      <c r="C597" s="87">
        <v>19.31</v>
      </c>
      <c r="D597" s="88">
        <v>0.2</v>
      </c>
      <c r="E597" s="87">
        <f t="shared" si="1"/>
        <v>15.448</v>
      </c>
      <c r="F597" s="20" t="s">
        <v>127</v>
      </c>
      <c r="G597" s="20" t="s">
        <v>128</v>
      </c>
    </row>
    <row r="598" ht="19.5" customHeight="1">
      <c r="A598" s="85" t="s">
        <v>1305</v>
      </c>
      <c r="B598" s="20" t="s">
        <v>1306</v>
      </c>
      <c r="C598" s="87">
        <v>11.44</v>
      </c>
      <c r="D598" s="88">
        <v>0.2</v>
      </c>
      <c r="E598" s="87">
        <f t="shared" si="1"/>
        <v>9.152</v>
      </c>
      <c r="F598" s="20" t="s">
        <v>127</v>
      </c>
      <c r="G598" s="20" t="s">
        <v>128</v>
      </c>
    </row>
    <row r="599" ht="19.5" customHeight="1">
      <c r="A599" s="85" t="s">
        <v>1307</v>
      </c>
      <c r="B599" s="20" t="s">
        <v>1308</v>
      </c>
      <c r="C599" s="87">
        <v>24.78</v>
      </c>
      <c r="D599" s="88">
        <v>0.2</v>
      </c>
      <c r="E599" s="87">
        <f t="shared" si="1"/>
        <v>19.824</v>
      </c>
      <c r="F599" s="20" t="s">
        <v>127</v>
      </c>
      <c r="G599" s="20" t="s">
        <v>128</v>
      </c>
    </row>
    <row r="600" ht="19.5" customHeight="1">
      <c r="A600" s="85" t="s">
        <v>1309</v>
      </c>
      <c r="B600" s="20" t="s">
        <v>1310</v>
      </c>
      <c r="C600" s="87">
        <v>12.35</v>
      </c>
      <c r="D600" s="88">
        <v>0.2</v>
      </c>
      <c r="E600" s="87">
        <f t="shared" si="1"/>
        <v>9.88</v>
      </c>
      <c r="F600" s="20" t="s">
        <v>127</v>
      </c>
      <c r="G600" s="20" t="s">
        <v>128</v>
      </c>
    </row>
    <row r="601" ht="19.5" customHeight="1">
      <c r="A601" s="85" t="s">
        <v>1311</v>
      </c>
      <c r="B601" s="20" t="s">
        <v>1312</v>
      </c>
      <c r="C601" s="87">
        <v>26.75</v>
      </c>
      <c r="D601" s="88">
        <v>0.2</v>
      </c>
      <c r="E601" s="87">
        <f t="shared" si="1"/>
        <v>21.4</v>
      </c>
      <c r="F601" s="20" t="s">
        <v>127</v>
      </c>
      <c r="G601" s="20" t="s">
        <v>128</v>
      </c>
    </row>
    <row r="602" ht="19.5" customHeight="1">
      <c r="A602" s="85" t="s">
        <v>1313</v>
      </c>
      <c r="B602" s="20" t="s">
        <v>1314</v>
      </c>
      <c r="C602" s="87">
        <v>12.35</v>
      </c>
      <c r="D602" s="88">
        <v>0.2</v>
      </c>
      <c r="E602" s="87">
        <f t="shared" si="1"/>
        <v>9.88</v>
      </c>
      <c r="F602" s="20" t="s">
        <v>127</v>
      </c>
      <c r="G602" s="20" t="s">
        <v>128</v>
      </c>
    </row>
    <row r="603" ht="19.5" customHeight="1">
      <c r="A603" s="85" t="s">
        <v>1315</v>
      </c>
      <c r="B603" s="20" t="s">
        <v>1316</v>
      </c>
      <c r="C603" s="87">
        <v>26.75</v>
      </c>
      <c r="D603" s="88">
        <v>0.2</v>
      </c>
      <c r="E603" s="87">
        <f t="shared" si="1"/>
        <v>21.4</v>
      </c>
      <c r="F603" s="20" t="s">
        <v>127</v>
      </c>
      <c r="G603" s="20" t="s">
        <v>128</v>
      </c>
    </row>
    <row r="604" ht="19.5" customHeight="1">
      <c r="A604" s="85" t="s">
        <v>1317</v>
      </c>
      <c r="B604" s="20" t="s">
        <v>1318</v>
      </c>
      <c r="C604" s="87">
        <v>11.7</v>
      </c>
      <c r="D604" s="88">
        <v>0.2</v>
      </c>
      <c r="E604" s="87">
        <f t="shared" si="1"/>
        <v>9.36</v>
      </c>
      <c r="F604" s="20" t="s">
        <v>127</v>
      </c>
      <c r="G604" s="20" t="s">
        <v>128</v>
      </c>
    </row>
    <row r="605" ht="19.5" customHeight="1">
      <c r="A605" s="85" t="s">
        <v>1319</v>
      </c>
      <c r="B605" s="20" t="s">
        <v>1320</v>
      </c>
      <c r="C605" s="87">
        <v>25.34</v>
      </c>
      <c r="D605" s="88">
        <v>0.2</v>
      </c>
      <c r="E605" s="87">
        <f t="shared" si="1"/>
        <v>20.272</v>
      </c>
      <c r="F605" s="20" t="s">
        <v>127</v>
      </c>
      <c r="G605" s="20" t="s">
        <v>128</v>
      </c>
    </row>
    <row r="606" ht="19.5" customHeight="1">
      <c r="A606" s="85" t="s">
        <v>1321</v>
      </c>
      <c r="B606" s="20" t="s">
        <v>1322</v>
      </c>
      <c r="C606" s="87">
        <v>29.09</v>
      </c>
      <c r="D606" s="88">
        <v>0.2</v>
      </c>
      <c r="E606" s="87">
        <f t="shared" si="1"/>
        <v>23.272</v>
      </c>
      <c r="F606" s="20" t="s">
        <v>127</v>
      </c>
      <c r="G606" s="20" t="s">
        <v>128</v>
      </c>
    </row>
    <row r="607" ht="19.5" customHeight="1">
      <c r="A607" s="85" t="s">
        <v>1323</v>
      </c>
      <c r="B607" s="20" t="s">
        <v>1324</v>
      </c>
      <c r="C607" s="87">
        <v>13.7</v>
      </c>
      <c r="D607" s="88">
        <v>0.2</v>
      </c>
      <c r="E607" s="87">
        <f t="shared" si="1"/>
        <v>10.96</v>
      </c>
      <c r="F607" s="20" t="s">
        <v>127</v>
      </c>
      <c r="G607" s="20" t="s">
        <v>128</v>
      </c>
    </row>
    <row r="608" ht="19.5" customHeight="1">
      <c r="A608" s="85" t="s">
        <v>1325</v>
      </c>
      <c r="B608" s="20" t="s">
        <v>1326</v>
      </c>
      <c r="C608" s="87">
        <v>29.68</v>
      </c>
      <c r="D608" s="88">
        <v>0.2</v>
      </c>
      <c r="E608" s="87">
        <f t="shared" si="1"/>
        <v>23.744</v>
      </c>
      <c r="F608" s="20" t="s">
        <v>127</v>
      </c>
      <c r="G608" s="20" t="s">
        <v>128</v>
      </c>
    </row>
    <row r="609" ht="19.5" customHeight="1">
      <c r="A609" s="85" t="s">
        <v>1327</v>
      </c>
      <c r="B609" s="20" t="s">
        <v>1328</v>
      </c>
      <c r="C609" s="87">
        <v>10.76</v>
      </c>
      <c r="D609" s="88">
        <v>0.2</v>
      </c>
      <c r="E609" s="87">
        <f t="shared" si="1"/>
        <v>8.608</v>
      </c>
      <c r="F609" s="20" t="s">
        <v>127</v>
      </c>
      <c r="G609" s="20" t="s">
        <v>128</v>
      </c>
    </row>
    <row r="610" ht="19.5" customHeight="1">
      <c r="A610" s="85" t="s">
        <v>1329</v>
      </c>
      <c r="B610" s="20" t="s">
        <v>1330</v>
      </c>
      <c r="C610" s="87">
        <v>23.3</v>
      </c>
      <c r="D610" s="88">
        <v>0.2</v>
      </c>
      <c r="E610" s="87">
        <f t="shared" si="1"/>
        <v>18.64</v>
      </c>
      <c r="F610" s="20" t="s">
        <v>127</v>
      </c>
      <c r="G610" s="20" t="s">
        <v>128</v>
      </c>
    </row>
    <row r="611" ht="19.5" customHeight="1">
      <c r="A611" s="85" t="s">
        <v>1331</v>
      </c>
      <c r="B611" s="20" t="s">
        <v>1332</v>
      </c>
      <c r="C611" s="87">
        <v>14.92</v>
      </c>
      <c r="D611" s="88">
        <v>0.2</v>
      </c>
      <c r="E611" s="87">
        <f t="shared" si="1"/>
        <v>11.936</v>
      </c>
      <c r="F611" s="20" t="s">
        <v>127</v>
      </c>
      <c r="G611" s="20" t="s">
        <v>128</v>
      </c>
    </row>
    <row r="612" ht="19.5" customHeight="1">
      <c r="A612" s="85" t="s">
        <v>1333</v>
      </c>
      <c r="B612" s="20" t="s">
        <v>1334</v>
      </c>
      <c r="C612" s="87">
        <v>32.34</v>
      </c>
      <c r="D612" s="88">
        <v>0.2</v>
      </c>
      <c r="E612" s="87">
        <f t="shared" si="1"/>
        <v>25.872</v>
      </c>
      <c r="F612" s="20" t="s">
        <v>127</v>
      </c>
      <c r="G612" s="20" t="s">
        <v>128</v>
      </c>
    </row>
    <row r="613" ht="19.5" customHeight="1">
      <c r="A613" s="85" t="s">
        <v>1335</v>
      </c>
      <c r="B613" s="20" t="s">
        <v>1336</v>
      </c>
      <c r="C613" s="87">
        <v>21.28</v>
      </c>
      <c r="D613" s="88">
        <v>0.2</v>
      </c>
      <c r="E613" s="87">
        <f t="shared" si="1"/>
        <v>17.024</v>
      </c>
      <c r="F613" s="20" t="s">
        <v>127</v>
      </c>
      <c r="G613" s="20" t="s">
        <v>128</v>
      </c>
    </row>
    <row r="614" ht="19.5" customHeight="1">
      <c r="A614" s="85" t="s">
        <v>1337</v>
      </c>
      <c r="B614" s="20" t="s">
        <v>1338</v>
      </c>
      <c r="C614" s="87">
        <v>46.11</v>
      </c>
      <c r="D614" s="88">
        <v>0.2</v>
      </c>
      <c r="E614" s="87">
        <f t="shared" si="1"/>
        <v>36.888</v>
      </c>
      <c r="F614" s="20" t="s">
        <v>127</v>
      </c>
      <c r="G614" s="20" t="s">
        <v>128</v>
      </c>
    </row>
    <row r="615" ht="19.5" customHeight="1">
      <c r="A615" s="85" t="s">
        <v>1339</v>
      </c>
      <c r="B615" s="20" t="s">
        <v>1340</v>
      </c>
      <c r="C615" s="87">
        <v>15.59</v>
      </c>
      <c r="D615" s="88">
        <v>0.2</v>
      </c>
      <c r="E615" s="87">
        <f t="shared" si="1"/>
        <v>12.472</v>
      </c>
      <c r="F615" s="20" t="s">
        <v>127</v>
      </c>
      <c r="G615" s="20" t="s">
        <v>128</v>
      </c>
    </row>
    <row r="616" ht="19.5" customHeight="1">
      <c r="A616" s="85" t="s">
        <v>1341</v>
      </c>
      <c r="B616" s="20" t="s">
        <v>1342</v>
      </c>
      <c r="C616" s="87">
        <v>33.78</v>
      </c>
      <c r="D616" s="88">
        <v>0.2</v>
      </c>
      <c r="E616" s="87">
        <f t="shared" si="1"/>
        <v>27.024</v>
      </c>
      <c r="F616" s="20" t="s">
        <v>127</v>
      </c>
      <c r="G616" s="20" t="s">
        <v>128</v>
      </c>
    </row>
    <row r="617" ht="19.5" customHeight="1">
      <c r="A617" s="85" t="s">
        <v>1343</v>
      </c>
      <c r="B617" s="20" t="s">
        <v>1344</v>
      </c>
      <c r="C617" s="87">
        <v>13.42</v>
      </c>
      <c r="D617" s="88">
        <v>0.2</v>
      </c>
      <c r="E617" s="87">
        <f t="shared" si="1"/>
        <v>10.736</v>
      </c>
      <c r="F617" s="20" t="s">
        <v>127</v>
      </c>
      <c r="G617" s="20" t="s">
        <v>128</v>
      </c>
    </row>
    <row r="618" ht="19.5" customHeight="1">
      <c r="A618" s="85" t="s">
        <v>1345</v>
      </c>
      <c r="B618" s="20" t="s">
        <v>1346</v>
      </c>
      <c r="C618" s="87">
        <v>29.09</v>
      </c>
      <c r="D618" s="88">
        <v>0.2</v>
      </c>
      <c r="E618" s="87">
        <f t="shared" si="1"/>
        <v>23.272</v>
      </c>
      <c r="F618" s="20" t="s">
        <v>127</v>
      </c>
      <c r="G618" s="20" t="s">
        <v>128</v>
      </c>
    </row>
    <row r="619" ht="19.5" customHeight="1">
      <c r="A619" s="85" t="s">
        <v>1347</v>
      </c>
      <c r="B619" s="20" t="s">
        <v>1348</v>
      </c>
      <c r="C619" s="87">
        <v>14.38</v>
      </c>
      <c r="D619" s="88">
        <v>0.2</v>
      </c>
      <c r="E619" s="87">
        <f t="shared" si="1"/>
        <v>11.504</v>
      </c>
      <c r="F619" s="20" t="s">
        <v>127</v>
      </c>
      <c r="G619" s="20" t="s">
        <v>128</v>
      </c>
    </row>
    <row r="620" ht="19.5" customHeight="1">
      <c r="A620" s="85" t="s">
        <v>1349</v>
      </c>
      <c r="B620" s="20" t="s">
        <v>1350</v>
      </c>
      <c r="C620" s="87">
        <v>31.16</v>
      </c>
      <c r="D620" s="88">
        <v>0.2</v>
      </c>
      <c r="E620" s="87">
        <f t="shared" si="1"/>
        <v>24.928</v>
      </c>
      <c r="F620" s="20" t="s">
        <v>127</v>
      </c>
      <c r="G620" s="20" t="s">
        <v>128</v>
      </c>
    </row>
    <row r="621" ht="19.5" customHeight="1">
      <c r="A621" s="85" t="s">
        <v>1351</v>
      </c>
      <c r="B621" s="20" t="s">
        <v>1352</v>
      </c>
      <c r="C621" s="87">
        <v>14.38</v>
      </c>
      <c r="D621" s="88">
        <v>0.2</v>
      </c>
      <c r="E621" s="87">
        <f t="shared" si="1"/>
        <v>11.504</v>
      </c>
      <c r="F621" s="20" t="s">
        <v>127</v>
      </c>
      <c r="G621" s="20" t="s">
        <v>128</v>
      </c>
    </row>
    <row r="622" ht="19.5" customHeight="1">
      <c r="A622" s="85" t="s">
        <v>1353</v>
      </c>
      <c r="B622" s="20" t="s">
        <v>1354</v>
      </c>
      <c r="C622" s="87">
        <v>31.16</v>
      </c>
      <c r="D622" s="88">
        <v>0.2</v>
      </c>
      <c r="E622" s="87">
        <f t="shared" si="1"/>
        <v>24.928</v>
      </c>
      <c r="F622" s="20" t="s">
        <v>127</v>
      </c>
      <c r="G622" s="20" t="s">
        <v>128</v>
      </c>
    </row>
    <row r="623" ht="19.5" customHeight="1">
      <c r="A623" s="85" t="s">
        <v>1355</v>
      </c>
      <c r="B623" s="20" t="s">
        <v>1356</v>
      </c>
      <c r="C623" s="87">
        <v>13.7</v>
      </c>
      <c r="D623" s="88">
        <v>0.2</v>
      </c>
      <c r="E623" s="87">
        <f t="shared" si="1"/>
        <v>10.96</v>
      </c>
      <c r="F623" s="20" t="s">
        <v>127</v>
      </c>
      <c r="G623" s="20" t="s">
        <v>128</v>
      </c>
    </row>
    <row r="624" ht="19.5" customHeight="1">
      <c r="A624" s="85" t="s">
        <v>1357</v>
      </c>
      <c r="B624" s="20" t="s">
        <v>1358</v>
      </c>
      <c r="C624" s="87">
        <v>29.68</v>
      </c>
      <c r="D624" s="88">
        <v>0.2</v>
      </c>
      <c r="E624" s="87">
        <f t="shared" si="1"/>
        <v>23.744</v>
      </c>
      <c r="F624" s="20" t="s">
        <v>127</v>
      </c>
      <c r="G624" s="20" t="s">
        <v>128</v>
      </c>
    </row>
    <row r="625" ht="19.5" customHeight="1">
      <c r="A625" s="85" t="s">
        <v>1359</v>
      </c>
      <c r="B625" s="20" t="s">
        <v>1360</v>
      </c>
      <c r="C625" s="87">
        <v>13.7</v>
      </c>
      <c r="D625" s="88">
        <v>0.2</v>
      </c>
      <c r="E625" s="87">
        <f t="shared" si="1"/>
        <v>10.96</v>
      </c>
      <c r="F625" s="20" t="s">
        <v>127</v>
      </c>
      <c r="G625" s="20" t="s">
        <v>128</v>
      </c>
    </row>
    <row r="626" ht="19.5" customHeight="1">
      <c r="A626" s="85" t="s">
        <v>33</v>
      </c>
      <c r="B626" s="20" t="s">
        <v>1361</v>
      </c>
      <c r="C626" s="87">
        <v>29.68</v>
      </c>
      <c r="D626" s="88">
        <v>0.2</v>
      </c>
      <c r="E626" s="87">
        <f t="shared" si="1"/>
        <v>23.744</v>
      </c>
      <c r="F626" s="20" t="s">
        <v>127</v>
      </c>
      <c r="G626" s="20" t="s">
        <v>128</v>
      </c>
    </row>
    <row r="627" ht="19.5" customHeight="1">
      <c r="A627" s="85" t="s">
        <v>1362</v>
      </c>
      <c r="B627" s="20" t="s">
        <v>1363</v>
      </c>
      <c r="C627" s="87">
        <v>13.7</v>
      </c>
      <c r="D627" s="88">
        <v>0.2</v>
      </c>
      <c r="E627" s="87">
        <f t="shared" si="1"/>
        <v>10.96</v>
      </c>
      <c r="F627" s="20" t="s">
        <v>127</v>
      </c>
      <c r="G627" s="20" t="s">
        <v>128</v>
      </c>
    </row>
    <row r="628" ht="19.5" customHeight="1">
      <c r="A628" s="85" t="s">
        <v>1364</v>
      </c>
      <c r="B628" s="20" t="s">
        <v>1365</v>
      </c>
      <c r="C628" s="87">
        <v>29.68</v>
      </c>
      <c r="D628" s="88">
        <v>0.2</v>
      </c>
      <c r="E628" s="87">
        <f t="shared" si="1"/>
        <v>23.744</v>
      </c>
      <c r="F628" s="20" t="s">
        <v>127</v>
      </c>
      <c r="G628" s="20" t="s">
        <v>128</v>
      </c>
    </row>
    <row r="629" ht="19.5" customHeight="1">
      <c r="A629" s="85" t="s">
        <v>1366</v>
      </c>
      <c r="B629" s="20" t="s">
        <v>1367</v>
      </c>
      <c r="C629" s="87">
        <v>25.95</v>
      </c>
      <c r="D629" s="88">
        <v>0.2</v>
      </c>
      <c r="E629" s="87">
        <f t="shared" si="1"/>
        <v>20.76</v>
      </c>
      <c r="F629" s="20" t="s">
        <v>127</v>
      </c>
      <c r="G629" s="20" t="s">
        <v>128</v>
      </c>
    </row>
    <row r="630" ht="19.5" customHeight="1">
      <c r="A630" s="85" t="s">
        <v>1368</v>
      </c>
      <c r="B630" s="20" t="s">
        <v>1369</v>
      </c>
      <c r="C630" s="87">
        <v>56.23</v>
      </c>
      <c r="D630" s="88">
        <v>0.2</v>
      </c>
      <c r="E630" s="87">
        <f t="shared" si="1"/>
        <v>44.984</v>
      </c>
      <c r="F630" s="20" t="s">
        <v>127</v>
      </c>
      <c r="G630" s="20" t="s">
        <v>128</v>
      </c>
    </row>
    <row r="631" ht="19.5" customHeight="1">
      <c r="A631" s="85" t="s">
        <v>1370</v>
      </c>
      <c r="B631" s="20" t="s">
        <v>1371</v>
      </c>
      <c r="C631" s="87">
        <v>20.84</v>
      </c>
      <c r="D631" s="88">
        <v>0.2</v>
      </c>
      <c r="E631" s="87">
        <f t="shared" si="1"/>
        <v>16.672</v>
      </c>
      <c r="F631" s="20" t="s">
        <v>127</v>
      </c>
      <c r="G631" s="20" t="s">
        <v>128</v>
      </c>
    </row>
    <row r="632" ht="19.5" customHeight="1">
      <c r="A632" s="85" t="s">
        <v>1372</v>
      </c>
      <c r="B632" s="20" t="s">
        <v>1373</v>
      </c>
      <c r="C632" s="87">
        <v>45.14</v>
      </c>
      <c r="D632" s="88">
        <v>0.2</v>
      </c>
      <c r="E632" s="87">
        <f t="shared" si="1"/>
        <v>36.112</v>
      </c>
      <c r="F632" s="20" t="s">
        <v>127</v>
      </c>
      <c r="G632" s="20" t="s">
        <v>128</v>
      </c>
    </row>
    <row r="633" ht="19.5" customHeight="1">
      <c r="A633" s="85" t="s">
        <v>1374</v>
      </c>
      <c r="B633" s="20" t="s">
        <v>1375</v>
      </c>
      <c r="C633" s="87">
        <v>25.48</v>
      </c>
      <c r="D633" s="88">
        <v>0.2</v>
      </c>
      <c r="E633" s="87">
        <f t="shared" si="1"/>
        <v>20.384</v>
      </c>
      <c r="F633" s="20" t="s">
        <v>127</v>
      </c>
      <c r="G633" s="20" t="s">
        <v>128</v>
      </c>
    </row>
    <row r="634" ht="19.5" customHeight="1">
      <c r="A634" s="85" t="s">
        <v>1376</v>
      </c>
      <c r="B634" s="20" t="s">
        <v>1377</v>
      </c>
      <c r="C634" s="87">
        <v>55.2</v>
      </c>
      <c r="D634" s="88">
        <v>0.2</v>
      </c>
      <c r="E634" s="87">
        <f t="shared" si="1"/>
        <v>44.16</v>
      </c>
      <c r="F634" s="20" t="s">
        <v>127</v>
      </c>
      <c r="G634" s="20" t="s">
        <v>128</v>
      </c>
    </row>
    <row r="635" ht="19.5" customHeight="1">
      <c r="A635" s="85" t="s">
        <v>1378</v>
      </c>
      <c r="B635" s="20" t="s">
        <v>1379</v>
      </c>
      <c r="C635" s="87">
        <v>27.15</v>
      </c>
      <c r="D635" s="88">
        <v>0.2</v>
      </c>
      <c r="E635" s="87">
        <f t="shared" si="1"/>
        <v>21.72</v>
      </c>
      <c r="F635" s="20" t="s">
        <v>127</v>
      </c>
      <c r="G635" s="20" t="s">
        <v>128</v>
      </c>
    </row>
    <row r="636" ht="19.5" customHeight="1">
      <c r="A636" s="85" t="s">
        <v>1380</v>
      </c>
      <c r="B636" s="20" t="s">
        <v>1381</v>
      </c>
      <c r="C636" s="87">
        <v>58.82</v>
      </c>
      <c r="D636" s="88">
        <v>0.2</v>
      </c>
      <c r="E636" s="87">
        <f t="shared" si="1"/>
        <v>47.056</v>
      </c>
      <c r="F636" s="20" t="s">
        <v>127</v>
      </c>
      <c r="G636" s="20" t="s">
        <v>128</v>
      </c>
    </row>
    <row r="637" ht="19.5" customHeight="1">
      <c r="A637" s="85" t="s">
        <v>1382</v>
      </c>
      <c r="B637" s="20" t="s">
        <v>1383</v>
      </c>
      <c r="C637" s="87">
        <v>27.15</v>
      </c>
      <c r="D637" s="88">
        <v>0.2</v>
      </c>
      <c r="E637" s="87">
        <f t="shared" si="1"/>
        <v>21.72</v>
      </c>
      <c r="F637" s="20" t="s">
        <v>127</v>
      </c>
      <c r="G637" s="20" t="s">
        <v>128</v>
      </c>
    </row>
    <row r="638" ht="19.5" customHeight="1">
      <c r="A638" s="85" t="s">
        <v>1384</v>
      </c>
      <c r="B638" s="20" t="s">
        <v>1385</v>
      </c>
      <c r="C638" s="87">
        <v>58.82</v>
      </c>
      <c r="D638" s="88">
        <v>0.2</v>
      </c>
      <c r="E638" s="87">
        <f t="shared" si="1"/>
        <v>47.056</v>
      </c>
      <c r="F638" s="20" t="s">
        <v>127</v>
      </c>
      <c r="G638" s="20" t="s">
        <v>128</v>
      </c>
    </row>
    <row r="639" ht="19.5" customHeight="1">
      <c r="A639" s="85" t="s">
        <v>1386</v>
      </c>
      <c r="B639" s="20" t="s">
        <v>1387</v>
      </c>
      <c r="C639" s="87">
        <v>25.95</v>
      </c>
      <c r="D639" s="88">
        <v>0.2</v>
      </c>
      <c r="E639" s="87">
        <f t="shared" si="1"/>
        <v>20.76</v>
      </c>
      <c r="F639" s="20" t="s">
        <v>127</v>
      </c>
      <c r="G639" s="20" t="s">
        <v>128</v>
      </c>
    </row>
    <row r="640" ht="19.5" customHeight="1">
      <c r="A640" s="85" t="s">
        <v>1388</v>
      </c>
      <c r="B640" s="20" t="s">
        <v>1389</v>
      </c>
      <c r="C640" s="87">
        <v>25.95</v>
      </c>
      <c r="D640" s="88">
        <v>0.2</v>
      </c>
      <c r="E640" s="87">
        <f t="shared" si="1"/>
        <v>20.76</v>
      </c>
      <c r="F640" s="20" t="s">
        <v>127</v>
      </c>
      <c r="G640" s="20" t="s">
        <v>128</v>
      </c>
    </row>
    <row r="641" ht="19.5" customHeight="1">
      <c r="A641" s="85" t="s">
        <v>1390</v>
      </c>
      <c r="B641" s="20" t="s">
        <v>1391</v>
      </c>
      <c r="C641" s="87">
        <v>56.23</v>
      </c>
      <c r="D641" s="88">
        <v>0.2</v>
      </c>
      <c r="E641" s="87">
        <f t="shared" si="1"/>
        <v>44.984</v>
      </c>
      <c r="F641" s="20" t="s">
        <v>127</v>
      </c>
      <c r="G641" s="20" t="s">
        <v>128</v>
      </c>
    </row>
    <row r="642" ht="19.5" customHeight="1">
      <c r="A642" s="85" t="s">
        <v>1392</v>
      </c>
      <c r="B642" s="20" t="s">
        <v>1393</v>
      </c>
      <c r="C642" s="87">
        <v>12.74</v>
      </c>
      <c r="D642" s="88">
        <v>0.2</v>
      </c>
      <c r="E642" s="87">
        <f t="shared" si="1"/>
        <v>10.192</v>
      </c>
      <c r="F642" s="20" t="s">
        <v>127</v>
      </c>
      <c r="G642" s="20" t="s">
        <v>128</v>
      </c>
    </row>
    <row r="643" ht="19.5" customHeight="1">
      <c r="A643" s="85" t="s">
        <v>1394</v>
      </c>
      <c r="B643" s="20" t="s">
        <v>1395</v>
      </c>
      <c r="C643" s="87">
        <v>27.59</v>
      </c>
      <c r="D643" s="88">
        <v>0.2</v>
      </c>
      <c r="E643" s="87">
        <f t="shared" si="1"/>
        <v>22.072</v>
      </c>
      <c r="F643" s="20" t="s">
        <v>127</v>
      </c>
      <c r="G643" s="20" t="s">
        <v>128</v>
      </c>
    </row>
    <row r="644" ht="19.5" customHeight="1">
      <c r="A644" s="85" t="s">
        <v>1396</v>
      </c>
      <c r="B644" s="20" t="s">
        <v>1397</v>
      </c>
      <c r="C644" s="87">
        <v>9.86</v>
      </c>
      <c r="D644" s="88">
        <v>0.2</v>
      </c>
      <c r="E644" s="87">
        <f t="shared" si="1"/>
        <v>7.888</v>
      </c>
      <c r="F644" s="20" t="s">
        <v>127</v>
      </c>
      <c r="G644" s="20" t="s">
        <v>128</v>
      </c>
    </row>
    <row r="645" ht="19.5" customHeight="1">
      <c r="A645" s="85" t="s">
        <v>1398</v>
      </c>
      <c r="B645" s="20" t="s">
        <v>1399</v>
      </c>
      <c r="C645" s="87">
        <v>21.35</v>
      </c>
      <c r="D645" s="88">
        <v>0.2</v>
      </c>
      <c r="E645" s="87">
        <f t="shared" si="1"/>
        <v>17.08</v>
      </c>
      <c r="F645" s="20" t="s">
        <v>127</v>
      </c>
      <c r="G645" s="20" t="s">
        <v>128</v>
      </c>
    </row>
    <row r="646" ht="19.5" customHeight="1">
      <c r="A646" s="85" t="s">
        <v>1400</v>
      </c>
      <c r="B646" s="20" t="s">
        <v>1401</v>
      </c>
      <c r="C646" s="87">
        <v>20.16</v>
      </c>
      <c r="D646" s="88">
        <v>0.2</v>
      </c>
      <c r="E646" s="87">
        <f t="shared" si="1"/>
        <v>16.128</v>
      </c>
      <c r="F646" s="20" t="s">
        <v>127</v>
      </c>
      <c r="G646" s="20" t="s">
        <v>128</v>
      </c>
    </row>
    <row r="647" ht="19.5" customHeight="1">
      <c r="A647" s="85" t="s">
        <v>1402</v>
      </c>
      <c r="B647" s="20" t="s">
        <v>1403</v>
      </c>
      <c r="C647" s="87">
        <v>43.67</v>
      </c>
      <c r="D647" s="88">
        <v>0.2</v>
      </c>
      <c r="E647" s="87">
        <f t="shared" si="1"/>
        <v>34.936</v>
      </c>
      <c r="F647" s="20" t="s">
        <v>127</v>
      </c>
      <c r="G647" s="20" t="s">
        <v>128</v>
      </c>
    </row>
    <row r="648" ht="19.5" customHeight="1">
      <c r="A648" s="85" t="s">
        <v>1404</v>
      </c>
      <c r="B648" s="20" t="s">
        <v>1405</v>
      </c>
      <c r="C648" s="87">
        <v>12.47</v>
      </c>
      <c r="D648" s="88">
        <v>0.2</v>
      </c>
      <c r="E648" s="87">
        <f t="shared" si="1"/>
        <v>9.976</v>
      </c>
      <c r="F648" s="20" t="s">
        <v>127</v>
      </c>
      <c r="G648" s="20" t="s">
        <v>128</v>
      </c>
    </row>
    <row r="649" ht="19.5" customHeight="1">
      <c r="A649" s="85" t="s">
        <v>1406</v>
      </c>
      <c r="B649" s="20" t="s">
        <v>1407</v>
      </c>
      <c r="C649" s="87">
        <v>27.01</v>
      </c>
      <c r="D649" s="88">
        <v>0.2</v>
      </c>
      <c r="E649" s="87">
        <f t="shared" si="1"/>
        <v>21.608</v>
      </c>
      <c r="F649" s="20" t="s">
        <v>127</v>
      </c>
      <c r="G649" s="20" t="s">
        <v>128</v>
      </c>
    </row>
    <row r="650" ht="19.5" customHeight="1">
      <c r="A650" s="85" t="s">
        <v>1408</v>
      </c>
      <c r="B650" s="20" t="s">
        <v>1409</v>
      </c>
      <c r="C650" s="87">
        <v>13.41</v>
      </c>
      <c r="D650" s="88">
        <v>0.2</v>
      </c>
      <c r="E650" s="87">
        <f t="shared" si="1"/>
        <v>10.728</v>
      </c>
      <c r="F650" s="20" t="s">
        <v>127</v>
      </c>
      <c r="G650" s="20" t="s">
        <v>128</v>
      </c>
    </row>
    <row r="651" ht="19.5" customHeight="1">
      <c r="A651" s="85" t="s">
        <v>1410</v>
      </c>
      <c r="B651" s="20" t="s">
        <v>1411</v>
      </c>
      <c r="C651" s="87">
        <v>29.05</v>
      </c>
      <c r="D651" s="88">
        <v>0.2</v>
      </c>
      <c r="E651" s="87">
        <f t="shared" si="1"/>
        <v>23.24</v>
      </c>
      <c r="F651" s="20" t="s">
        <v>127</v>
      </c>
      <c r="G651" s="20" t="s">
        <v>128</v>
      </c>
    </row>
    <row r="652" ht="19.5" customHeight="1">
      <c r="A652" s="85" t="s">
        <v>1412</v>
      </c>
      <c r="B652" s="20" t="s">
        <v>1413</v>
      </c>
      <c r="C652" s="87">
        <v>13.41</v>
      </c>
      <c r="D652" s="88">
        <v>0.2</v>
      </c>
      <c r="E652" s="87">
        <f t="shared" si="1"/>
        <v>10.728</v>
      </c>
      <c r="F652" s="20" t="s">
        <v>127</v>
      </c>
      <c r="G652" s="20" t="s">
        <v>128</v>
      </c>
    </row>
    <row r="653" ht="19.5" customHeight="1">
      <c r="A653" s="85" t="s">
        <v>1414</v>
      </c>
      <c r="B653" s="20" t="s">
        <v>1415</v>
      </c>
      <c r="C653" s="87">
        <v>29.05</v>
      </c>
      <c r="D653" s="88">
        <v>0.2</v>
      </c>
      <c r="E653" s="87">
        <f t="shared" si="1"/>
        <v>23.24</v>
      </c>
      <c r="F653" s="20" t="s">
        <v>127</v>
      </c>
      <c r="G653" s="20" t="s">
        <v>128</v>
      </c>
    </row>
    <row r="654" ht="19.5" customHeight="1">
      <c r="A654" s="85" t="s">
        <v>1416</v>
      </c>
      <c r="B654" s="20" t="s">
        <v>1417</v>
      </c>
      <c r="C654" s="87">
        <v>27.59</v>
      </c>
      <c r="D654" s="88">
        <v>0.2</v>
      </c>
      <c r="E654" s="87">
        <f t="shared" si="1"/>
        <v>22.072</v>
      </c>
      <c r="F654" s="20" t="s">
        <v>127</v>
      </c>
      <c r="G654" s="20" t="s">
        <v>128</v>
      </c>
    </row>
    <row r="655" ht="19.5" customHeight="1">
      <c r="A655" s="85" t="s">
        <v>1418</v>
      </c>
      <c r="B655" s="20" t="s">
        <v>1419</v>
      </c>
      <c r="C655" s="87">
        <v>12.74</v>
      </c>
      <c r="D655" s="88">
        <v>0.2</v>
      </c>
      <c r="E655" s="87">
        <f t="shared" si="1"/>
        <v>10.192</v>
      </c>
      <c r="F655" s="20" t="s">
        <v>127</v>
      </c>
      <c r="G655" s="20" t="s">
        <v>128</v>
      </c>
    </row>
    <row r="656" ht="19.5" customHeight="1">
      <c r="A656" s="85" t="s">
        <v>1420</v>
      </c>
      <c r="B656" s="20" t="s">
        <v>1421</v>
      </c>
      <c r="C656" s="87">
        <v>27.59</v>
      </c>
      <c r="D656" s="88">
        <v>0.2</v>
      </c>
      <c r="E656" s="87">
        <f t="shared" si="1"/>
        <v>22.072</v>
      </c>
      <c r="F656" s="20" t="s">
        <v>127</v>
      </c>
      <c r="G656" s="20" t="s">
        <v>128</v>
      </c>
    </row>
    <row r="657" ht="15.75" customHeight="1">
      <c r="A657" s="85"/>
    </row>
    <row r="658" ht="15.75" customHeight="1">
      <c r="A658" s="85"/>
    </row>
    <row r="659" ht="15.75" customHeight="1">
      <c r="A659" s="85"/>
    </row>
    <row r="660" ht="15.75" customHeight="1">
      <c r="A660" s="85"/>
    </row>
    <row r="661" ht="15.75" customHeight="1">
      <c r="A661" s="85"/>
    </row>
    <row r="662" ht="15.75" customHeight="1">
      <c r="A662" s="85"/>
    </row>
    <row r="663" ht="15.75" customHeight="1">
      <c r="A663" s="85"/>
    </row>
    <row r="664" ht="15.75" customHeight="1">
      <c r="A664" s="85"/>
    </row>
    <row r="665" ht="15.75" customHeight="1">
      <c r="A665" s="85"/>
    </row>
    <row r="666" ht="15.75" customHeight="1">
      <c r="A666" s="85"/>
    </row>
    <row r="667" ht="15.75" customHeight="1">
      <c r="A667" s="85"/>
    </row>
    <row r="668" ht="15.75" customHeight="1">
      <c r="A668" s="85"/>
    </row>
    <row r="669" ht="15.75" customHeight="1">
      <c r="A669" s="85"/>
    </row>
    <row r="670" ht="15.75" customHeight="1">
      <c r="A670" s="85"/>
    </row>
    <row r="671" ht="15.75" customHeight="1">
      <c r="A671" s="85"/>
    </row>
    <row r="672" ht="15.75" customHeight="1">
      <c r="A672" s="85"/>
    </row>
    <row r="673" ht="15.75" customHeight="1">
      <c r="A673" s="85"/>
    </row>
    <row r="674" ht="15.75" customHeight="1">
      <c r="A674" s="85"/>
    </row>
    <row r="675" ht="15.75" customHeight="1">
      <c r="A675" s="85"/>
    </row>
    <row r="676" ht="15.75" customHeight="1">
      <c r="A676" s="85"/>
    </row>
    <row r="677" ht="15.75" customHeight="1">
      <c r="A677" s="85"/>
    </row>
    <row r="678" ht="15.75" customHeight="1">
      <c r="A678" s="85"/>
    </row>
    <row r="679" ht="15.75" customHeight="1">
      <c r="A679" s="85"/>
    </row>
    <row r="680" ht="15.75" customHeight="1">
      <c r="A680" s="85"/>
    </row>
    <row r="681" ht="15.75" customHeight="1">
      <c r="A681" s="85"/>
    </row>
    <row r="682" ht="15.75" customHeight="1">
      <c r="A682" s="85"/>
    </row>
    <row r="683" ht="15.75" customHeight="1">
      <c r="A683" s="85"/>
    </row>
    <row r="684" ht="15.75" customHeight="1">
      <c r="A684" s="85"/>
    </row>
    <row r="685" ht="15.75" customHeight="1">
      <c r="A685" s="85"/>
    </row>
    <row r="686" ht="15.75" customHeight="1">
      <c r="A686" s="85"/>
    </row>
    <row r="687" ht="15.75" customHeight="1">
      <c r="A687" s="85"/>
    </row>
    <row r="688" ht="15.75" customHeight="1">
      <c r="A688" s="85"/>
    </row>
    <row r="689" ht="15.75" customHeight="1">
      <c r="A689" s="85"/>
    </row>
    <row r="690" ht="15.75" customHeight="1">
      <c r="A690" s="85"/>
    </row>
    <row r="691" ht="15.75" customHeight="1">
      <c r="A691" s="85"/>
    </row>
    <row r="692" ht="15.75" customHeight="1">
      <c r="A692" s="85"/>
    </row>
    <row r="693" ht="15.75" customHeight="1">
      <c r="A693" s="85"/>
    </row>
    <row r="694" ht="15.75" customHeight="1">
      <c r="A694" s="85"/>
    </row>
    <row r="695" ht="15.75" customHeight="1">
      <c r="A695" s="85"/>
    </row>
    <row r="696" ht="15.75" customHeight="1">
      <c r="A696" s="85"/>
    </row>
    <row r="697" ht="15.75" customHeight="1">
      <c r="A697" s="85"/>
    </row>
    <row r="698" ht="15.75" customHeight="1">
      <c r="A698" s="85"/>
    </row>
    <row r="699" ht="15.75" customHeight="1">
      <c r="A699" s="85"/>
    </row>
    <row r="700" ht="15.75" customHeight="1">
      <c r="A700" s="85"/>
    </row>
    <row r="701" ht="15.75" customHeight="1">
      <c r="A701" s="85"/>
    </row>
    <row r="702" ht="15.75" customHeight="1">
      <c r="A702" s="85"/>
    </row>
    <row r="703" ht="15.75" customHeight="1">
      <c r="A703" s="85"/>
    </row>
    <row r="704" ht="15.75" customHeight="1">
      <c r="A704" s="85"/>
    </row>
    <row r="705" ht="15.75" customHeight="1">
      <c r="A705" s="85"/>
    </row>
    <row r="706" ht="15.75" customHeight="1">
      <c r="A706" s="85"/>
    </row>
    <row r="707" ht="15.75" customHeight="1">
      <c r="A707" s="85"/>
    </row>
    <row r="708" ht="15.75" customHeight="1">
      <c r="A708" s="85"/>
    </row>
    <row r="709" ht="15.75" customHeight="1">
      <c r="A709" s="85"/>
    </row>
    <row r="710" ht="15.75" customHeight="1">
      <c r="A710" s="85"/>
    </row>
    <row r="711" ht="15.75" customHeight="1">
      <c r="A711" s="85"/>
    </row>
    <row r="712" ht="15.75" customHeight="1">
      <c r="A712" s="85"/>
    </row>
    <row r="713" ht="15.75" customHeight="1">
      <c r="A713" s="85"/>
    </row>
    <row r="714" ht="15.75" customHeight="1">
      <c r="A714" s="85"/>
    </row>
    <row r="715" ht="15.75" customHeight="1">
      <c r="A715" s="85"/>
    </row>
    <row r="716" ht="15.75" customHeight="1">
      <c r="A716" s="85"/>
    </row>
    <row r="717" ht="15.75" customHeight="1">
      <c r="A717" s="85"/>
    </row>
    <row r="718" ht="15.75" customHeight="1">
      <c r="A718" s="85"/>
    </row>
    <row r="719" ht="15.75" customHeight="1">
      <c r="A719" s="85"/>
    </row>
    <row r="720" ht="15.75" customHeight="1">
      <c r="A720" s="85"/>
    </row>
    <row r="721" ht="15.75" customHeight="1">
      <c r="A721" s="85"/>
    </row>
    <row r="722" ht="15.75" customHeight="1">
      <c r="A722" s="85"/>
    </row>
    <row r="723" ht="15.75" customHeight="1">
      <c r="A723" s="85"/>
    </row>
    <row r="724" ht="15.75" customHeight="1">
      <c r="A724" s="85"/>
    </row>
    <row r="725" ht="15.75" customHeight="1">
      <c r="A725" s="85"/>
    </row>
    <row r="726" ht="15.75" customHeight="1">
      <c r="A726" s="85"/>
    </row>
    <row r="727" ht="15.75" customHeight="1">
      <c r="A727" s="85"/>
    </row>
    <row r="728" ht="15.75" customHeight="1">
      <c r="A728" s="85"/>
    </row>
    <row r="729" ht="15.75" customHeight="1">
      <c r="A729" s="85"/>
    </row>
    <row r="730" ht="15.75" customHeight="1">
      <c r="A730" s="85"/>
    </row>
    <row r="731" ht="15.75" customHeight="1">
      <c r="A731" s="85"/>
    </row>
    <row r="732" ht="15.75" customHeight="1">
      <c r="A732" s="85"/>
    </row>
    <row r="733" ht="15.75" customHeight="1">
      <c r="A733" s="85"/>
    </row>
    <row r="734" ht="15.75" customHeight="1">
      <c r="A734" s="85"/>
    </row>
    <row r="735" ht="15.75" customHeight="1">
      <c r="A735" s="85"/>
    </row>
    <row r="736" ht="15.75" customHeight="1">
      <c r="A736" s="85"/>
    </row>
    <row r="737" ht="15.75" customHeight="1">
      <c r="A737" s="85"/>
    </row>
    <row r="738" ht="15.75" customHeight="1">
      <c r="A738" s="85"/>
    </row>
    <row r="739" ht="15.75" customHeight="1">
      <c r="A739" s="85"/>
    </row>
    <row r="740" ht="15.75" customHeight="1">
      <c r="A740" s="85"/>
    </row>
    <row r="741" ht="15.75" customHeight="1">
      <c r="A741" s="85"/>
    </row>
    <row r="742" ht="15.75" customHeight="1">
      <c r="A742" s="85"/>
    </row>
    <row r="743" ht="15.75" customHeight="1">
      <c r="A743" s="85"/>
    </row>
    <row r="744" ht="15.75" customHeight="1">
      <c r="A744" s="85"/>
    </row>
    <row r="745" ht="15.75" customHeight="1">
      <c r="A745" s="85"/>
    </row>
    <row r="746" ht="15.75" customHeight="1">
      <c r="A746" s="85"/>
    </row>
    <row r="747" ht="15.75" customHeight="1">
      <c r="A747" s="85"/>
    </row>
    <row r="748" ht="15.75" customHeight="1">
      <c r="A748" s="85"/>
    </row>
    <row r="749" ht="15.75" customHeight="1">
      <c r="A749" s="85"/>
    </row>
    <row r="750" ht="15.75" customHeight="1">
      <c r="A750" s="85"/>
    </row>
    <row r="751" ht="15.75" customHeight="1">
      <c r="A751" s="85"/>
    </row>
    <row r="752" ht="15.75" customHeight="1">
      <c r="A752" s="85"/>
    </row>
    <row r="753" ht="15.75" customHeight="1">
      <c r="A753" s="85"/>
    </row>
    <row r="754" ht="15.75" customHeight="1">
      <c r="A754" s="85"/>
    </row>
    <row r="755" ht="15.75" customHeight="1">
      <c r="A755" s="85"/>
    </row>
    <row r="756" ht="15.75" customHeight="1">
      <c r="A756" s="85"/>
    </row>
    <row r="757" ht="15.75" customHeight="1">
      <c r="A757" s="85"/>
    </row>
    <row r="758" ht="15.75" customHeight="1">
      <c r="A758" s="85"/>
    </row>
    <row r="759" ht="15.75" customHeight="1">
      <c r="A759" s="85"/>
    </row>
    <row r="760" ht="15.75" customHeight="1">
      <c r="A760" s="85"/>
    </row>
    <row r="761" ht="15.75" customHeight="1">
      <c r="A761" s="85"/>
    </row>
    <row r="762" ht="15.75" customHeight="1">
      <c r="A762" s="85"/>
    </row>
    <row r="763" ht="15.75" customHeight="1">
      <c r="A763" s="85"/>
    </row>
    <row r="764" ht="15.75" customHeight="1">
      <c r="A764" s="85"/>
    </row>
    <row r="765" ht="15.75" customHeight="1">
      <c r="A765" s="85"/>
    </row>
    <row r="766" ht="15.75" customHeight="1">
      <c r="A766" s="85"/>
    </row>
    <row r="767" ht="15.75" customHeight="1">
      <c r="A767" s="85"/>
    </row>
    <row r="768" ht="15.75" customHeight="1">
      <c r="A768" s="85"/>
    </row>
    <row r="769" ht="15.75" customHeight="1">
      <c r="A769" s="85"/>
    </row>
    <row r="770" ht="15.75" customHeight="1">
      <c r="A770" s="85"/>
    </row>
    <row r="771" ht="15.75" customHeight="1">
      <c r="A771" s="85"/>
    </row>
    <row r="772" ht="15.75" customHeight="1">
      <c r="A772" s="85"/>
    </row>
    <row r="773" ht="15.75" customHeight="1">
      <c r="A773" s="85"/>
    </row>
    <row r="774" ht="15.75" customHeight="1">
      <c r="A774" s="85"/>
    </row>
    <row r="775" ht="15.75" customHeight="1">
      <c r="A775" s="85"/>
    </row>
    <row r="776" ht="15.75" customHeight="1">
      <c r="A776" s="85"/>
    </row>
    <row r="777" ht="15.75" customHeight="1">
      <c r="A777" s="85"/>
    </row>
    <row r="778" ht="15.75" customHeight="1">
      <c r="A778" s="85"/>
    </row>
    <row r="779" ht="15.75" customHeight="1">
      <c r="A779" s="85"/>
    </row>
    <row r="780" ht="15.75" customHeight="1">
      <c r="A780" s="85"/>
    </row>
    <row r="781" ht="15.75" customHeight="1">
      <c r="A781" s="85"/>
    </row>
    <row r="782" ht="15.75" customHeight="1">
      <c r="A782" s="85"/>
    </row>
    <row r="783" ht="15.75" customHeight="1">
      <c r="A783" s="85"/>
    </row>
    <row r="784" ht="15.75" customHeight="1">
      <c r="A784" s="85"/>
    </row>
    <row r="785" ht="15.75" customHeight="1">
      <c r="A785" s="85"/>
    </row>
    <row r="786" ht="15.75" customHeight="1">
      <c r="A786" s="85"/>
    </row>
    <row r="787" ht="15.75" customHeight="1">
      <c r="A787" s="85"/>
    </row>
    <row r="788" ht="15.75" customHeight="1">
      <c r="A788" s="85"/>
    </row>
    <row r="789" ht="15.75" customHeight="1">
      <c r="A789" s="85"/>
    </row>
    <row r="790" ht="15.75" customHeight="1">
      <c r="A790" s="85"/>
    </row>
    <row r="791" ht="15.75" customHeight="1">
      <c r="A791" s="85"/>
    </row>
    <row r="792" ht="15.75" customHeight="1">
      <c r="A792" s="85"/>
    </row>
    <row r="793" ht="15.75" customHeight="1">
      <c r="A793" s="85"/>
    </row>
    <row r="794" ht="15.75" customHeight="1">
      <c r="A794" s="85"/>
    </row>
    <row r="795" ht="15.75" customHeight="1">
      <c r="A795" s="85"/>
    </row>
    <row r="796" ht="15.75" customHeight="1">
      <c r="A796" s="85"/>
    </row>
    <row r="797" ht="15.75" customHeight="1">
      <c r="A797" s="85"/>
    </row>
    <row r="798" ht="15.75" customHeight="1">
      <c r="A798" s="85"/>
    </row>
    <row r="799" ht="15.75" customHeight="1">
      <c r="A799" s="85"/>
    </row>
    <row r="800" ht="15.75" customHeight="1">
      <c r="A800" s="85"/>
    </row>
    <row r="801" ht="15.75" customHeight="1">
      <c r="A801" s="85"/>
    </row>
    <row r="802" ht="15.75" customHeight="1">
      <c r="A802" s="85"/>
    </row>
    <row r="803" ht="15.75" customHeight="1">
      <c r="A803" s="85"/>
    </row>
    <row r="804" ht="15.75" customHeight="1">
      <c r="A804" s="85"/>
    </row>
    <row r="805" ht="15.75" customHeight="1">
      <c r="A805" s="85"/>
    </row>
    <row r="806" ht="15.75" customHeight="1">
      <c r="A806" s="85"/>
    </row>
    <row r="807" ht="15.75" customHeight="1">
      <c r="A807" s="85"/>
    </row>
    <row r="808" ht="15.75" customHeight="1">
      <c r="A808" s="85"/>
    </row>
    <row r="809" ht="15.75" customHeight="1">
      <c r="A809" s="85"/>
    </row>
    <row r="810" ht="15.75" customHeight="1">
      <c r="A810" s="85"/>
    </row>
    <row r="811" ht="15.75" customHeight="1">
      <c r="A811" s="85"/>
    </row>
    <row r="812" ht="15.75" customHeight="1">
      <c r="A812" s="85"/>
    </row>
    <row r="813" ht="15.75" customHeight="1">
      <c r="A813" s="85"/>
    </row>
    <row r="814" ht="15.75" customHeight="1">
      <c r="A814" s="85"/>
    </row>
    <row r="815" ht="15.75" customHeight="1">
      <c r="A815" s="85"/>
    </row>
    <row r="816" ht="15.75" customHeight="1">
      <c r="A816" s="85"/>
    </row>
    <row r="817" ht="15.75" customHeight="1">
      <c r="A817" s="85"/>
    </row>
    <row r="818" ht="15.75" customHeight="1">
      <c r="A818" s="85"/>
    </row>
    <row r="819" ht="15.75" customHeight="1">
      <c r="A819" s="85"/>
    </row>
    <row r="820" ht="15.75" customHeight="1">
      <c r="A820" s="85"/>
    </row>
    <row r="821" ht="15.75" customHeight="1">
      <c r="A821" s="85"/>
    </row>
    <row r="822" ht="15.75" customHeight="1">
      <c r="A822" s="85"/>
    </row>
    <row r="823" ht="15.75" customHeight="1">
      <c r="A823" s="85"/>
    </row>
    <row r="824" ht="15.75" customHeight="1">
      <c r="A824" s="85"/>
    </row>
    <row r="825" ht="15.75" customHeight="1">
      <c r="A825" s="85"/>
    </row>
    <row r="826" ht="15.75" customHeight="1">
      <c r="A826" s="85"/>
    </row>
    <row r="827" ht="15.75" customHeight="1">
      <c r="A827" s="85"/>
    </row>
    <row r="828" ht="15.75" customHeight="1">
      <c r="A828" s="85"/>
    </row>
    <row r="829" ht="15.75" customHeight="1">
      <c r="A829" s="85"/>
    </row>
    <row r="830" ht="15.75" customHeight="1">
      <c r="A830" s="85"/>
    </row>
    <row r="831" ht="15.75" customHeight="1">
      <c r="A831" s="85"/>
    </row>
    <row r="832" ht="15.75" customHeight="1">
      <c r="A832" s="85"/>
    </row>
    <row r="833" ht="15.75" customHeight="1">
      <c r="A833" s="85"/>
    </row>
    <row r="834" ht="15.75" customHeight="1">
      <c r="A834" s="85"/>
    </row>
    <row r="835" ht="15.75" customHeight="1">
      <c r="A835" s="85"/>
    </row>
    <row r="836" ht="15.75" customHeight="1">
      <c r="A836" s="85"/>
    </row>
    <row r="837" ht="15.75" customHeight="1">
      <c r="A837" s="85"/>
    </row>
    <row r="838" ht="15.75" customHeight="1">
      <c r="A838" s="85"/>
    </row>
    <row r="839" ht="15.75" customHeight="1">
      <c r="A839" s="85"/>
    </row>
    <row r="840" ht="15.75" customHeight="1">
      <c r="A840" s="85"/>
    </row>
    <row r="841" ht="15.75" customHeight="1">
      <c r="A841" s="85"/>
    </row>
    <row r="842" ht="15.75" customHeight="1">
      <c r="A842" s="85"/>
    </row>
    <row r="843" ht="15.75" customHeight="1">
      <c r="A843" s="85"/>
    </row>
    <row r="844" ht="15.75" customHeight="1">
      <c r="A844" s="85"/>
    </row>
    <row r="845" ht="15.75" customHeight="1">
      <c r="A845" s="85"/>
    </row>
    <row r="846" ht="15.75" customHeight="1">
      <c r="A846" s="85"/>
    </row>
    <row r="847" ht="15.75" customHeight="1">
      <c r="A847" s="85"/>
    </row>
    <row r="848" ht="15.75" customHeight="1">
      <c r="A848" s="85"/>
    </row>
    <row r="849" ht="15.75" customHeight="1">
      <c r="A849" s="85"/>
    </row>
    <row r="850" ht="15.75" customHeight="1">
      <c r="A850" s="85"/>
    </row>
    <row r="851" ht="15.75" customHeight="1">
      <c r="A851" s="85"/>
    </row>
    <row r="852" ht="15.75" customHeight="1">
      <c r="A852" s="85"/>
    </row>
    <row r="853" ht="15.75" customHeight="1">
      <c r="A853" s="85"/>
    </row>
    <row r="854" ht="15.75" customHeight="1">
      <c r="A854" s="85"/>
    </row>
    <row r="855" ht="15.75" customHeight="1">
      <c r="A855" s="85"/>
    </row>
    <row r="856" ht="15.75" customHeight="1">
      <c r="A856" s="85"/>
    </row>
    <row r="857" ht="15.75" customHeight="1">
      <c r="A857" s="85"/>
    </row>
    <row r="858" ht="15.75" customHeight="1">
      <c r="A858" s="85"/>
    </row>
    <row r="859" ht="15.75" customHeight="1">
      <c r="A859" s="85"/>
    </row>
    <row r="860" ht="15.75" customHeight="1">
      <c r="A860" s="85"/>
    </row>
    <row r="861" ht="15.75" customHeight="1">
      <c r="A861" s="85"/>
    </row>
    <row r="862" ht="15.75" customHeight="1">
      <c r="A862" s="85"/>
    </row>
    <row r="863" ht="15.75" customHeight="1">
      <c r="A863" s="85"/>
    </row>
    <row r="864" ht="15.75" customHeight="1">
      <c r="A864" s="85"/>
    </row>
    <row r="865" ht="15.75" customHeight="1">
      <c r="A865" s="85"/>
    </row>
    <row r="866" ht="15.75" customHeight="1">
      <c r="A866" s="85"/>
    </row>
    <row r="867" ht="15.75" customHeight="1">
      <c r="A867" s="85"/>
    </row>
    <row r="868" ht="15.75" customHeight="1">
      <c r="A868" s="85"/>
    </row>
    <row r="869" ht="15.75" customHeight="1">
      <c r="A869" s="85"/>
    </row>
    <row r="870" ht="15.75" customHeight="1">
      <c r="A870" s="85"/>
    </row>
    <row r="871" ht="15.75" customHeight="1">
      <c r="A871" s="85"/>
    </row>
    <row r="872" ht="15.75" customHeight="1">
      <c r="A872" s="85"/>
    </row>
    <row r="873" ht="15.75" customHeight="1">
      <c r="A873" s="85"/>
    </row>
    <row r="874" ht="15.75" customHeight="1">
      <c r="A874" s="85"/>
    </row>
    <row r="875" ht="15.75" customHeight="1">
      <c r="A875" s="85"/>
    </row>
    <row r="876" ht="15.75" customHeight="1">
      <c r="A876" s="85"/>
    </row>
    <row r="877" ht="15.75" customHeight="1">
      <c r="A877" s="85"/>
    </row>
    <row r="878" ht="15.75" customHeight="1">
      <c r="A878" s="85"/>
    </row>
    <row r="879" ht="15.75" customHeight="1">
      <c r="A879" s="85"/>
    </row>
    <row r="880" ht="15.75" customHeight="1">
      <c r="A880" s="85"/>
    </row>
    <row r="881" ht="15.75" customHeight="1">
      <c r="A881" s="85"/>
    </row>
    <row r="882" ht="15.75" customHeight="1">
      <c r="A882" s="85"/>
    </row>
    <row r="883" ht="15.75" customHeight="1">
      <c r="A883" s="85"/>
    </row>
    <row r="884" ht="15.75" customHeight="1">
      <c r="A884" s="85"/>
    </row>
    <row r="885" ht="15.75" customHeight="1">
      <c r="A885" s="85"/>
    </row>
    <row r="886" ht="15.75" customHeight="1">
      <c r="A886" s="85"/>
    </row>
    <row r="887" ht="15.75" customHeight="1">
      <c r="A887" s="85"/>
    </row>
    <row r="888" ht="15.75" customHeight="1">
      <c r="A888" s="85"/>
    </row>
    <row r="889" ht="15.75" customHeight="1">
      <c r="A889" s="85"/>
    </row>
    <row r="890" ht="15.75" customHeight="1">
      <c r="A890" s="85"/>
    </row>
    <row r="891" ht="15.75" customHeight="1">
      <c r="A891" s="85"/>
    </row>
    <row r="892" ht="15.75" customHeight="1">
      <c r="A892" s="85"/>
    </row>
    <row r="893" ht="15.75" customHeight="1">
      <c r="A893" s="85"/>
    </row>
    <row r="894" ht="15.75" customHeight="1">
      <c r="A894" s="85"/>
    </row>
    <row r="895" ht="15.75" customHeight="1">
      <c r="A895" s="85"/>
    </row>
    <row r="896" ht="15.75" customHeight="1">
      <c r="A896" s="85"/>
    </row>
    <row r="897" ht="15.75" customHeight="1">
      <c r="A897" s="85"/>
    </row>
    <row r="898" ht="15.75" customHeight="1">
      <c r="A898" s="85"/>
    </row>
    <row r="899" ht="15.75" customHeight="1">
      <c r="A899" s="85"/>
    </row>
    <row r="900" ht="15.75" customHeight="1">
      <c r="A900" s="85"/>
    </row>
    <row r="901" ht="15.75" customHeight="1">
      <c r="A901" s="85"/>
    </row>
    <row r="902" ht="15.75" customHeight="1">
      <c r="A902" s="85"/>
    </row>
    <row r="903" ht="15.75" customHeight="1">
      <c r="A903" s="85"/>
    </row>
    <row r="904" ht="15.75" customHeight="1">
      <c r="A904" s="85"/>
    </row>
    <row r="905" ht="15.75" customHeight="1">
      <c r="A905" s="85"/>
    </row>
    <row r="906" ht="15.75" customHeight="1">
      <c r="A906" s="85"/>
    </row>
    <row r="907" ht="15.75" customHeight="1">
      <c r="A907" s="85"/>
    </row>
    <row r="908" ht="15.75" customHeight="1">
      <c r="A908" s="85"/>
    </row>
    <row r="909" ht="15.75" customHeight="1">
      <c r="A909" s="85"/>
    </row>
    <row r="910" ht="15.75" customHeight="1">
      <c r="A910" s="85"/>
    </row>
    <row r="911" ht="15.75" customHeight="1">
      <c r="A911" s="85"/>
    </row>
    <row r="912" ht="15.75" customHeight="1">
      <c r="A912" s="85"/>
    </row>
    <row r="913" ht="15.75" customHeight="1">
      <c r="A913" s="85"/>
    </row>
    <row r="914" ht="15.75" customHeight="1">
      <c r="A914" s="85"/>
    </row>
    <row r="915" ht="15.75" customHeight="1">
      <c r="A915" s="85"/>
    </row>
    <row r="916" ht="15.75" customHeight="1">
      <c r="A916" s="85"/>
    </row>
    <row r="917" ht="15.75" customHeight="1">
      <c r="A917" s="85"/>
    </row>
    <row r="918" ht="15.75" customHeight="1">
      <c r="A918" s="85"/>
    </row>
    <row r="919" ht="15.75" customHeight="1">
      <c r="A919" s="85"/>
    </row>
    <row r="920" ht="15.75" customHeight="1">
      <c r="A920" s="85"/>
    </row>
    <row r="921" ht="15.75" customHeight="1">
      <c r="A921" s="85"/>
    </row>
    <row r="922" ht="15.75" customHeight="1">
      <c r="A922" s="85"/>
    </row>
    <row r="923" ht="15.75" customHeight="1">
      <c r="A923" s="85"/>
    </row>
    <row r="924" ht="15.75" customHeight="1">
      <c r="A924" s="85"/>
    </row>
    <row r="925" ht="15.75" customHeight="1">
      <c r="A925" s="85"/>
    </row>
    <row r="926" ht="15.75" customHeight="1">
      <c r="A926" s="85"/>
    </row>
    <row r="927" ht="15.75" customHeight="1">
      <c r="A927" s="85"/>
    </row>
    <row r="928" ht="15.75" customHeight="1">
      <c r="A928" s="85"/>
    </row>
    <row r="929" ht="15.75" customHeight="1">
      <c r="A929" s="85"/>
    </row>
    <row r="930" ht="15.75" customHeight="1">
      <c r="A930" s="85"/>
    </row>
    <row r="931" ht="15.75" customHeight="1">
      <c r="A931" s="85"/>
    </row>
    <row r="932" ht="15.75" customHeight="1">
      <c r="A932" s="85"/>
    </row>
    <row r="933" ht="15.75" customHeight="1">
      <c r="A933" s="85"/>
    </row>
    <row r="934" ht="15.75" customHeight="1">
      <c r="A934" s="85"/>
    </row>
    <row r="935" ht="15.75" customHeight="1">
      <c r="A935" s="85"/>
    </row>
    <row r="936" ht="15.75" customHeight="1">
      <c r="A936" s="85"/>
    </row>
    <row r="937" ht="15.75" customHeight="1">
      <c r="A937" s="85"/>
    </row>
    <row r="938" ht="15.75" customHeight="1">
      <c r="A938" s="85"/>
    </row>
    <row r="939" ht="15.75" customHeight="1">
      <c r="A939" s="85"/>
    </row>
    <row r="940" ht="15.75" customHeight="1">
      <c r="A940" s="85"/>
    </row>
    <row r="941" ht="15.75" customHeight="1">
      <c r="A941" s="85"/>
    </row>
    <row r="942" ht="15.75" customHeight="1">
      <c r="A942" s="85"/>
    </row>
    <row r="943" ht="15.75" customHeight="1">
      <c r="A943" s="85"/>
    </row>
    <row r="944" ht="15.75" customHeight="1">
      <c r="A944" s="85"/>
    </row>
    <row r="945" ht="15.75" customHeight="1">
      <c r="A945" s="85"/>
    </row>
    <row r="946" ht="15.75" customHeight="1">
      <c r="A946" s="85"/>
    </row>
    <row r="947" ht="15.75" customHeight="1">
      <c r="A947" s="85"/>
    </row>
    <row r="948" ht="15.75" customHeight="1">
      <c r="A948" s="85"/>
    </row>
    <row r="949" ht="15.75" customHeight="1">
      <c r="A949" s="85"/>
    </row>
    <row r="950" ht="15.75" customHeight="1">
      <c r="A950" s="85"/>
    </row>
    <row r="951" ht="15.75" customHeight="1">
      <c r="A951" s="85"/>
    </row>
    <row r="952" ht="15.75" customHeight="1">
      <c r="A952" s="85"/>
    </row>
    <row r="953" ht="15.75" customHeight="1">
      <c r="A953" s="85"/>
    </row>
    <row r="954" ht="15.75" customHeight="1">
      <c r="A954" s="85"/>
    </row>
    <row r="955" ht="15.75" customHeight="1">
      <c r="A955" s="85"/>
    </row>
    <row r="956" ht="15.75" customHeight="1">
      <c r="A956" s="85"/>
    </row>
    <row r="957" ht="15.75" customHeight="1">
      <c r="A957" s="85"/>
    </row>
    <row r="958" ht="15.75" customHeight="1">
      <c r="A958" s="85"/>
    </row>
    <row r="959" ht="15.75" customHeight="1">
      <c r="A959" s="85"/>
    </row>
    <row r="960" ht="15.75" customHeight="1">
      <c r="A960" s="85"/>
    </row>
    <row r="961" ht="15.75" customHeight="1">
      <c r="A961" s="85"/>
    </row>
    <row r="962" ht="15.75" customHeight="1">
      <c r="A962" s="85"/>
    </row>
    <row r="963" ht="15.75" customHeight="1">
      <c r="A963" s="85"/>
    </row>
    <row r="964" ht="15.75" customHeight="1">
      <c r="A964" s="85"/>
    </row>
    <row r="965" ht="15.75" customHeight="1">
      <c r="A965" s="85"/>
    </row>
    <row r="966" ht="15.75" customHeight="1">
      <c r="A966" s="85"/>
    </row>
    <row r="967" ht="15.75" customHeight="1">
      <c r="A967" s="85"/>
    </row>
    <row r="968" ht="15.75" customHeight="1">
      <c r="A968" s="85"/>
    </row>
    <row r="969" ht="15.75" customHeight="1">
      <c r="A969" s="85"/>
    </row>
    <row r="970" ht="15.75" customHeight="1">
      <c r="A970" s="85"/>
    </row>
    <row r="971" ht="15.75" customHeight="1">
      <c r="A971" s="85"/>
    </row>
    <row r="972" ht="15.75" customHeight="1">
      <c r="A972" s="85"/>
    </row>
    <row r="973" ht="15.75" customHeight="1">
      <c r="A973" s="85"/>
    </row>
    <row r="974" ht="15.75" customHeight="1">
      <c r="A974" s="85"/>
    </row>
    <row r="975" ht="15.75" customHeight="1">
      <c r="A975" s="85"/>
    </row>
    <row r="976" ht="15.75" customHeight="1">
      <c r="A976" s="85"/>
    </row>
    <row r="977" ht="15.75" customHeight="1">
      <c r="A977" s="85"/>
    </row>
    <row r="978" ht="15.75" customHeight="1">
      <c r="A978" s="85"/>
    </row>
    <row r="979" ht="15.75" customHeight="1">
      <c r="A979" s="85"/>
    </row>
    <row r="980" ht="15.75" customHeight="1">
      <c r="A980" s="85"/>
    </row>
    <row r="981" ht="15.75" customHeight="1">
      <c r="A981" s="85"/>
    </row>
    <row r="982" ht="15.75" customHeight="1">
      <c r="A982" s="85"/>
    </row>
    <row r="983" ht="15.75" customHeight="1">
      <c r="A983" s="85"/>
    </row>
    <row r="984" ht="15.75" customHeight="1">
      <c r="A984" s="85"/>
    </row>
    <row r="985" ht="15.75" customHeight="1">
      <c r="A985" s="85"/>
    </row>
    <row r="986" ht="15.75" customHeight="1">
      <c r="A986" s="85"/>
    </row>
    <row r="987" ht="15.75" customHeight="1">
      <c r="A987" s="85"/>
    </row>
    <row r="988" ht="15.75" customHeight="1">
      <c r="A988" s="85"/>
    </row>
    <row r="989" ht="15.75" customHeight="1">
      <c r="A989" s="85"/>
    </row>
    <row r="990" ht="15.75" customHeight="1">
      <c r="A990" s="85"/>
    </row>
    <row r="991" ht="15.75" customHeight="1">
      <c r="A991" s="85"/>
    </row>
    <row r="992" ht="15.75" customHeight="1">
      <c r="A992" s="85"/>
    </row>
    <row r="993" ht="15.75" customHeight="1">
      <c r="A993" s="85"/>
    </row>
    <row r="994" ht="15.75" customHeight="1">
      <c r="A994" s="85"/>
    </row>
    <row r="995" ht="15.75" customHeight="1">
      <c r="A995" s="85"/>
    </row>
    <row r="996" ht="15.75" customHeight="1">
      <c r="A996" s="85"/>
    </row>
    <row r="997" ht="15.75" customHeight="1">
      <c r="A997" s="85"/>
    </row>
    <row r="998" ht="15.75" customHeight="1">
      <c r="A998" s="85"/>
    </row>
    <row r="999" ht="15.75" customHeight="1">
      <c r="A999" s="85"/>
    </row>
    <row r="1000" ht="15.75" customHeight="1">
      <c r="A1000" s="85"/>
    </row>
  </sheetData>
  <printOptions/>
  <pageMargins bottom="1.025" footer="0.0" header="0.0" left="0.7875" right="0.7875" top="1.025"/>
  <pageSetup paperSize="9" orientation="portrait"/>
  <headerFooter>
    <oddHeader>&amp;Cffffff&amp;A</oddHeader>
    <oddFooter>&amp;CffffffPágina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60.0"/>
    <col customWidth="1" min="3" max="5" width="11.43"/>
    <col customWidth="1" min="6" max="6" width="19.71"/>
    <col customWidth="1" min="7" max="7" width="9.29"/>
    <col customWidth="1" min="8" max="26" width="10.71"/>
  </cols>
  <sheetData>
    <row r="1">
      <c r="A1" s="20" t="s">
        <v>121</v>
      </c>
      <c r="B1" s="20" t="s">
        <v>10</v>
      </c>
      <c r="C1" s="11" t="s">
        <v>122</v>
      </c>
      <c r="D1" s="11" t="s">
        <v>123</v>
      </c>
      <c r="E1" s="11" t="s">
        <v>12</v>
      </c>
      <c r="F1" s="20" t="s">
        <v>124</v>
      </c>
      <c r="G1" s="20" t="s">
        <v>125</v>
      </c>
    </row>
    <row r="2">
      <c r="A2" s="20">
        <v>31229.0</v>
      </c>
      <c r="B2" s="20" t="s">
        <v>126</v>
      </c>
      <c r="C2" s="89">
        <v>15.09</v>
      </c>
      <c r="D2" s="90">
        <v>0.25</v>
      </c>
      <c r="E2" s="89">
        <f t="shared" ref="E2:E660" si="1">C2*(1-D2)</f>
        <v>11.3175</v>
      </c>
      <c r="F2" s="20" t="s">
        <v>127</v>
      </c>
      <c r="G2" s="20" t="s">
        <v>128</v>
      </c>
    </row>
    <row r="3">
      <c r="A3" s="20" t="s">
        <v>129</v>
      </c>
      <c r="B3" s="20" t="s">
        <v>130</v>
      </c>
      <c r="C3" s="89">
        <v>313.46</v>
      </c>
      <c r="D3" s="90">
        <v>0.25</v>
      </c>
      <c r="E3" s="89">
        <f t="shared" si="1"/>
        <v>235.095</v>
      </c>
      <c r="F3" s="20" t="s">
        <v>131</v>
      </c>
      <c r="G3" s="20" t="s">
        <v>132</v>
      </c>
    </row>
    <row r="4">
      <c r="A4" s="20" t="s">
        <v>133</v>
      </c>
      <c r="B4" s="20" t="s">
        <v>134</v>
      </c>
      <c r="C4" s="89">
        <v>322.99</v>
      </c>
      <c r="D4" s="90">
        <v>0.25</v>
      </c>
      <c r="E4" s="89">
        <f t="shared" si="1"/>
        <v>242.2425</v>
      </c>
      <c r="F4" s="20" t="s">
        <v>131</v>
      </c>
      <c r="G4" s="20" t="s">
        <v>132</v>
      </c>
    </row>
    <row r="5">
      <c r="A5" s="20" t="s">
        <v>135</v>
      </c>
      <c r="B5" s="20" t="s">
        <v>136</v>
      </c>
      <c r="C5" s="89">
        <v>645.99</v>
      </c>
      <c r="D5" s="90">
        <v>0.25</v>
      </c>
      <c r="E5" s="89">
        <f t="shared" si="1"/>
        <v>484.4925</v>
      </c>
      <c r="F5" s="20" t="s">
        <v>131</v>
      </c>
      <c r="G5" s="20" t="s">
        <v>132</v>
      </c>
    </row>
    <row r="6">
      <c r="A6" s="20" t="s">
        <v>139</v>
      </c>
      <c r="B6" s="20" t="s">
        <v>140</v>
      </c>
      <c r="C6" s="89">
        <v>335.92</v>
      </c>
      <c r="D6" s="90">
        <v>0.25</v>
      </c>
      <c r="E6" s="89">
        <f t="shared" si="1"/>
        <v>251.94</v>
      </c>
      <c r="F6" s="20" t="s">
        <v>131</v>
      </c>
      <c r="G6" s="20" t="s">
        <v>132</v>
      </c>
    </row>
    <row r="7">
      <c r="A7" s="20" t="s">
        <v>141</v>
      </c>
      <c r="B7" s="20" t="s">
        <v>142</v>
      </c>
      <c r="C7" s="89">
        <v>345.6</v>
      </c>
      <c r="D7" s="90">
        <v>0.25</v>
      </c>
      <c r="E7" s="89">
        <f t="shared" si="1"/>
        <v>259.2</v>
      </c>
      <c r="F7" s="20" t="s">
        <v>131</v>
      </c>
      <c r="G7" s="20" t="s">
        <v>132</v>
      </c>
    </row>
    <row r="8">
      <c r="A8" s="20" t="s">
        <v>143</v>
      </c>
      <c r="B8" s="20" t="s">
        <v>144</v>
      </c>
      <c r="C8" s="89">
        <v>387.6</v>
      </c>
      <c r="D8" s="90">
        <v>0.25</v>
      </c>
      <c r="E8" s="89">
        <f t="shared" si="1"/>
        <v>290.7</v>
      </c>
      <c r="F8" s="20" t="s">
        <v>131</v>
      </c>
      <c r="G8" s="20" t="s">
        <v>132</v>
      </c>
    </row>
    <row r="9">
      <c r="A9" s="20" t="s">
        <v>145</v>
      </c>
      <c r="B9" s="20" t="s">
        <v>146</v>
      </c>
      <c r="C9" s="89">
        <v>355.29</v>
      </c>
      <c r="D9" s="90">
        <v>0.25</v>
      </c>
      <c r="E9" s="89">
        <f t="shared" si="1"/>
        <v>266.4675</v>
      </c>
      <c r="F9" s="20" t="s">
        <v>131</v>
      </c>
      <c r="G9" s="20" t="s">
        <v>132</v>
      </c>
    </row>
    <row r="10">
      <c r="A10" s="20" t="s">
        <v>147</v>
      </c>
      <c r="B10" s="20" t="s">
        <v>148</v>
      </c>
      <c r="C10" s="89">
        <v>371.44</v>
      </c>
      <c r="D10" s="90">
        <v>0.25</v>
      </c>
      <c r="E10" s="89">
        <f t="shared" si="1"/>
        <v>278.58</v>
      </c>
      <c r="F10" s="20" t="s">
        <v>131</v>
      </c>
      <c r="G10" s="20" t="s">
        <v>132</v>
      </c>
    </row>
    <row r="11">
      <c r="A11" s="20" t="s">
        <v>149</v>
      </c>
      <c r="B11" s="20" t="s">
        <v>150</v>
      </c>
      <c r="C11" s="89">
        <v>326.29</v>
      </c>
      <c r="D11" s="90">
        <v>0.25</v>
      </c>
      <c r="E11" s="89">
        <f t="shared" si="1"/>
        <v>244.7175</v>
      </c>
      <c r="F11" s="20" t="s">
        <v>131</v>
      </c>
      <c r="G11" s="20" t="s">
        <v>132</v>
      </c>
    </row>
    <row r="12">
      <c r="A12" s="20" t="s">
        <v>151</v>
      </c>
      <c r="B12" s="20" t="s">
        <v>152</v>
      </c>
      <c r="C12" s="89">
        <v>322.99</v>
      </c>
      <c r="D12" s="90">
        <v>0.25</v>
      </c>
      <c r="E12" s="89">
        <f t="shared" si="1"/>
        <v>242.2425</v>
      </c>
      <c r="F12" s="20" t="s">
        <v>131</v>
      </c>
      <c r="G12" s="20" t="s">
        <v>132</v>
      </c>
    </row>
    <row r="13">
      <c r="A13" s="20" t="s">
        <v>153</v>
      </c>
      <c r="B13" s="20" t="s">
        <v>154</v>
      </c>
      <c r="C13" s="89">
        <v>322.99</v>
      </c>
      <c r="D13" s="90">
        <v>0.25</v>
      </c>
      <c r="E13" s="89">
        <f t="shared" si="1"/>
        <v>242.2425</v>
      </c>
      <c r="F13" s="20" t="s">
        <v>131</v>
      </c>
      <c r="G13" s="20" t="s">
        <v>132</v>
      </c>
    </row>
    <row r="14">
      <c r="A14" s="20" t="s">
        <v>155</v>
      </c>
      <c r="B14" s="20" t="s">
        <v>156</v>
      </c>
      <c r="C14" s="89">
        <v>645.99</v>
      </c>
      <c r="D14" s="90">
        <v>0.25</v>
      </c>
      <c r="E14" s="89">
        <f t="shared" si="1"/>
        <v>484.4925</v>
      </c>
      <c r="F14" s="20" t="s">
        <v>131</v>
      </c>
      <c r="G14" s="20" t="s">
        <v>132</v>
      </c>
    </row>
    <row r="15">
      <c r="A15" s="20" t="s">
        <v>157</v>
      </c>
      <c r="B15" s="20" t="s">
        <v>158</v>
      </c>
      <c r="C15" s="89">
        <v>277.32</v>
      </c>
      <c r="D15" s="90">
        <v>0.25</v>
      </c>
      <c r="E15" s="89">
        <f t="shared" si="1"/>
        <v>207.99</v>
      </c>
      <c r="F15" s="20" t="s">
        <v>131</v>
      </c>
      <c r="G15" s="20" t="s">
        <v>132</v>
      </c>
    </row>
    <row r="16">
      <c r="A16" s="20" t="s">
        <v>159</v>
      </c>
      <c r="B16" s="20" t="s">
        <v>160</v>
      </c>
      <c r="C16" s="89">
        <v>287.39</v>
      </c>
      <c r="D16" s="90">
        <v>0.25</v>
      </c>
      <c r="E16" s="89">
        <f t="shared" si="1"/>
        <v>215.5425</v>
      </c>
      <c r="F16" s="20" t="s">
        <v>131</v>
      </c>
      <c r="G16" s="20" t="s">
        <v>132</v>
      </c>
    </row>
    <row r="17">
      <c r="A17" s="20" t="s">
        <v>161</v>
      </c>
      <c r="B17" s="20" t="s">
        <v>162</v>
      </c>
      <c r="C17" s="89">
        <v>574.76</v>
      </c>
      <c r="D17" s="90">
        <v>0.25</v>
      </c>
      <c r="E17" s="89">
        <f t="shared" si="1"/>
        <v>431.07</v>
      </c>
      <c r="F17" s="20" t="s">
        <v>131</v>
      </c>
      <c r="G17" s="20" t="s">
        <v>132</v>
      </c>
    </row>
    <row r="18">
      <c r="A18" s="20" t="s">
        <v>165</v>
      </c>
      <c r="B18" s="20" t="s">
        <v>166</v>
      </c>
      <c r="C18" s="89">
        <v>298.88</v>
      </c>
      <c r="D18" s="90">
        <v>0.25</v>
      </c>
      <c r="E18" s="89">
        <f t="shared" si="1"/>
        <v>224.16</v>
      </c>
      <c r="F18" s="20" t="s">
        <v>131</v>
      </c>
      <c r="G18" s="20" t="s">
        <v>132</v>
      </c>
    </row>
    <row r="19">
      <c r="A19" s="20" t="s">
        <v>167</v>
      </c>
      <c r="B19" s="20" t="s">
        <v>168</v>
      </c>
      <c r="C19" s="89">
        <v>307.51</v>
      </c>
      <c r="D19" s="90">
        <v>0.25</v>
      </c>
      <c r="E19" s="89">
        <f t="shared" si="1"/>
        <v>230.6325</v>
      </c>
      <c r="F19" s="20" t="s">
        <v>131</v>
      </c>
      <c r="G19" s="20" t="s">
        <v>132</v>
      </c>
    </row>
    <row r="20">
      <c r="A20" s="20" t="s">
        <v>169</v>
      </c>
      <c r="B20" s="20" t="s">
        <v>170</v>
      </c>
      <c r="C20" s="89">
        <v>344.86</v>
      </c>
      <c r="D20" s="90">
        <v>0.25</v>
      </c>
      <c r="E20" s="89">
        <f t="shared" si="1"/>
        <v>258.645</v>
      </c>
      <c r="F20" s="20" t="s">
        <v>131</v>
      </c>
      <c r="G20" s="20" t="s">
        <v>132</v>
      </c>
    </row>
    <row r="21" ht="15.75" customHeight="1">
      <c r="A21" s="20" t="s">
        <v>171</v>
      </c>
      <c r="B21" s="20" t="s">
        <v>172</v>
      </c>
      <c r="C21" s="89">
        <v>316.13</v>
      </c>
      <c r="D21" s="90">
        <v>0.25</v>
      </c>
      <c r="E21" s="89">
        <f t="shared" si="1"/>
        <v>237.0975</v>
      </c>
      <c r="F21" s="20" t="s">
        <v>131</v>
      </c>
      <c r="G21" s="20" t="s">
        <v>132</v>
      </c>
    </row>
    <row r="22" ht="15.75" customHeight="1">
      <c r="A22" s="20" t="s">
        <v>173</v>
      </c>
      <c r="B22" s="20" t="s">
        <v>174</v>
      </c>
      <c r="C22" s="89">
        <v>330.5</v>
      </c>
      <c r="D22" s="90">
        <v>0.25</v>
      </c>
      <c r="E22" s="89">
        <f t="shared" si="1"/>
        <v>247.875</v>
      </c>
      <c r="F22" s="20" t="s">
        <v>131</v>
      </c>
      <c r="G22" s="20" t="s">
        <v>132</v>
      </c>
    </row>
    <row r="23" ht="15.75" customHeight="1">
      <c r="A23" s="20" t="s">
        <v>175</v>
      </c>
      <c r="B23" s="20" t="s">
        <v>176</v>
      </c>
      <c r="C23" s="89">
        <v>287.39</v>
      </c>
      <c r="D23" s="90">
        <v>0.25</v>
      </c>
      <c r="E23" s="89">
        <f t="shared" si="1"/>
        <v>215.5425</v>
      </c>
      <c r="F23" s="20" t="s">
        <v>131</v>
      </c>
      <c r="G23" s="20" t="s">
        <v>132</v>
      </c>
    </row>
    <row r="24" ht="15.75" customHeight="1">
      <c r="A24" s="20" t="s">
        <v>177</v>
      </c>
      <c r="B24" s="20" t="s">
        <v>178</v>
      </c>
      <c r="C24" s="89">
        <v>287.39</v>
      </c>
      <c r="D24" s="90">
        <v>0.25</v>
      </c>
      <c r="E24" s="89">
        <f t="shared" si="1"/>
        <v>215.5425</v>
      </c>
      <c r="F24" s="20" t="s">
        <v>131</v>
      </c>
      <c r="G24" s="20" t="s">
        <v>132</v>
      </c>
    </row>
    <row r="25" ht="15.75" customHeight="1">
      <c r="A25" s="20" t="s">
        <v>179</v>
      </c>
      <c r="B25" s="20" t="s">
        <v>180</v>
      </c>
      <c r="C25" s="89">
        <v>574.76</v>
      </c>
      <c r="D25" s="90">
        <v>0.25</v>
      </c>
      <c r="E25" s="89">
        <f t="shared" si="1"/>
        <v>431.07</v>
      </c>
      <c r="F25" s="20" t="s">
        <v>131</v>
      </c>
      <c r="G25" s="20" t="s">
        <v>132</v>
      </c>
    </row>
    <row r="26" ht="15.75" customHeight="1">
      <c r="A26" s="20" t="s">
        <v>181</v>
      </c>
      <c r="B26" s="20" t="s">
        <v>182</v>
      </c>
      <c r="C26" s="89">
        <v>0.0</v>
      </c>
      <c r="D26" s="90">
        <v>0.25</v>
      </c>
      <c r="E26" s="89">
        <f t="shared" si="1"/>
        <v>0</v>
      </c>
      <c r="F26" s="20" t="s">
        <v>131</v>
      </c>
      <c r="G26" s="20" t="s">
        <v>132</v>
      </c>
    </row>
    <row r="27" ht="15.75" customHeight="1">
      <c r="A27" s="20" t="s">
        <v>183</v>
      </c>
      <c r="B27" s="20" t="s">
        <v>184</v>
      </c>
      <c r="C27" s="89">
        <v>257.63</v>
      </c>
      <c r="D27" s="90">
        <v>0.25</v>
      </c>
      <c r="E27" s="89">
        <f t="shared" si="1"/>
        <v>193.2225</v>
      </c>
      <c r="F27" s="20" t="s">
        <v>131</v>
      </c>
      <c r="G27" s="20" t="s">
        <v>132</v>
      </c>
    </row>
    <row r="28" ht="15.75" customHeight="1">
      <c r="A28" s="20" t="s">
        <v>185</v>
      </c>
      <c r="B28" s="20" t="s">
        <v>186</v>
      </c>
      <c r="C28" s="89">
        <v>287.54</v>
      </c>
      <c r="D28" s="90">
        <v>0.25</v>
      </c>
      <c r="E28" s="89">
        <f t="shared" si="1"/>
        <v>215.655</v>
      </c>
      <c r="F28" s="20" t="s">
        <v>131</v>
      </c>
      <c r="G28" s="20" t="s">
        <v>132</v>
      </c>
    </row>
    <row r="29" ht="15.75" customHeight="1">
      <c r="A29" s="20" t="s">
        <v>187</v>
      </c>
      <c r="B29" s="20" t="s">
        <v>188</v>
      </c>
      <c r="C29" s="89">
        <v>575.09</v>
      </c>
      <c r="D29" s="90">
        <v>0.25</v>
      </c>
      <c r="E29" s="89">
        <f t="shared" si="1"/>
        <v>431.3175</v>
      </c>
      <c r="F29" s="20" t="s">
        <v>131</v>
      </c>
      <c r="G29" s="20" t="s">
        <v>132</v>
      </c>
    </row>
    <row r="30" ht="15.75" customHeight="1">
      <c r="A30" s="20" t="s">
        <v>191</v>
      </c>
      <c r="B30" s="20" t="s">
        <v>192</v>
      </c>
      <c r="C30" s="89">
        <v>299.05</v>
      </c>
      <c r="D30" s="90">
        <v>0.25</v>
      </c>
      <c r="E30" s="89">
        <f t="shared" si="1"/>
        <v>224.2875</v>
      </c>
      <c r="F30" s="20" t="s">
        <v>131</v>
      </c>
      <c r="G30" s="20" t="s">
        <v>132</v>
      </c>
    </row>
    <row r="31" ht="15.75" customHeight="1">
      <c r="A31" s="20" t="s">
        <v>193</v>
      </c>
      <c r="B31" s="20" t="s">
        <v>194</v>
      </c>
      <c r="C31" s="89">
        <v>307.67</v>
      </c>
      <c r="D31" s="90">
        <v>0.25</v>
      </c>
      <c r="E31" s="89">
        <f t="shared" si="1"/>
        <v>230.7525</v>
      </c>
      <c r="F31" s="20" t="s">
        <v>131</v>
      </c>
      <c r="G31" s="20" t="s">
        <v>132</v>
      </c>
    </row>
    <row r="32" ht="15.75" customHeight="1">
      <c r="A32" s="20" t="s">
        <v>195</v>
      </c>
      <c r="B32" s="20" t="s">
        <v>196</v>
      </c>
      <c r="C32" s="89">
        <v>345.05</v>
      </c>
      <c r="D32" s="90">
        <v>0.25</v>
      </c>
      <c r="E32" s="89">
        <f t="shared" si="1"/>
        <v>258.7875</v>
      </c>
      <c r="F32" s="20" t="s">
        <v>131</v>
      </c>
      <c r="G32" s="20" t="s">
        <v>132</v>
      </c>
    </row>
    <row r="33" ht="15.75" customHeight="1">
      <c r="A33" s="20" t="s">
        <v>197</v>
      </c>
      <c r="B33" s="20" t="s">
        <v>198</v>
      </c>
      <c r="C33" s="89">
        <v>316.29</v>
      </c>
      <c r="D33" s="90">
        <v>0.25</v>
      </c>
      <c r="E33" s="89">
        <f t="shared" si="1"/>
        <v>237.2175</v>
      </c>
      <c r="F33" s="20" t="s">
        <v>131</v>
      </c>
      <c r="G33" s="20" t="s">
        <v>132</v>
      </c>
    </row>
    <row r="34" ht="15.75" customHeight="1">
      <c r="A34" s="20" t="s">
        <v>199</v>
      </c>
      <c r="B34" s="20" t="s">
        <v>200</v>
      </c>
      <c r="C34" s="89">
        <v>330.67</v>
      </c>
      <c r="D34" s="90">
        <v>0.25</v>
      </c>
      <c r="E34" s="89">
        <f t="shared" si="1"/>
        <v>248.0025</v>
      </c>
      <c r="F34" s="20" t="s">
        <v>131</v>
      </c>
      <c r="G34" s="20" t="s">
        <v>132</v>
      </c>
    </row>
    <row r="35" ht="15.75" customHeight="1">
      <c r="A35" s="20" t="s">
        <v>201</v>
      </c>
      <c r="B35" s="20" t="s">
        <v>202</v>
      </c>
      <c r="C35" s="89">
        <v>287.54</v>
      </c>
      <c r="D35" s="90">
        <v>0.25</v>
      </c>
      <c r="E35" s="89">
        <f t="shared" si="1"/>
        <v>215.655</v>
      </c>
      <c r="F35" s="20" t="s">
        <v>131</v>
      </c>
      <c r="G35" s="20" t="s">
        <v>132</v>
      </c>
    </row>
    <row r="36" ht="15.75" customHeight="1">
      <c r="A36" s="20" t="s">
        <v>203</v>
      </c>
      <c r="B36" s="20" t="s">
        <v>204</v>
      </c>
      <c r="C36" s="89">
        <v>287.54</v>
      </c>
      <c r="D36" s="90">
        <v>0.25</v>
      </c>
      <c r="E36" s="89">
        <f t="shared" si="1"/>
        <v>215.655</v>
      </c>
      <c r="F36" s="20" t="s">
        <v>131</v>
      </c>
      <c r="G36" s="20" t="s">
        <v>132</v>
      </c>
    </row>
    <row r="37" ht="15.75" customHeight="1">
      <c r="A37" s="20" t="s">
        <v>205</v>
      </c>
      <c r="B37" s="20" t="s">
        <v>206</v>
      </c>
      <c r="C37" s="89">
        <v>287.54</v>
      </c>
      <c r="D37" s="90">
        <v>0.25</v>
      </c>
      <c r="E37" s="89">
        <f t="shared" si="1"/>
        <v>215.655</v>
      </c>
      <c r="F37" s="20" t="s">
        <v>131</v>
      </c>
      <c r="G37" s="20" t="s">
        <v>132</v>
      </c>
    </row>
    <row r="38" ht="15.75" customHeight="1">
      <c r="A38" s="20" t="s">
        <v>207</v>
      </c>
      <c r="B38" s="20" t="s">
        <v>208</v>
      </c>
      <c r="C38" s="89">
        <v>575.09</v>
      </c>
      <c r="D38" s="90">
        <v>0.25</v>
      </c>
      <c r="E38" s="89">
        <f t="shared" si="1"/>
        <v>431.3175</v>
      </c>
      <c r="F38" s="20" t="s">
        <v>131</v>
      </c>
      <c r="G38" s="20" t="s">
        <v>132</v>
      </c>
    </row>
    <row r="39" ht="15.75" customHeight="1">
      <c r="A39" s="20" t="s">
        <v>209</v>
      </c>
      <c r="B39" s="20" t="s">
        <v>210</v>
      </c>
      <c r="C39" s="89">
        <v>257.63</v>
      </c>
      <c r="D39" s="90">
        <v>0.25</v>
      </c>
      <c r="E39" s="89">
        <f t="shared" si="1"/>
        <v>193.2225</v>
      </c>
      <c r="F39" s="20" t="s">
        <v>131</v>
      </c>
      <c r="G39" s="20" t="s">
        <v>132</v>
      </c>
    </row>
    <row r="40" ht="15.75" customHeight="1">
      <c r="A40" s="20" t="s">
        <v>211</v>
      </c>
      <c r="B40" s="20" t="s">
        <v>212</v>
      </c>
      <c r="C40" s="89">
        <v>287.54</v>
      </c>
      <c r="D40" s="90">
        <v>0.25</v>
      </c>
      <c r="E40" s="89">
        <f t="shared" si="1"/>
        <v>215.655</v>
      </c>
      <c r="F40" s="20" t="s">
        <v>131</v>
      </c>
      <c r="G40" s="20" t="s">
        <v>132</v>
      </c>
    </row>
    <row r="41" ht="15.75" customHeight="1">
      <c r="A41" s="20" t="s">
        <v>213</v>
      </c>
      <c r="B41" s="20" t="s">
        <v>214</v>
      </c>
      <c r="C41" s="89">
        <v>575.09</v>
      </c>
      <c r="D41" s="90">
        <v>0.25</v>
      </c>
      <c r="E41" s="89">
        <f t="shared" si="1"/>
        <v>431.3175</v>
      </c>
      <c r="F41" s="20" t="s">
        <v>131</v>
      </c>
      <c r="G41" s="20" t="s">
        <v>132</v>
      </c>
    </row>
    <row r="42" ht="15.75" customHeight="1">
      <c r="A42" s="20" t="s">
        <v>217</v>
      </c>
      <c r="B42" s="20" t="s">
        <v>218</v>
      </c>
      <c r="C42" s="89">
        <v>299.05</v>
      </c>
      <c r="D42" s="90">
        <v>0.25</v>
      </c>
      <c r="E42" s="89">
        <f t="shared" si="1"/>
        <v>224.2875</v>
      </c>
      <c r="F42" s="20" t="s">
        <v>131</v>
      </c>
      <c r="G42" s="20" t="s">
        <v>132</v>
      </c>
    </row>
    <row r="43" ht="15.75" customHeight="1">
      <c r="A43" s="20" t="s">
        <v>219</v>
      </c>
      <c r="B43" s="20" t="s">
        <v>220</v>
      </c>
      <c r="C43" s="89">
        <v>307.67</v>
      </c>
      <c r="D43" s="90">
        <v>0.25</v>
      </c>
      <c r="E43" s="89">
        <f t="shared" si="1"/>
        <v>230.7525</v>
      </c>
      <c r="F43" s="20" t="s">
        <v>131</v>
      </c>
      <c r="G43" s="20" t="s">
        <v>132</v>
      </c>
    </row>
    <row r="44" ht="15.75" customHeight="1">
      <c r="A44" s="20" t="s">
        <v>221</v>
      </c>
      <c r="B44" s="20" t="s">
        <v>222</v>
      </c>
      <c r="C44" s="89">
        <v>345.05</v>
      </c>
      <c r="D44" s="90">
        <v>0.25</v>
      </c>
      <c r="E44" s="89">
        <f t="shared" si="1"/>
        <v>258.7875</v>
      </c>
      <c r="F44" s="20" t="s">
        <v>131</v>
      </c>
      <c r="G44" s="20" t="s">
        <v>132</v>
      </c>
    </row>
    <row r="45" ht="15.75" customHeight="1">
      <c r="A45" s="20" t="s">
        <v>223</v>
      </c>
      <c r="B45" s="20" t="s">
        <v>224</v>
      </c>
      <c r="C45" s="89">
        <v>316.29</v>
      </c>
      <c r="D45" s="90">
        <v>0.25</v>
      </c>
      <c r="E45" s="89">
        <f t="shared" si="1"/>
        <v>237.2175</v>
      </c>
      <c r="F45" s="20" t="s">
        <v>131</v>
      </c>
      <c r="G45" s="20" t="s">
        <v>132</v>
      </c>
    </row>
    <row r="46" ht="15.75" customHeight="1">
      <c r="A46" s="20" t="s">
        <v>225</v>
      </c>
      <c r="B46" s="20" t="s">
        <v>226</v>
      </c>
      <c r="C46" s="89">
        <v>330.67</v>
      </c>
      <c r="D46" s="90">
        <v>0.25</v>
      </c>
      <c r="E46" s="89">
        <f t="shared" si="1"/>
        <v>248.0025</v>
      </c>
      <c r="F46" s="20" t="s">
        <v>131</v>
      </c>
      <c r="G46" s="20" t="s">
        <v>132</v>
      </c>
    </row>
    <row r="47" ht="15.75" customHeight="1">
      <c r="A47" s="20" t="s">
        <v>227</v>
      </c>
      <c r="B47" s="20" t="s">
        <v>228</v>
      </c>
      <c r="C47" s="89">
        <v>287.54</v>
      </c>
      <c r="D47" s="90">
        <v>0.25</v>
      </c>
      <c r="E47" s="89">
        <f t="shared" si="1"/>
        <v>215.655</v>
      </c>
      <c r="F47" s="20" t="s">
        <v>131</v>
      </c>
      <c r="G47" s="20" t="s">
        <v>132</v>
      </c>
    </row>
    <row r="48" ht="15.75" customHeight="1">
      <c r="A48" s="20" t="s">
        <v>229</v>
      </c>
      <c r="B48" s="20" t="s">
        <v>230</v>
      </c>
      <c r="C48" s="89">
        <v>287.54</v>
      </c>
      <c r="D48" s="90">
        <v>0.25</v>
      </c>
      <c r="E48" s="89">
        <f t="shared" si="1"/>
        <v>215.655</v>
      </c>
      <c r="F48" s="20" t="s">
        <v>131</v>
      </c>
      <c r="G48" s="20" t="s">
        <v>132</v>
      </c>
    </row>
    <row r="49" ht="15.75" customHeight="1">
      <c r="A49" s="20" t="s">
        <v>231</v>
      </c>
      <c r="B49" s="20" t="s">
        <v>232</v>
      </c>
      <c r="C49" s="89">
        <v>575.09</v>
      </c>
      <c r="D49" s="90">
        <v>0.25</v>
      </c>
      <c r="E49" s="89">
        <f t="shared" si="1"/>
        <v>431.3175</v>
      </c>
      <c r="F49" s="20" t="s">
        <v>131</v>
      </c>
      <c r="G49" s="20" t="s">
        <v>132</v>
      </c>
    </row>
    <row r="50" ht="15.75" customHeight="1">
      <c r="A50" s="20" t="s">
        <v>233</v>
      </c>
      <c r="B50" s="20" t="s">
        <v>234</v>
      </c>
      <c r="C50" s="89">
        <v>0.0</v>
      </c>
      <c r="D50" s="90">
        <v>0.25</v>
      </c>
      <c r="E50" s="89">
        <f t="shared" si="1"/>
        <v>0</v>
      </c>
      <c r="F50" s="20" t="s">
        <v>131</v>
      </c>
      <c r="G50" s="20" t="s">
        <v>132</v>
      </c>
    </row>
    <row r="51" ht="15.75" customHeight="1">
      <c r="A51" s="20" t="s">
        <v>235</v>
      </c>
      <c r="B51" s="20" t="s">
        <v>236</v>
      </c>
      <c r="C51" s="89">
        <v>0.0</v>
      </c>
      <c r="D51" s="90">
        <v>0.25</v>
      </c>
      <c r="E51" s="89">
        <f t="shared" si="1"/>
        <v>0</v>
      </c>
      <c r="F51" s="20" t="s">
        <v>131</v>
      </c>
      <c r="G51" s="20" t="s">
        <v>132</v>
      </c>
    </row>
    <row r="52" ht="15.75" customHeight="1">
      <c r="A52" s="20" t="s">
        <v>237</v>
      </c>
      <c r="B52" s="20" t="s">
        <v>238</v>
      </c>
      <c r="C52" s="89">
        <v>257.63</v>
      </c>
      <c r="D52" s="90">
        <v>0.25</v>
      </c>
      <c r="E52" s="89">
        <f t="shared" si="1"/>
        <v>193.2225</v>
      </c>
      <c r="F52" s="20" t="s">
        <v>131</v>
      </c>
      <c r="G52" s="20" t="s">
        <v>132</v>
      </c>
    </row>
    <row r="53" ht="15.75" customHeight="1">
      <c r="A53" s="20" t="s">
        <v>239</v>
      </c>
      <c r="B53" s="20" t="s">
        <v>240</v>
      </c>
      <c r="C53" s="89">
        <v>287.54</v>
      </c>
      <c r="D53" s="90">
        <v>0.25</v>
      </c>
      <c r="E53" s="89">
        <f t="shared" si="1"/>
        <v>215.655</v>
      </c>
      <c r="F53" s="20" t="s">
        <v>131</v>
      </c>
      <c r="G53" s="20" t="s">
        <v>132</v>
      </c>
    </row>
    <row r="54" ht="15.75" customHeight="1">
      <c r="A54" s="20" t="s">
        <v>241</v>
      </c>
      <c r="B54" s="20" t="s">
        <v>242</v>
      </c>
      <c r="C54" s="89">
        <v>575.09</v>
      </c>
      <c r="D54" s="90">
        <v>0.25</v>
      </c>
      <c r="E54" s="89">
        <f t="shared" si="1"/>
        <v>431.3175</v>
      </c>
      <c r="F54" s="20" t="s">
        <v>131</v>
      </c>
      <c r="G54" s="20" t="s">
        <v>132</v>
      </c>
    </row>
    <row r="55" ht="15.75" customHeight="1">
      <c r="A55" s="20" t="s">
        <v>245</v>
      </c>
      <c r="B55" s="20" t="s">
        <v>246</v>
      </c>
      <c r="C55" s="89">
        <v>287.54</v>
      </c>
      <c r="D55" s="90">
        <v>0.25</v>
      </c>
      <c r="E55" s="89">
        <f t="shared" si="1"/>
        <v>215.655</v>
      </c>
      <c r="F55" s="20" t="s">
        <v>131</v>
      </c>
      <c r="G55" s="20" t="s">
        <v>132</v>
      </c>
    </row>
    <row r="56" ht="15.75" customHeight="1">
      <c r="A56" s="20" t="s">
        <v>22</v>
      </c>
      <c r="B56" s="20" t="s">
        <v>247</v>
      </c>
      <c r="C56" s="89">
        <v>287.54</v>
      </c>
      <c r="D56" s="90">
        <v>0.25</v>
      </c>
      <c r="E56" s="89">
        <f t="shared" si="1"/>
        <v>215.655</v>
      </c>
      <c r="F56" s="20" t="s">
        <v>131</v>
      </c>
      <c r="G56" s="20" t="s">
        <v>132</v>
      </c>
    </row>
    <row r="57" ht="15.75" customHeight="1">
      <c r="A57" s="20" t="s">
        <v>248</v>
      </c>
      <c r="B57" s="20" t="s">
        <v>249</v>
      </c>
      <c r="C57" s="89">
        <v>575.09</v>
      </c>
      <c r="D57" s="90">
        <v>0.25</v>
      </c>
      <c r="E57" s="89">
        <f t="shared" si="1"/>
        <v>431.3175</v>
      </c>
      <c r="F57" s="20" t="s">
        <v>131</v>
      </c>
      <c r="G57" s="20" t="s">
        <v>132</v>
      </c>
    </row>
    <row r="58" ht="15.75" customHeight="1">
      <c r="A58" s="20" t="s">
        <v>250</v>
      </c>
      <c r="B58" s="20" t="s">
        <v>251</v>
      </c>
      <c r="C58" s="89">
        <v>79.49</v>
      </c>
      <c r="D58" s="90">
        <v>0.25</v>
      </c>
      <c r="E58" s="89">
        <f t="shared" si="1"/>
        <v>59.6175</v>
      </c>
      <c r="F58" s="20" t="s">
        <v>131</v>
      </c>
      <c r="G58" s="20" t="s">
        <v>132</v>
      </c>
    </row>
    <row r="59" ht="15.75" customHeight="1">
      <c r="A59" s="20" t="s">
        <v>252</v>
      </c>
      <c r="B59" s="20" t="s">
        <v>253</v>
      </c>
      <c r="C59" s="89">
        <v>89.28</v>
      </c>
      <c r="D59" s="90">
        <v>0.25</v>
      </c>
      <c r="E59" s="89">
        <f t="shared" si="1"/>
        <v>66.96</v>
      </c>
      <c r="F59" s="20" t="s">
        <v>131</v>
      </c>
      <c r="G59" s="20" t="s">
        <v>132</v>
      </c>
    </row>
    <row r="60" ht="15.75" customHeight="1">
      <c r="A60" s="20" t="s">
        <v>254</v>
      </c>
      <c r="B60" s="20" t="s">
        <v>255</v>
      </c>
      <c r="C60" s="89">
        <v>89.95</v>
      </c>
      <c r="D60" s="90">
        <v>0.25</v>
      </c>
      <c r="E60" s="89">
        <f t="shared" si="1"/>
        <v>67.4625</v>
      </c>
      <c r="F60" s="20" t="s">
        <v>131</v>
      </c>
      <c r="G60" s="20" t="s">
        <v>132</v>
      </c>
    </row>
    <row r="61" ht="15.75" customHeight="1">
      <c r="A61" s="20" t="s">
        <v>256</v>
      </c>
      <c r="B61" s="20" t="s">
        <v>257</v>
      </c>
      <c r="C61" s="89">
        <v>92.85</v>
      </c>
      <c r="D61" s="90">
        <v>0.25</v>
      </c>
      <c r="E61" s="89">
        <f t="shared" si="1"/>
        <v>69.6375</v>
      </c>
      <c r="F61" s="20" t="s">
        <v>131</v>
      </c>
      <c r="G61" s="20" t="s">
        <v>132</v>
      </c>
    </row>
    <row r="62" ht="15.75" customHeight="1">
      <c r="A62" s="20" t="s">
        <v>258</v>
      </c>
      <c r="B62" s="20" t="s">
        <v>259</v>
      </c>
      <c r="C62" s="89">
        <v>95.52</v>
      </c>
      <c r="D62" s="90">
        <v>0.25</v>
      </c>
      <c r="E62" s="89">
        <f t="shared" si="1"/>
        <v>71.64</v>
      </c>
      <c r="F62" s="20" t="s">
        <v>131</v>
      </c>
      <c r="G62" s="20" t="s">
        <v>132</v>
      </c>
    </row>
    <row r="63" ht="15.75" customHeight="1">
      <c r="A63" s="20" t="s">
        <v>260</v>
      </c>
      <c r="B63" s="20" t="s">
        <v>261</v>
      </c>
      <c r="C63" s="89">
        <v>107.13</v>
      </c>
      <c r="D63" s="90">
        <v>0.25</v>
      </c>
      <c r="E63" s="89">
        <f t="shared" si="1"/>
        <v>80.3475</v>
      </c>
      <c r="F63" s="20" t="s">
        <v>131</v>
      </c>
      <c r="G63" s="20" t="s">
        <v>132</v>
      </c>
    </row>
    <row r="64" ht="15.75" customHeight="1">
      <c r="A64" s="20" t="s">
        <v>262</v>
      </c>
      <c r="B64" s="20" t="s">
        <v>263</v>
      </c>
      <c r="C64" s="89">
        <v>98.21</v>
      </c>
      <c r="D64" s="90">
        <v>0.25</v>
      </c>
      <c r="E64" s="89">
        <f t="shared" si="1"/>
        <v>73.6575</v>
      </c>
      <c r="F64" s="20" t="s">
        <v>131</v>
      </c>
      <c r="G64" s="20" t="s">
        <v>132</v>
      </c>
    </row>
    <row r="65" ht="15.75" customHeight="1">
      <c r="A65" s="20" t="s">
        <v>264</v>
      </c>
      <c r="B65" s="20" t="s">
        <v>265</v>
      </c>
      <c r="C65" s="89">
        <v>102.66</v>
      </c>
      <c r="D65" s="90">
        <v>0.25</v>
      </c>
      <c r="E65" s="89">
        <f t="shared" si="1"/>
        <v>76.995</v>
      </c>
      <c r="F65" s="20" t="s">
        <v>131</v>
      </c>
      <c r="G65" s="20" t="s">
        <v>132</v>
      </c>
    </row>
    <row r="66" ht="15.75" customHeight="1">
      <c r="A66" s="20" t="s">
        <v>266</v>
      </c>
      <c r="B66" s="20" t="s">
        <v>267</v>
      </c>
      <c r="C66" s="89">
        <v>89.28</v>
      </c>
      <c r="D66" s="90">
        <v>0.25</v>
      </c>
      <c r="E66" s="89">
        <f t="shared" si="1"/>
        <v>66.96</v>
      </c>
      <c r="F66" s="20" t="s">
        <v>131</v>
      </c>
      <c r="G66" s="20" t="s">
        <v>132</v>
      </c>
    </row>
    <row r="67" ht="15.75" customHeight="1">
      <c r="A67" s="20" t="s">
        <v>268</v>
      </c>
      <c r="B67" s="20" t="s">
        <v>269</v>
      </c>
      <c r="C67" s="89">
        <v>89.28</v>
      </c>
      <c r="D67" s="90">
        <v>0.25</v>
      </c>
      <c r="E67" s="89">
        <f t="shared" si="1"/>
        <v>66.96</v>
      </c>
      <c r="F67" s="20" t="s">
        <v>131</v>
      </c>
      <c r="G67" s="20" t="s">
        <v>132</v>
      </c>
    </row>
    <row r="68" ht="15.75" customHeight="1">
      <c r="A68" s="20" t="s">
        <v>270</v>
      </c>
      <c r="B68" s="20" t="s">
        <v>271</v>
      </c>
      <c r="C68" s="89">
        <v>27.18</v>
      </c>
      <c r="D68" s="90">
        <v>0.25</v>
      </c>
      <c r="E68" s="89">
        <f t="shared" si="1"/>
        <v>20.385</v>
      </c>
      <c r="F68" s="20" t="s">
        <v>131</v>
      </c>
      <c r="G68" s="20" t="s">
        <v>132</v>
      </c>
    </row>
    <row r="69" ht="15.75" customHeight="1">
      <c r="A69" s="20" t="s">
        <v>272</v>
      </c>
      <c r="B69" s="20" t="s">
        <v>273</v>
      </c>
      <c r="C69" s="89">
        <v>29.06</v>
      </c>
      <c r="D69" s="90">
        <v>0.25</v>
      </c>
      <c r="E69" s="89">
        <f t="shared" si="1"/>
        <v>21.795</v>
      </c>
      <c r="F69" s="20" t="s">
        <v>131</v>
      </c>
      <c r="G69" s="20" t="s">
        <v>132</v>
      </c>
    </row>
    <row r="70" ht="15.75" customHeight="1">
      <c r="A70" s="20" t="s">
        <v>274</v>
      </c>
      <c r="B70" s="20" t="s">
        <v>275</v>
      </c>
      <c r="C70" s="89">
        <v>27.96</v>
      </c>
      <c r="D70" s="90">
        <v>0.25</v>
      </c>
      <c r="E70" s="89">
        <f t="shared" si="1"/>
        <v>20.97</v>
      </c>
      <c r="F70" s="20" t="s">
        <v>131</v>
      </c>
      <c r="G70" s="20" t="s">
        <v>132</v>
      </c>
    </row>
    <row r="71" ht="15.75" customHeight="1">
      <c r="A71" s="20" t="s">
        <v>276</v>
      </c>
      <c r="B71" s="20" t="s">
        <v>277</v>
      </c>
      <c r="C71" s="89">
        <v>0.0</v>
      </c>
      <c r="D71" s="90">
        <v>0.25</v>
      </c>
      <c r="E71" s="89">
        <f t="shared" si="1"/>
        <v>0</v>
      </c>
      <c r="F71" s="20" t="s">
        <v>131</v>
      </c>
      <c r="G71" s="20" t="s">
        <v>132</v>
      </c>
    </row>
    <row r="72" ht="15.75" customHeight="1">
      <c r="A72" s="20" t="s">
        <v>278</v>
      </c>
      <c r="B72" s="20" t="s">
        <v>279</v>
      </c>
      <c r="C72" s="89">
        <v>30.23</v>
      </c>
      <c r="D72" s="90">
        <v>0.25</v>
      </c>
      <c r="E72" s="89">
        <f t="shared" si="1"/>
        <v>22.6725</v>
      </c>
      <c r="F72" s="20" t="s">
        <v>131</v>
      </c>
      <c r="G72" s="20" t="s">
        <v>132</v>
      </c>
    </row>
    <row r="73" ht="15.75" customHeight="1">
      <c r="A73" s="20" t="s">
        <v>280</v>
      </c>
      <c r="B73" s="20" t="s">
        <v>281</v>
      </c>
      <c r="C73" s="89">
        <v>31.1</v>
      </c>
      <c r="D73" s="90">
        <v>0.25</v>
      </c>
      <c r="E73" s="89">
        <f t="shared" si="1"/>
        <v>23.325</v>
      </c>
      <c r="F73" s="20" t="s">
        <v>131</v>
      </c>
      <c r="G73" s="20" t="s">
        <v>132</v>
      </c>
    </row>
    <row r="74" ht="15.75" customHeight="1">
      <c r="A74" s="20" t="s">
        <v>282</v>
      </c>
      <c r="B74" s="20" t="s">
        <v>283</v>
      </c>
      <c r="C74" s="89">
        <v>34.87</v>
      </c>
      <c r="D74" s="90">
        <v>0.25</v>
      </c>
      <c r="E74" s="89">
        <f t="shared" si="1"/>
        <v>26.1525</v>
      </c>
      <c r="F74" s="20" t="s">
        <v>131</v>
      </c>
      <c r="G74" s="20" t="s">
        <v>132</v>
      </c>
    </row>
    <row r="75" ht="15.75" customHeight="1">
      <c r="A75" s="20" t="s">
        <v>284</v>
      </c>
      <c r="B75" s="20" t="s">
        <v>285</v>
      </c>
      <c r="C75" s="89">
        <v>31.97</v>
      </c>
      <c r="D75" s="90">
        <v>0.25</v>
      </c>
      <c r="E75" s="89">
        <f t="shared" si="1"/>
        <v>23.9775</v>
      </c>
      <c r="F75" s="20" t="s">
        <v>131</v>
      </c>
      <c r="G75" s="20" t="s">
        <v>132</v>
      </c>
    </row>
    <row r="76" ht="15.75" customHeight="1">
      <c r="A76" s="20" t="s">
        <v>286</v>
      </c>
      <c r="B76" s="20" t="s">
        <v>287</v>
      </c>
      <c r="C76" s="89">
        <v>33.42</v>
      </c>
      <c r="D76" s="90">
        <v>0.25</v>
      </c>
      <c r="E76" s="89">
        <f t="shared" si="1"/>
        <v>25.065</v>
      </c>
      <c r="F76" s="20" t="s">
        <v>131</v>
      </c>
      <c r="G76" s="20" t="s">
        <v>132</v>
      </c>
    </row>
    <row r="77" ht="15.75" customHeight="1">
      <c r="A77" s="20" t="s">
        <v>288</v>
      </c>
      <c r="B77" s="20" t="s">
        <v>289</v>
      </c>
      <c r="C77" s="89">
        <v>29.06</v>
      </c>
      <c r="D77" s="90">
        <v>0.25</v>
      </c>
      <c r="E77" s="89">
        <f t="shared" si="1"/>
        <v>21.795</v>
      </c>
      <c r="F77" s="20" t="s">
        <v>131</v>
      </c>
      <c r="G77" s="20" t="s">
        <v>132</v>
      </c>
    </row>
    <row r="78" ht="15.75" customHeight="1">
      <c r="A78" s="20" t="s">
        <v>30</v>
      </c>
      <c r="B78" s="20" t="s">
        <v>290</v>
      </c>
      <c r="C78" s="89">
        <v>29.06</v>
      </c>
      <c r="D78" s="90">
        <v>0.25</v>
      </c>
      <c r="E78" s="89">
        <f t="shared" si="1"/>
        <v>21.795</v>
      </c>
      <c r="F78" s="20" t="s">
        <v>131</v>
      </c>
      <c r="G78" s="20" t="s">
        <v>132</v>
      </c>
    </row>
    <row r="79" ht="15.75" customHeight="1">
      <c r="A79" s="20" t="s">
        <v>291</v>
      </c>
      <c r="B79" s="20" t="s">
        <v>292</v>
      </c>
      <c r="C79" s="89">
        <v>57.95</v>
      </c>
      <c r="D79" s="90">
        <v>0.25</v>
      </c>
      <c r="E79" s="89">
        <f t="shared" si="1"/>
        <v>43.4625</v>
      </c>
      <c r="F79" s="20" t="s">
        <v>131</v>
      </c>
      <c r="G79" s="20" t="s">
        <v>132</v>
      </c>
    </row>
    <row r="80" ht="15.75" customHeight="1">
      <c r="A80" s="20" t="s">
        <v>293</v>
      </c>
      <c r="B80" s="20" t="s">
        <v>294</v>
      </c>
      <c r="C80" s="89">
        <v>86.92</v>
      </c>
      <c r="D80" s="90">
        <v>0.25</v>
      </c>
      <c r="E80" s="89">
        <f t="shared" si="1"/>
        <v>65.19</v>
      </c>
      <c r="F80" s="20" t="s">
        <v>131</v>
      </c>
      <c r="G80" s="20" t="s">
        <v>132</v>
      </c>
    </row>
    <row r="81" ht="15.75" customHeight="1">
      <c r="A81" s="20" t="s">
        <v>295</v>
      </c>
      <c r="B81" s="20" t="s">
        <v>296</v>
      </c>
      <c r="C81" s="89">
        <v>115.9</v>
      </c>
      <c r="D81" s="90">
        <v>0.25</v>
      </c>
      <c r="E81" s="89">
        <f t="shared" si="1"/>
        <v>86.925</v>
      </c>
      <c r="F81" s="20" t="s">
        <v>131</v>
      </c>
      <c r="G81" s="20" t="s">
        <v>132</v>
      </c>
    </row>
    <row r="82" ht="15.75" customHeight="1">
      <c r="A82" s="20" t="s">
        <v>297</v>
      </c>
      <c r="B82" s="20" t="s">
        <v>298</v>
      </c>
      <c r="C82" s="89">
        <v>173.84</v>
      </c>
      <c r="D82" s="90">
        <v>0.25</v>
      </c>
      <c r="E82" s="89">
        <f t="shared" si="1"/>
        <v>130.38</v>
      </c>
      <c r="F82" s="20" t="s">
        <v>131</v>
      </c>
      <c r="G82" s="20" t="s">
        <v>132</v>
      </c>
    </row>
    <row r="83" ht="15.75" customHeight="1">
      <c r="A83" s="20" t="s">
        <v>299</v>
      </c>
      <c r="B83" s="20" t="s">
        <v>300</v>
      </c>
      <c r="C83" s="89">
        <v>60.27</v>
      </c>
      <c r="D83" s="90">
        <v>0.25</v>
      </c>
      <c r="E83" s="89">
        <f t="shared" si="1"/>
        <v>45.2025</v>
      </c>
      <c r="F83" s="20" t="s">
        <v>131</v>
      </c>
      <c r="G83" s="20" t="s">
        <v>132</v>
      </c>
    </row>
    <row r="84" ht="15.75" customHeight="1">
      <c r="A84" s="20" t="s">
        <v>301</v>
      </c>
      <c r="B84" s="20" t="s">
        <v>302</v>
      </c>
      <c r="C84" s="89">
        <v>90.4</v>
      </c>
      <c r="D84" s="90">
        <v>0.25</v>
      </c>
      <c r="E84" s="89">
        <f t="shared" si="1"/>
        <v>67.8</v>
      </c>
      <c r="F84" s="20" t="s">
        <v>131</v>
      </c>
      <c r="G84" s="20" t="s">
        <v>132</v>
      </c>
    </row>
    <row r="85" ht="15.75" customHeight="1">
      <c r="A85" s="20" t="s">
        <v>303</v>
      </c>
      <c r="B85" s="20" t="s">
        <v>304</v>
      </c>
      <c r="C85" s="89">
        <v>120.53</v>
      </c>
      <c r="D85" s="90">
        <v>0.25</v>
      </c>
      <c r="E85" s="89">
        <f t="shared" si="1"/>
        <v>90.3975</v>
      </c>
      <c r="F85" s="20" t="s">
        <v>131</v>
      </c>
      <c r="G85" s="20" t="s">
        <v>132</v>
      </c>
    </row>
    <row r="86" ht="15.75" customHeight="1">
      <c r="A86" s="20" t="s">
        <v>305</v>
      </c>
      <c r="B86" s="20" t="s">
        <v>306</v>
      </c>
      <c r="C86" s="89">
        <v>180.8</v>
      </c>
      <c r="D86" s="90">
        <v>0.25</v>
      </c>
      <c r="E86" s="89">
        <f t="shared" si="1"/>
        <v>135.6</v>
      </c>
      <c r="F86" s="20" t="s">
        <v>131</v>
      </c>
      <c r="G86" s="20" t="s">
        <v>132</v>
      </c>
    </row>
    <row r="87" ht="15.75" customHeight="1">
      <c r="A87" s="20" t="s">
        <v>307</v>
      </c>
      <c r="B87" s="20" t="s">
        <v>308</v>
      </c>
      <c r="C87" s="89">
        <v>62.01</v>
      </c>
      <c r="D87" s="90">
        <v>0.25</v>
      </c>
      <c r="E87" s="89">
        <f t="shared" si="1"/>
        <v>46.5075</v>
      </c>
      <c r="F87" s="20" t="s">
        <v>131</v>
      </c>
      <c r="G87" s="20" t="s">
        <v>132</v>
      </c>
    </row>
    <row r="88" ht="15.75" customHeight="1">
      <c r="A88" s="20" t="s">
        <v>309</v>
      </c>
      <c r="B88" s="20" t="s">
        <v>310</v>
      </c>
      <c r="C88" s="89">
        <v>93.01</v>
      </c>
      <c r="D88" s="90">
        <v>0.25</v>
      </c>
      <c r="E88" s="89">
        <f t="shared" si="1"/>
        <v>69.7575</v>
      </c>
      <c r="F88" s="20" t="s">
        <v>131</v>
      </c>
      <c r="G88" s="20" t="s">
        <v>132</v>
      </c>
    </row>
    <row r="89" ht="15.75" customHeight="1">
      <c r="A89" s="20" t="s">
        <v>311</v>
      </c>
      <c r="B89" s="20" t="s">
        <v>312</v>
      </c>
      <c r="C89" s="89">
        <v>124.01</v>
      </c>
      <c r="D89" s="90">
        <v>0.25</v>
      </c>
      <c r="E89" s="89">
        <f t="shared" si="1"/>
        <v>93.0075</v>
      </c>
      <c r="F89" s="20" t="s">
        <v>131</v>
      </c>
      <c r="G89" s="20" t="s">
        <v>132</v>
      </c>
    </row>
    <row r="90" ht="15.75" customHeight="1">
      <c r="A90" s="20" t="s">
        <v>313</v>
      </c>
      <c r="B90" s="20" t="s">
        <v>314</v>
      </c>
      <c r="C90" s="89">
        <v>186.01</v>
      </c>
      <c r="D90" s="90">
        <v>0.25</v>
      </c>
      <c r="E90" s="89">
        <f t="shared" si="1"/>
        <v>139.5075</v>
      </c>
      <c r="F90" s="20" t="s">
        <v>131</v>
      </c>
      <c r="G90" s="20" t="s">
        <v>132</v>
      </c>
    </row>
    <row r="91" ht="15.75" customHeight="1">
      <c r="A91" s="20" t="s">
        <v>315</v>
      </c>
      <c r="B91" s="20" t="s">
        <v>316</v>
      </c>
      <c r="C91" s="89">
        <v>69.54</v>
      </c>
      <c r="D91" s="90">
        <v>0.25</v>
      </c>
      <c r="E91" s="89">
        <f t="shared" si="1"/>
        <v>52.155</v>
      </c>
      <c r="F91" s="20" t="s">
        <v>131</v>
      </c>
      <c r="G91" s="20" t="s">
        <v>132</v>
      </c>
    </row>
    <row r="92" ht="15.75" customHeight="1">
      <c r="A92" s="20" t="s">
        <v>317</v>
      </c>
      <c r="B92" s="20" t="s">
        <v>318</v>
      </c>
      <c r="C92" s="89">
        <v>104.3</v>
      </c>
      <c r="D92" s="90">
        <v>0.25</v>
      </c>
      <c r="E92" s="89">
        <f t="shared" si="1"/>
        <v>78.225</v>
      </c>
      <c r="F92" s="20" t="s">
        <v>131</v>
      </c>
      <c r="G92" s="20" t="s">
        <v>132</v>
      </c>
    </row>
    <row r="93" ht="15.75" customHeight="1">
      <c r="A93" s="20" t="s">
        <v>319</v>
      </c>
      <c r="B93" s="20" t="s">
        <v>320</v>
      </c>
      <c r="C93" s="89">
        <v>139.07</v>
      </c>
      <c r="D93" s="90">
        <v>0.25</v>
      </c>
      <c r="E93" s="89">
        <f t="shared" si="1"/>
        <v>104.3025</v>
      </c>
      <c r="F93" s="20" t="s">
        <v>131</v>
      </c>
      <c r="G93" s="20" t="s">
        <v>132</v>
      </c>
    </row>
    <row r="94" ht="15.75" customHeight="1">
      <c r="A94" s="20" t="s">
        <v>321</v>
      </c>
      <c r="B94" s="20" t="s">
        <v>322</v>
      </c>
      <c r="C94" s="89">
        <v>208.62</v>
      </c>
      <c r="D94" s="90">
        <v>0.25</v>
      </c>
      <c r="E94" s="89">
        <f t="shared" si="1"/>
        <v>156.465</v>
      </c>
      <c r="F94" s="20" t="s">
        <v>131</v>
      </c>
      <c r="G94" s="20" t="s">
        <v>132</v>
      </c>
    </row>
    <row r="95" ht="15.75" customHeight="1">
      <c r="A95" s="20" t="s">
        <v>323</v>
      </c>
      <c r="B95" s="20" t="s">
        <v>324</v>
      </c>
      <c r="C95" s="89">
        <v>63.75</v>
      </c>
      <c r="D95" s="90">
        <v>0.25</v>
      </c>
      <c r="E95" s="89">
        <f t="shared" si="1"/>
        <v>47.8125</v>
      </c>
      <c r="F95" s="20" t="s">
        <v>131</v>
      </c>
      <c r="G95" s="20" t="s">
        <v>132</v>
      </c>
    </row>
    <row r="96" ht="15.75" customHeight="1">
      <c r="A96" s="20" t="s">
        <v>325</v>
      </c>
      <c r="B96" s="20" t="s">
        <v>326</v>
      </c>
      <c r="C96" s="89">
        <v>95.61</v>
      </c>
      <c r="D96" s="90">
        <v>0.25</v>
      </c>
      <c r="E96" s="89">
        <f t="shared" si="1"/>
        <v>71.7075</v>
      </c>
      <c r="F96" s="20" t="s">
        <v>131</v>
      </c>
      <c r="G96" s="20" t="s">
        <v>132</v>
      </c>
    </row>
    <row r="97" ht="15.75" customHeight="1">
      <c r="A97" s="20" t="s">
        <v>327</v>
      </c>
      <c r="B97" s="20" t="s">
        <v>328</v>
      </c>
      <c r="C97" s="89">
        <v>127.49</v>
      </c>
      <c r="D97" s="90">
        <v>0.25</v>
      </c>
      <c r="E97" s="89">
        <f t="shared" si="1"/>
        <v>95.6175</v>
      </c>
      <c r="F97" s="20" t="s">
        <v>131</v>
      </c>
      <c r="G97" s="20" t="s">
        <v>132</v>
      </c>
    </row>
    <row r="98" ht="15.75" customHeight="1">
      <c r="A98" s="20" t="s">
        <v>329</v>
      </c>
      <c r="B98" s="20" t="s">
        <v>330</v>
      </c>
      <c r="C98" s="89">
        <v>191.22</v>
      </c>
      <c r="D98" s="90">
        <v>0.25</v>
      </c>
      <c r="E98" s="89">
        <f t="shared" si="1"/>
        <v>143.415</v>
      </c>
      <c r="F98" s="20" t="s">
        <v>131</v>
      </c>
      <c r="G98" s="20" t="s">
        <v>132</v>
      </c>
    </row>
    <row r="99" ht="15.75" customHeight="1">
      <c r="A99" s="20" t="s">
        <v>331</v>
      </c>
      <c r="B99" s="20" t="s">
        <v>332</v>
      </c>
      <c r="C99" s="89">
        <v>66.64</v>
      </c>
      <c r="D99" s="90">
        <v>0.25</v>
      </c>
      <c r="E99" s="89">
        <f t="shared" si="1"/>
        <v>49.98</v>
      </c>
      <c r="F99" s="20" t="s">
        <v>131</v>
      </c>
      <c r="G99" s="20" t="s">
        <v>132</v>
      </c>
    </row>
    <row r="100" ht="15.75" customHeight="1">
      <c r="A100" s="20" t="s">
        <v>333</v>
      </c>
      <c r="B100" s="20" t="s">
        <v>334</v>
      </c>
      <c r="C100" s="89">
        <v>99.96</v>
      </c>
      <c r="D100" s="90">
        <v>0.25</v>
      </c>
      <c r="E100" s="89">
        <f t="shared" si="1"/>
        <v>74.97</v>
      </c>
      <c r="F100" s="20" t="s">
        <v>131</v>
      </c>
      <c r="G100" s="20" t="s">
        <v>132</v>
      </c>
    </row>
    <row r="101" ht="15.75" customHeight="1">
      <c r="A101" s="20" t="s">
        <v>335</v>
      </c>
      <c r="B101" s="20" t="s">
        <v>336</v>
      </c>
      <c r="C101" s="89">
        <v>133.28</v>
      </c>
      <c r="D101" s="90">
        <v>0.25</v>
      </c>
      <c r="E101" s="89">
        <f t="shared" si="1"/>
        <v>99.96</v>
      </c>
      <c r="F101" s="20" t="s">
        <v>131</v>
      </c>
      <c r="G101" s="20" t="s">
        <v>132</v>
      </c>
    </row>
    <row r="102" ht="15.75" customHeight="1">
      <c r="A102" s="20" t="s">
        <v>337</v>
      </c>
      <c r="B102" s="20" t="s">
        <v>338</v>
      </c>
      <c r="C102" s="89">
        <v>199.93</v>
      </c>
      <c r="D102" s="90">
        <v>0.25</v>
      </c>
      <c r="E102" s="89">
        <f t="shared" si="1"/>
        <v>149.9475</v>
      </c>
      <c r="F102" s="20" t="s">
        <v>131</v>
      </c>
      <c r="G102" s="20" t="s">
        <v>132</v>
      </c>
    </row>
    <row r="103" ht="15.75" customHeight="1">
      <c r="A103" s="20" t="s">
        <v>339</v>
      </c>
      <c r="B103" s="20" t="s">
        <v>340</v>
      </c>
      <c r="C103" s="89">
        <v>49.67</v>
      </c>
      <c r="D103" s="90">
        <v>0.25</v>
      </c>
      <c r="E103" s="89">
        <f t="shared" si="1"/>
        <v>37.2525</v>
      </c>
      <c r="F103" s="20" t="s">
        <v>131</v>
      </c>
      <c r="G103" s="20" t="s">
        <v>132</v>
      </c>
    </row>
    <row r="104" ht="15.75" customHeight="1">
      <c r="A104" s="20" t="s">
        <v>341</v>
      </c>
      <c r="B104" s="20" t="s">
        <v>342</v>
      </c>
      <c r="C104" s="89">
        <v>74.51</v>
      </c>
      <c r="D104" s="90">
        <v>0.25</v>
      </c>
      <c r="E104" s="89">
        <f t="shared" si="1"/>
        <v>55.8825</v>
      </c>
      <c r="F104" s="20" t="s">
        <v>131</v>
      </c>
      <c r="G104" s="20" t="s">
        <v>132</v>
      </c>
    </row>
    <row r="105" ht="15.75" customHeight="1">
      <c r="A105" s="20" t="s">
        <v>343</v>
      </c>
      <c r="B105" s="20" t="s">
        <v>344</v>
      </c>
      <c r="C105" s="89">
        <v>99.34</v>
      </c>
      <c r="D105" s="90">
        <v>0.25</v>
      </c>
      <c r="E105" s="89">
        <f t="shared" si="1"/>
        <v>74.505</v>
      </c>
      <c r="F105" s="20" t="s">
        <v>131</v>
      </c>
      <c r="G105" s="20" t="s">
        <v>132</v>
      </c>
    </row>
    <row r="106" ht="15.75" customHeight="1">
      <c r="A106" s="20" t="s">
        <v>345</v>
      </c>
      <c r="B106" s="20" t="s">
        <v>346</v>
      </c>
      <c r="C106" s="89">
        <v>149.02</v>
      </c>
      <c r="D106" s="90">
        <v>0.25</v>
      </c>
      <c r="E106" s="89">
        <f t="shared" si="1"/>
        <v>111.765</v>
      </c>
      <c r="F106" s="20" t="s">
        <v>131</v>
      </c>
      <c r="G106" s="20" t="s">
        <v>132</v>
      </c>
    </row>
    <row r="107" ht="15.75" customHeight="1">
      <c r="A107" s="20" t="s">
        <v>347</v>
      </c>
      <c r="B107" s="20" t="s">
        <v>348</v>
      </c>
      <c r="C107" s="89">
        <v>57.95</v>
      </c>
      <c r="D107" s="90">
        <v>0.25</v>
      </c>
      <c r="E107" s="89">
        <f t="shared" si="1"/>
        <v>43.4625</v>
      </c>
      <c r="F107" s="20" t="s">
        <v>131</v>
      </c>
      <c r="G107" s="20" t="s">
        <v>132</v>
      </c>
    </row>
    <row r="108" ht="15.75" customHeight="1">
      <c r="A108" s="20" t="s">
        <v>349</v>
      </c>
      <c r="B108" s="20" t="s">
        <v>350</v>
      </c>
      <c r="C108" s="89">
        <v>86.92</v>
      </c>
      <c r="D108" s="90">
        <v>0.25</v>
      </c>
      <c r="E108" s="89">
        <f t="shared" si="1"/>
        <v>65.19</v>
      </c>
      <c r="F108" s="20" t="s">
        <v>131</v>
      </c>
      <c r="G108" s="20" t="s">
        <v>132</v>
      </c>
    </row>
    <row r="109" ht="15.75" customHeight="1">
      <c r="A109" s="20" t="s">
        <v>351</v>
      </c>
      <c r="B109" s="20" t="s">
        <v>352</v>
      </c>
      <c r="C109" s="89">
        <v>115.9</v>
      </c>
      <c r="D109" s="90">
        <v>0.25</v>
      </c>
      <c r="E109" s="89">
        <f t="shared" si="1"/>
        <v>86.925</v>
      </c>
      <c r="F109" s="20" t="s">
        <v>131</v>
      </c>
      <c r="G109" s="20" t="s">
        <v>132</v>
      </c>
    </row>
    <row r="110" ht="15.75" customHeight="1">
      <c r="A110" s="20" t="s">
        <v>353</v>
      </c>
      <c r="B110" s="20" t="s">
        <v>354</v>
      </c>
      <c r="C110" s="89">
        <v>173.84</v>
      </c>
      <c r="D110" s="90">
        <v>0.25</v>
      </c>
      <c r="E110" s="89">
        <f t="shared" si="1"/>
        <v>130.38</v>
      </c>
      <c r="F110" s="20" t="s">
        <v>131</v>
      </c>
      <c r="G110" s="20" t="s">
        <v>132</v>
      </c>
    </row>
    <row r="111" ht="15.75" customHeight="1">
      <c r="A111" s="20" t="s">
        <v>355</v>
      </c>
      <c r="B111" s="20" t="s">
        <v>356</v>
      </c>
      <c r="C111" s="89">
        <v>57.95</v>
      </c>
      <c r="D111" s="90">
        <v>0.25</v>
      </c>
      <c r="E111" s="89">
        <f t="shared" si="1"/>
        <v>43.4625</v>
      </c>
      <c r="F111" s="20" t="s">
        <v>131</v>
      </c>
      <c r="G111" s="20" t="s">
        <v>132</v>
      </c>
    </row>
    <row r="112" ht="15.75" customHeight="1">
      <c r="A112" s="20" t="s">
        <v>357</v>
      </c>
      <c r="B112" s="20" t="s">
        <v>358</v>
      </c>
      <c r="C112" s="89">
        <v>86.92</v>
      </c>
      <c r="D112" s="90">
        <v>0.25</v>
      </c>
      <c r="E112" s="89">
        <f t="shared" si="1"/>
        <v>65.19</v>
      </c>
      <c r="F112" s="20" t="s">
        <v>131</v>
      </c>
      <c r="G112" s="20" t="s">
        <v>132</v>
      </c>
    </row>
    <row r="113" ht="15.75" customHeight="1">
      <c r="A113" s="20" t="s">
        <v>359</v>
      </c>
      <c r="B113" s="20" t="s">
        <v>360</v>
      </c>
      <c r="C113" s="89">
        <v>115.9</v>
      </c>
      <c r="D113" s="90">
        <v>0.25</v>
      </c>
      <c r="E113" s="89">
        <f t="shared" si="1"/>
        <v>86.925</v>
      </c>
      <c r="F113" s="20" t="s">
        <v>131</v>
      </c>
      <c r="G113" s="20" t="s">
        <v>132</v>
      </c>
    </row>
    <row r="114" ht="15.75" customHeight="1">
      <c r="A114" s="20" t="s">
        <v>361</v>
      </c>
      <c r="B114" s="20" t="s">
        <v>362</v>
      </c>
      <c r="C114" s="89">
        <v>173.84</v>
      </c>
      <c r="D114" s="90">
        <v>0.25</v>
      </c>
      <c r="E114" s="89">
        <f t="shared" si="1"/>
        <v>130.38</v>
      </c>
      <c r="F114" s="20" t="s">
        <v>131</v>
      </c>
      <c r="G114" s="20" t="s">
        <v>132</v>
      </c>
    </row>
    <row r="115" ht="15.75" customHeight="1">
      <c r="A115" s="20" t="s">
        <v>363</v>
      </c>
      <c r="B115" s="20" t="s">
        <v>364</v>
      </c>
      <c r="C115" s="89">
        <v>57.95</v>
      </c>
      <c r="D115" s="90">
        <v>0.25</v>
      </c>
      <c r="E115" s="89">
        <f t="shared" si="1"/>
        <v>43.4625</v>
      </c>
      <c r="F115" s="20" t="s">
        <v>131</v>
      </c>
      <c r="G115" s="20" t="s">
        <v>132</v>
      </c>
    </row>
    <row r="116" ht="15.75" customHeight="1">
      <c r="A116" s="20" t="s">
        <v>15</v>
      </c>
      <c r="B116" s="20" t="s">
        <v>365</v>
      </c>
      <c r="C116" s="89">
        <v>86.92</v>
      </c>
      <c r="D116" s="90">
        <v>0.25</v>
      </c>
      <c r="E116" s="89">
        <f t="shared" si="1"/>
        <v>65.19</v>
      </c>
      <c r="F116" s="20" t="s">
        <v>131</v>
      </c>
      <c r="G116" s="20" t="s">
        <v>132</v>
      </c>
    </row>
    <row r="117" ht="15.75" customHeight="1">
      <c r="A117" s="20" t="s">
        <v>366</v>
      </c>
      <c r="B117" s="20" t="s">
        <v>367</v>
      </c>
      <c r="C117" s="89">
        <v>115.9</v>
      </c>
      <c r="D117" s="90">
        <v>0.25</v>
      </c>
      <c r="E117" s="89">
        <f t="shared" si="1"/>
        <v>86.925</v>
      </c>
      <c r="F117" s="20" t="s">
        <v>131</v>
      </c>
      <c r="G117" s="20" t="s">
        <v>132</v>
      </c>
    </row>
    <row r="118" ht="15.75" customHeight="1">
      <c r="A118" s="20" t="s">
        <v>368</v>
      </c>
      <c r="B118" s="20" t="s">
        <v>369</v>
      </c>
      <c r="C118" s="89">
        <v>173.84</v>
      </c>
      <c r="D118" s="90">
        <v>0.25</v>
      </c>
      <c r="E118" s="89">
        <f t="shared" si="1"/>
        <v>130.38</v>
      </c>
      <c r="F118" s="20" t="s">
        <v>131</v>
      </c>
      <c r="G118" s="20" t="s">
        <v>132</v>
      </c>
    </row>
    <row r="119" ht="15.75" customHeight="1">
      <c r="A119" s="20" t="s">
        <v>1422</v>
      </c>
      <c r="B119" s="20" t="s">
        <v>1423</v>
      </c>
      <c r="C119" s="89">
        <v>57.95</v>
      </c>
      <c r="D119" s="90">
        <v>0.25</v>
      </c>
      <c r="E119" s="89">
        <f t="shared" si="1"/>
        <v>43.4625</v>
      </c>
      <c r="F119" s="20" t="s">
        <v>131</v>
      </c>
      <c r="G119" s="20" t="s">
        <v>132</v>
      </c>
    </row>
    <row r="120" ht="15.75" customHeight="1">
      <c r="A120" s="20" t="s">
        <v>370</v>
      </c>
      <c r="B120" s="20" t="s">
        <v>371</v>
      </c>
      <c r="C120" s="89">
        <v>115.9</v>
      </c>
      <c r="D120" s="90">
        <v>0.25</v>
      </c>
      <c r="E120" s="89">
        <f t="shared" si="1"/>
        <v>86.925</v>
      </c>
      <c r="F120" s="20" t="s">
        <v>131</v>
      </c>
      <c r="G120" s="20" t="s">
        <v>132</v>
      </c>
    </row>
    <row r="121" ht="15.75" customHeight="1">
      <c r="A121" s="20" t="s">
        <v>372</v>
      </c>
      <c r="B121" s="20" t="s">
        <v>373</v>
      </c>
      <c r="C121" s="89">
        <v>173.84</v>
      </c>
      <c r="D121" s="90">
        <v>0.25</v>
      </c>
      <c r="E121" s="89">
        <f t="shared" si="1"/>
        <v>130.38</v>
      </c>
      <c r="F121" s="20" t="s">
        <v>131</v>
      </c>
      <c r="G121" s="20" t="s">
        <v>132</v>
      </c>
    </row>
    <row r="122" ht="15.75" customHeight="1">
      <c r="A122" s="20" t="s">
        <v>374</v>
      </c>
      <c r="B122" s="20" t="s">
        <v>375</v>
      </c>
      <c r="C122" s="89">
        <v>81.96</v>
      </c>
      <c r="D122" s="90">
        <v>0.25</v>
      </c>
      <c r="E122" s="89">
        <f t="shared" si="1"/>
        <v>61.47</v>
      </c>
      <c r="F122" s="20" t="s">
        <v>131</v>
      </c>
      <c r="G122" s="20" t="s">
        <v>132</v>
      </c>
    </row>
    <row r="123" ht="15.75" customHeight="1">
      <c r="A123" s="20" t="s">
        <v>376</v>
      </c>
      <c r="B123" s="20" t="s">
        <v>377</v>
      </c>
      <c r="C123" s="89">
        <v>122.95</v>
      </c>
      <c r="D123" s="90">
        <v>0.25</v>
      </c>
      <c r="E123" s="89">
        <f t="shared" si="1"/>
        <v>92.2125</v>
      </c>
      <c r="F123" s="20" t="s">
        <v>131</v>
      </c>
      <c r="G123" s="20" t="s">
        <v>132</v>
      </c>
    </row>
    <row r="124" ht="15.75" customHeight="1">
      <c r="A124" s="20" t="s">
        <v>378</v>
      </c>
      <c r="B124" s="20" t="s">
        <v>379</v>
      </c>
      <c r="C124" s="89">
        <v>163.92</v>
      </c>
      <c r="D124" s="90">
        <v>0.25</v>
      </c>
      <c r="E124" s="89">
        <f t="shared" si="1"/>
        <v>122.94</v>
      </c>
      <c r="F124" s="20" t="s">
        <v>131</v>
      </c>
      <c r="G124" s="20" t="s">
        <v>132</v>
      </c>
    </row>
    <row r="125" ht="15.75" customHeight="1">
      <c r="A125" s="20" t="s">
        <v>380</v>
      </c>
      <c r="B125" s="20" t="s">
        <v>381</v>
      </c>
      <c r="C125" s="89">
        <v>245.89</v>
      </c>
      <c r="D125" s="90">
        <v>0.25</v>
      </c>
      <c r="E125" s="89">
        <f t="shared" si="1"/>
        <v>184.4175</v>
      </c>
      <c r="F125" s="20" t="s">
        <v>131</v>
      </c>
      <c r="G125" s="20" t="s">
        <v>132</v>
      </c>
    </row>
    <row r="126" ht="15.75" customHeight="1">
      <c r="A126" s="20" t="s">
        <v>382</v>
      </c>
      <c r="B126" s="20" t="s">
        <v>383</v>
      </c>
      <c r="C126" s="89">
        <v>255.73</v>
      </c>
      <c r="D126" s="90">
        <v>0.25</v>
      </c>
      <c r="E126" s="89">
        <f t="shared" si="1"/>
        <v>191.7975</v>
      </c>
      <c r="F126" s="20" t="s">
        <v>131</v>
      </c>
      <c r="G126" s="20" t="s">
        <v>132</v>
      </c>
    </row>
    <row r="127" ht="15.75" customHeight="1">
      <c r="A127" s="20" t="s">
        <v>384</v>
      </c>
      <c r="B127" s="20" t="s">
        <v>385</v>
      </c>
      <c r="C127" s="89">
        <v>263.11</v>
      </c>
      <c r="D127" s="90">
        <v>0.25</v>
      </c>
      <c r="E127" s="89">
        <f t="shared" si="1"/>
        <v>197.3325</v>
      </c>
      <c r="F127" s="20" t="s">
        <v>131</v>
      </c>
      <c r="G127" s="20" t="s">
        <v>132</v>
      </c>
    </row>
    <row r="128" ht="15.75" customHeight="1">
      <c r="A128" s="20" t="s">
        <v>386</v>
      </c>
      <c r="B128" s="20" t="s">
        <v>387</v>
      </c>
      <c r="C128" s="89">
        <v>295.08</v>
      </c>
      <c r="D128" s="90">
        <v>0.25</v>
      </c>
      <c r="E128" s="89">
        <f t="shared" si="1"/>
        <v>221.31</v>
      </c>
      <c r="F128" s="20" t="s">
        <v>131</v>
      </c>
      <c r="G128" s="20" t="s">
        <v>132</v>
      </c>
    </row>
    <row r="129" ht="15.75" customHeight="1">
      <c r="A129" s="20" t="s">
        <v>388</v>
      </c>
      <c r="B129" s="20" t="s">
        <v>389</v>
      </c>
      <c r="C129" s="89">
        <v>270.48</v>
      </c>
      <c r="D129" s="90">
        <v>0.25</v>
      </c>
      <c r="E129" s="89">
        <f t="shared" si="1"/>
        <v>202.86</v>
      </c>
      <c r="F129" s="20" t="s">
        <v>131</v>
      </c>
      <c r="G129" s="20" t="s">
        <v>132</v>
      </c>
    </row>
    <row r="130" ht="15.75" customHeight="1">
      <c r="A130" s="20" t="s">
        <v>390</v>
      </c>
      <c r="B130" s="20" t="s">
        <v>391</v>
      </c>
      <c r="C130" s="89">
        <v>282.78</v>
      </c>
      <c r="D130" s="90">
        <v>0.25</v>
      </c>
      <c r="E130" s="89">
        <f t="shared" si="1"/>
        <v>212.085</v>
      </c>
      <c r="F130" s="20" t="s">
        <v>131</v>
      </c>
      <c r="G130" s="20" t="s">
        <v>132</v>
      </c>
    </row>
    <row r="131" ht="15.75" customHeight="1">
      <c r="A131" s="20" t="s">
        <v>392</v>
      </c>
      <c r="B131" s="20" t="s">
        <v>393</v>
      </c>
      <c r="C131" s="89">
        <v>70.25</v>
      </c>
      <c r="D131" s="90">
        <v>0.25</v>
      </c>
      <c r="E131" s="89">
        <f t="shared" si="1"/>
        <v>52.6875</v>
      </c>
      <c r="F131" s="20" t="s">
        <v>131</v>
      </c>
      <c r="G131" s="20" t="s">
        <v>132</v>
      </c>
    </row>
    <row r="132" ht="15.75" customHeight="1">
      <c r="A132" s="20" t="s">
        <v>394</v>
      </c>
      <c r="B132" s="20" t="s">
        <v>395</v>
      </c>
      <c r="C132" s="89">
        <v>105.38</v>
      </c>
      <c r="D132" s="90">
        <v>0.25</v>
      </c>
      <c r="E132" s="89">
        <f t="shared" si="1"/>
        <v>79.035</v>
      </c>
      <c r="F132" s="20" t="s">
        <v>131</v>
      </c>
      <c r="G132" s="20" t="s">
        <v>132</v>
      </c>
    </row>
    <row r="133" ht="15.75" customHeight="1">
      <c r="A133" s="20" t="s">
        <v>396</v>
      </c>
      <c r="B133" s="20" t="s">
        <v>397</v>
      </c>
      <c r="C133" s="89">
        <v>140.5</v>
      </c>
      <c r="D133" s="90">
        <v>0.25</v>
      </c>
      <c r="E133" s="89">
        <f t="shared" si="1"/>
        <v>105.375</v>
      </c>
      <c r="F133" s="20" t="s">
        <v>131</v>
      </c>
      <c r="G133" s="20" t="s">
        <v>132</v>
      </c>
    </row>
    <row r="134" ht="15.75" customHeight="1">
      <c r="A134" s="20" t="s">
        <v>398</v>
      </c>
      <c r="B134" s="20" t="s">
        <v>399</v>
      </c>
      <c r="C134" s="89">
        <v>210.75</v>
      </c>
      <c r="D134" s="90">
        <v>0.25</v>
      </c>
      <c r="E134" s="89">
        <f t="shared" si="1"/>
        <v>158.0625</v>
      </c>
      <c r="F134" s="20" t="s">
        <v>131</v>
      </c>
      <c r="G134" s="20" t="s">
        <v>132</v>
      </c>
    </row>
    <row r="135" ht="15.75" customHeight="1">
      <c r="A135" s="20" t="s">
        <v>400</v>
      </c>
      <c r="B135" s="20" t="s">
        <v>401</v>
      </c>
      <c r="C135" s="89">
        <v>81.96</v>
      </c>
      <c r="D135" s="90">
        <v>0.25</v>
      </c>
      <c r="E135" s="89">
        <f t="shared" si="1"/>
        <v>61.47</v>
      </c>
      <c r="F135" s="20" t="s">
        <v>131</v>
      </c>
      <c r="G135" s="20" t="s">
        <v>132</v>
      </c>
    </row>
    <row r="136" ht="15.75" customHeight="1">
      <c r="A136" s="20" t="s">
        <v>402</v>
      </c>
      <c r="B136" s="20" t="s">
        <v>403</v>
      </c>
      <c r="C136" s="89">
        <v>122.95</v>
      </c>
      <c r="D136" s="90">
        <v>0.25</v>
      </c>
      <c r="E136" s="89">
        <f t="shared" si="1"/>
        <v>92.2125</v>
      </c>
      <c r="F136" s="20" t="s">
        <v>131</v>
      </c>
      <c r="G136" s="20" t="s">
        <v>132</v>
      </c>
    </row>
    <row r="137" ht="15.75" customHeight="1">
      <c r="A137" s="20" t="s">
        <v>404</v>
      </c>
      <c r="B137" s="20" t="s">
        <v>405</v>
      </c>
      <c r="C137" s="89">
        <v>163.92</v>
      </c>
      <c r="D137" s="90">
        <v>0.25</v>
      </c>
      <c r="E137" s="89">
        <f t="shared" si="1"/>
        <v>122.94</v>
      </c>
      <c r="F137" s="20" t="s">
        <v>131</v>
      </c>
      <c r="G137" s="20" t="s">
        <v>132</v>
      </c>
    </row>
    <row r="138" ht="15.75" customHeight="1">
      <c r="A138" s="20" t="s">
        <v>406</v>
      </c>
      <c r="B138" s="20" t="s">
        <v>407</v>
      </c>
      <c r="C138" s="89">
        <v>245.89</v>
      </c>
      <c r="D138" s="90">
        <v>0.25</v>
      </c>
      <c r="E138" s="89">
        <f t="shared" si="1"/>
        <v>184.4175</v>
      </c>
      <c r="F138" s="20" t="s">
        <v>131</v>
      </c>
      <c r="G138" s="20" t="s">
        <v>132</v>
      </c>
    </row>
    <row r="139" ht="15.75" customHeight="1">
      <c r="A139" s="20" t="s">
        <v>408</v>
      </c>
      <c r="B139" s="20" t="s">
        <v>409</v>
      </c>
      <c r="C139" s="89">
        <v>81.96</v>
      </c>
      <c r="D139" s="90">
        <v>0.25</v>
      </c>
      <c r="E139" s="89">
        <f t="shared" si="1"/>
        <v>61.47</v>
      </c>
      <c r="F139" s="20" t="s">
        <v>131</v>
      </c>
      <c r="G139" s="20" t="s">
        <v>132</v>
      </c>
    </row>
    <row r="140" ht="15.75" customHeight="1">
      <c r="A140" s="20" t="s">
        <v>410</v>
      </c>
      <c r="B140" s="20" t="s">
        <v>411</v>
      </c>
      <c r="C140" s="89">
        <v>122.95</v>
      </c>
      <c r="D140" s="90">
        <v>0.25</v>
      </c>
      <c r="E140" s="89">
        <f t="shared" si="1"/>
        <v>92.2125</v>
      </c>
      <c r="F140" s="20" t="s">
        <v>131</v>
      </c>
      <c r="G140" s="20" t="s">
        <v>132</v>
      </c>
    </row>
    <row r="141" ht="15.75" customHeight="1">
      <c r="A141" s="20" t="s">
        <v>412</v>
      </c>
      <c r="B141" s="20" t="s">
        <v>413</v>
      </c>
      <c r="C141" s="89">
        <v>163.92</v>
      </c>
      <c r="D141" s="90">
        <v>0.25</v>
      </c>
      <c r="E141" s="89">
        <f t="shared" si="1"/>
        <v>122.94</v>
      </c>
      <c r="F141" s="20" t="s">
        <v>131</v>
      </c>
      <c r="G141" s="20" t="s">
        <v>132</v>
      </c>
    </row>
    <row r="142" ht="15.75" customHeight="1">
      <c r="A142" s="20" t="s">
        <v>414</v>
      </c>
      <c r="B142" s="20" t="s">
        <v>415</v>
      </c>
      <c r="C142" s="89">
        <v>245.89</v>
      </c>
      <c r="D142" s="90">
        <v>0.25</v>
      </c>
      <c r="E142" s="89">
        <f t="shared" si="1"/>
        <v>184.4175</v>
      </c>
      <c r="F142" s="20" t="s">
        <v>131</v>
      </c>
      <c r="G142" s="20" t="s">
        <v>132</v>
      </c>
    </row>
    <row r="143" ht="15.75" customHeight="1">
      <c r="A143" s="20" t="s">
        <v>416</v>
      </c>
      <c r="B143" s="20" t="s">
        <v>417</v>
      </c>
      <c r="C143" s="89">
        <v>81.96</v>
      </c>
      <c r="D143" s="90">
        <v>0.25</v>
      </c>
      <c r="E143" s="89">
        <f t="shared" si="1"/>
        <v>61.47</v>
      </c>
      <c r="F143" s="20" t="s">
        <v>131</v>
      </c>
      <c r="G143" s="20" t="s">
        <v>132</v>
      </c>
    </row>
    <row r="144" ht="15.75" customHeight="1">
      <c r="A144" s="20" t="s">
        <v>418</v>
      </c>
      <c r="B144" s="20" t="s">
        <v>419</v>
      </c>
      <c r="C144" s="89">
        <v>122.95</v>
      </c>
      <c r="D144" s="90">
        <v>0.25</v>
      </c>
      <c r="E144" s="89">
        <f t="shared" si="1"/>
        <v>92.2125</v>
      </c>
      <c r="F144" s="20" t="s">
        <v>131</v>
      </c>
      <c r="G144" s="20" t="s">
        <v>132</v>
      </c>
    </row>
    <row r="145" ht="15.75" customHeight="1">
      <c r="A145" s="20" t="s">
        <v>420</v>
      </c>
      <c r="B145" s="20" t="s">
        <v>421</v>
      </c>
      <c r="C145" s="89">
        <v>163.92</v>
      </c>
      <c r="D145" s="90">
        <v>0.25</v>
      </c>
      <c r="E145" s="89">
        <f t="shared" si="1"/>
        <v>122.94</v>
      </c>
      <c r="F145" s="20" t="s">
        <v>131</v>
      </c>
      <c r="G145" s="20" t="s">
        <v>132</v>
      </c>
    </row>
    <row r="146" ht="15.75" customHeight="1">
      <c r="A146" s="20" t="s">
        <v>422</v>
      </c>
      <c r="B146" s="20" t="s">
        <v>423</v>
      </c>
      <c r="C146" s="89">
        <v>245.89</v>
      </c>
      <c r="D146" s="90">
        <v>0.25</v>
      </c>
      <c r="E146" s="89">
        <f t="shared" si="1"/>
        <v>184.4175</v>
      </c>
      <c r="F146" s="20" t="s">
        <v>131</v>
      </c>
      <c r="G146" s="20" t="s">
        <v>132</v>
      </c>
    </row>
    <row r="147" ht="15.75" customHeight="1">
      <c r="A147" s="20" t="s">
        <v>424</v>
      </c>
      <c r="B147" s="20" t="s">
        <v>425</v>
      </c>
      <c r="C147" s="89">
        <v>81.96</v>
      </c>
      <c r="D147" s="90">
        <v>0.25</v>
      </c>
      <c r="E147" s="89">
        <f t="shared" si="1"/>
        <v>61.47</v>
      </c>
      <c r="F147" s="20" t="s">
        <v>131</v>
      </c>
      <c r="G147" s="20" t="s">
        <v>132</v>
      </c>
    </row>
    <row r="148" ht="15.75" customHeight="1">
      <c r="A148" s="20" t="s">
        <v>426</v>
      </c>
      <c r="B148" s="20" t="s">
        <v>427</v>
      </c>
      <c r="C148" s="89">
        <v>122.95</v>
      </c>
      <c r="D148" s="90">
        <v>0.25</v>
      </c>
      <c r="E148" s="89">
        <f t="shared" si="1"/>
        <v>92.2125</v>
      </c>
      <c r="F148" s="20" t="s">
        <v>131</v>
      </c>
      <c r="G148" s="20" t="s">
        <v>132</v>
      </c>
    </row>
    <row r="149" ht="15.75" customHeight="1">
      <c r="A149" s="20" t="s">
        <v>428</v>
      </c>
      <c r="B149" s="20" t="s">
        <v>429</v>
      </c>
      <c r="C149" s="89">
        <v>94.79</v>
      </c>
      <c r="D149" s="90">
        <v>0.25</v>
      </c>
      <c r="E149" s="89">
        <f t="shared" si="1"/>
        <v>71.0925</v>
      </c>
      <c r="F149" s="20" t="s">
        <v>131</v>
      </c>
      <c r="G149" s="20" t="s">
        <v>132</v>
      </c>
    </row>
    <row r="150" ht="15.75" customHeight="1">
      <c r="A150" s="20" t="s">
        <v>430</v>
      </c>
      <c r="B150" s="20" t="s">
        <v>431</v>
      </c>
      <c r="C150" s="89">
        <v>142.18</v>
      </c>
      <c r="D150" s="90">
        <v>0.25</v>
      </c>
      <c r="E150" s="89">
        <f t="shared" si="1"/>
        <v>106.635</v>
      </c>
      <c r="F150" s="20" t="s">
        <v>131</v>
      </c>
      <c r="G150" s="20" t="s">
        <v>132</v>
      </c>
    </row>
    <row r="151" ht="15.75" customHeight="1">
      <c r="A151" s="20" t="s">
        <v>432</v>
      </c>
      <c r="B151" s="20" t="s">
        <v>433</v>
      </c>
      <c r="C151" s="89">
        <v>189.56</v>
      </c>
      <c r="D151" s="90">
        <v>0.25</v>
      </c>
      <c r="E151" s="89">
        <f t="shared" si="1"/>
        <v>142.17</v>
      </c>
      <c r="F151" s="20" t="s">
        <v>131</v>
      </c>
      <c r="G151" s="20" t="s">
        <v>132</v>
      </c>
    </row>
    <row r="152" ht="15.75" customHeight="1">
      <c r="A152" s="20" t="s">
        <v>434</v>
      </c>
      <c r="B152" s="20" t="s">
        <v>435</v>
      </c>
      <c r="C152" s="89">
        <v>284.35</v>
      </c>
      <c r="D152" s="90">
        <v>0.25</v>
      </c>
      <c r="E152" s="89">
        <f t="shared" si="1"/>
        <v>213.2625</v>
      </c>
      <c r="F152" s="20" t="s">
        <v>131</v>
      </c>
      <c r="G152" s="20" t="s">
        <v>132</v>
      </c>
    </row>
    <row r="153" ht="15.75" customHeight="1">
      <c r="A153" s="20" t="s">
        <v>436</v>
      </c>
      <c r="B153" s="20" t="s">
        <v>437</v>
      </c>
      <c r="C153" s="89">
        <v>295.72</v>
      </c>
      <c r="D153" s="90">
        <v>0.25</v>
      </c>
      <c r="E153" s="89">
        <f t="shared" si="1"/>
        <v>221.79</v>
      </c>
      <c r="F153" s="20" t="s">
        <v>131</v>
      </c>
      <c r="G153" s="20" t="s">
        <v>132</v>
      </c>
    </row>
    <row r="154" ht="15.75" customHeight="1">
      <c r="A154" s="20" t="s">
        <v>438</v>
      </c>
      <c r="B154" s="20" t="s">
        <v>439</v>
      </c>
      <c r="C154" s="89">
        <v>304.26</v>
      </c>
      <c r="D154" s="90">
        <v>0.25</v>
      </c>
      <c r="E154" s="89">
        <f t="shared" si="1"/>
        <v>228.195</v>
      </c>
      <c r="F154" s="20" t="s">
        <v>131</v>
      </c>
      <c r="G154" s="20" t="s">
        <v>132</v>
      </c>
    </row>
    <row r="155" ht="15.75" customHeight="1">
      <c r="A155" s="20" t="s">
        <v>440</v>
      </c>
      <c r="B155" s="20" t="s">
        <v>441</v>
      </c>
      <c r="C155" s="89">
        <v>341.22</v>
      </c>
      <c r="D155" s="90">
        <v>0.25</v>
      </c>
      <c r="E155" s="89">
        <f t="shared" si="1"/>
        <v>255.915</v>
      </c>
      <c r="F155" s="20" t="s">
        <v>131</v>
      </c>
      <c r="G155" s="20" t="s">
        <v>132</v>
      </c>
    </row>
    <row r="156" ht="15.75" customHeight="1">
      <c r="A156" s="20" t="s">
        <v>442</v>
      </c>
      <c r="B156" s="20" t="s">
        <v>443</v>
      </c>
      <c r="C156" s="89">
        <v>0.0</v>
      </c>
      <c r="D156" s="90">
        <v>0.25</v>
      </c>
      <c r="E156" s="89">
        <f t="shared" si="1"/>
        <v>0</v>
      </c>
      <c r="F156" s="20" t="s">
        <v>131</v>
      </c>
      <c r="G156" s="20" t="s">
        <v>132</v>
      </c>
    </row>
    <row r="157" ht="15.75" customHeight="1">
      <c r="A157" s="20" t="s">
        <v>444</v>
      </c>
      <c r="B157" s="20" t="s">
        <v>445</v>
      </c>
      <c r="C157" s="89">
        <v>312.79</v>
      </c>
      <c r="D157" s="90">
        <v>0.25</v>
      </c>
      <c r="E157" s="89">
        <f t="shared" si="1"/>
        <v>234.5925</v>
      </c>
      <c r="F157" s="20" t="s">
        <v>131</v>
      </c>
      <c r="G157" s="20" t="s">
        <v>132</v>
      </c>
    </row>
    <row r="158" ht="15.75" customHeight="1">
      <c r="A158" s="20" t="s">
        <v>446</v>
      </c>
      <c r="B158" s="20" t="s">
        <v>447</v>
      </c>
      <c r="C158" s="89">
        <v>327.01</v>
      </c>
      <c r="D158" s="90">
        <v>0.25</v>
      </c>
      <c r="E158" s="89">
        <f t="shared" si="1"/>
        <v>245.2575</v>
      </c>
      <c r="F158" s="20" t="s">
        <v>131</v>
      </c>
      <c r="G158" s="20" t="s">
        <v>132</v>
      </c>
    </row>
    <row r="159" ht="15.75" customHeight="1">
      <c r="A159" s="20" t="s">
        <v>448</v>
      </c>
      <c r="B159" s="20" t="s">
        <v>449</v>
      </c>
      <c r="C159" s="89">
        <v>81.36</v>
      </c>
      <c r="D159" s="90">
        <v>0.25</v>
      </c>
      <c r="E159" s="89">
        <f t="shared" si="1"/>
        <v>61.02</v>
      </c>
      <c r="F159" s="20" t="s">
        <v>131</v>
      </c>
      <c r="G159" s="20" t="s">
        <v>132</v>
      </c>
    </row>
    <row r="160" ht="15.75" customHeight="1">
      <c r="A160" s="20" t="s">
        <v>450</v>
      </c>
      <c r="B160" s="20" t="s">
        <v>451</v>
      </c>
      <c r="C160" s="89">
        <v>122.03</v>
      </c>
      <c r="D160" s="90">
        <v>0.25</v>
      </c>
      <c r="E160" s="89">
        <f t="shared" si="1"/>
        <v>91.5225</v>
      </c>
      <c r="F160" s="20" t="s">
        <v>131</v>
      </c>
      <c r="G160" s="20" t="s">
        <v>132</v>
      </c>
    </row>
    <row r="161" ht="15.75" customHeight="1">
      <c r="A161" s="20" t="s">
        <v>452</v>
      </c>
      <c r="B161" s="20" t="s">
        <v>453</v>
      </c>
      <c r="C161" s="89">
        <v>162.71</v>
      </c>
      <c r="D161" s="90">
        <v>0.25</v>
      </c>
      <c r="E161" s="89">
        <f t="shared" si="1"/>
        <v>122.0325</v>
      </c>
      <c r="F161" s="20" t="s">
        <v>131</v>
      </c>
      <c r="G161" s="20" t="s">
        <v>132</v>
      </c>
    </row>
    <row r="162" ht="15.75" customHeight="1">
      <c r="A162" s="20" t="s">
        <v>454</v>
      </c>
      <c r="B162" s="20" t="s">
        <v>455</v>
      </c>
      <c r="C162" s="89">
        <v>244.08</v>
      </c>
      <c r="D162" s="90">
        <v>0.25</v>
      </c>
      <c r="E162" s="89">
        <f t="shared" si="1"/>
        <v>183.06</v>
      </c>
      <c r="F162" s="20" t="s">
        <v>131</v>
      </c>
      <c r="G162" s="20" t="s">
        <v>132</v>
      </c>
    </row>
    <row r="163" ht="15.75" customHeight="1">
      <c r="A163" s="20" t="s">
        <v>456</v>
      </c>
      <c r="B163" s="20" t="s">
        <v>457</v>
      </c>
      <c r="C163" s="89">
        <v>94.79</v>
      </c>
      <c r="D163" s="90">
        <v>0.25</v>
      </c>
      <c r="E163" s="89">
        <f t="shared" si="1"/>
        <v>71.0925</v>
      </c>
      <c r="F163" s="20" t="s">
        <v>131</v>
      </c>
      <c r="G163" s="20" t="s">
        <v>132</v>
      </c>
    </row>
    <row r="164" ht="15.75" customHeight="1">
      <c r="A164" s="20" t="s">
        <v>458</v>
      </c>
      <c r="B164" s="20" t="s">
        <v>459</v>
      </c>
      <c r="C164" s="89">
        <v>142.18</v>
      </c>
      <c r="D164" s="90">
        <v>0.25</v>
      </c>
      <c r="E164" s="89">
        <f t="shared" si="1"/>
        <v>106.635</v>
      </c>
      <c r="F164" s="20" t="s">
        <v>131</v>
      </c>
      <c r="G164" s="20" t="s">
        <v>132</v>
      </c>
    </row>
    <row r="165" ht="15.75" customHeight="1">
      <c r="A165" s="20" t="s">
        <v>460</v>
      </c>
      <c r="B165" s="20" t="s">
        <v>461</v>
      </c>
      <c r="C165" s="89">
        <v>189.56</v>
      </c>
      <c r="D165" s="90">
        <v>0.25</v>
      </c>
      <c r="E165" s="89">
        <f t="shared" si="1"/>
        <v>142.17</v>
      </c>
      <c r="F165" s="20" t="s">
        <v>131</v>
      </c>
      <c r="G165" s="20" t="s">
        <v>132</v>
      </c>
    </row>
    <row r="166" ht="15.75" customHeight="1">
      <c r="A166" s="20" t="s">
        <v>462</v>
      </c>
      <c r="B166" s="20" t="s">
        <v>463</v>
      </c>
      <c r="C166" s="89">
        <v>284.35</v>
      </c>
      <c r="D166" s="90">
        <v>0.25</v>
      </c>
      <c r="E166" s="89">
        <f t="shared" si="1"/>
        <v>213.2625</v>
      </c>
      <c r="F166" s="20" t="s">
        <v>131</v>
      </c>
      <c r="G166" s="20" t="s">
        <v>132</v>
      </c>
    </row>
    <row r="167" ht="15.75" customHeight="1">
      <c r="A167" s="20" t="s">
        <v>464</v>
      </c>
      <c r="B167" s="20" t="s">
        <v>465</v>
      </c>
      <c r="C167" s="89">
        <v>94.79</v>
      </c>
      <c r="D167" s="90">
        <v>0.25</v>
      </c>
      <c r="E167" s="89">
        <f t="shared" si="1"/>
        <v>71.0925</v>
      </c>
      <c r="F167" s="20" t="s">
        <v>131</v>
      </c>
      <c r="G167" s="20" t="s">
        <v>132</v>
      </c>
    </row>
    <row r="168" ht="15.75" customHeight="1">
      <c r="A168" s="20" t="s">
        <v>466</v>
      </c>
      <c r="B168" s="20" t="s">
        <v>467</v>
      </c>
      <c r="C168" s="89">
        <v>142.18</v>
      </c>
      <c r="D168" s="90">
        <v>0.25</v>
      </c>
      <c r="E168" s="89">
        <f t="shared" si="1"/>
        <v>106.635</v>
      </c>
      <c r="F168" s="20" t="s">
        <v>131</v>
      </c>
      <c r="G168" s="20" t="s">
        <v>132</v>
      </c>
    </row>
    <row r="169" ht="15.75" customHeight="1">
      <c r="A169" s="20" t="s">
        <v>468</v>
      </c>
      <c r="B169" s="20" t="s">
        <v>469</v>
      </c>
      <c r="C169" s="89">
        <v>189.56</v>
      </c>
      <c r="D169" s="90">
        <v>0.25</v>
      </c>
      <c r="E169" s="89">
        <f t="shared" si="1"/>
        <v>142.17</v>
      </c>
      <c r="F169" s="20" t="s">
        <v>131</v>
      </c>
      <c r="G169" s="20" t="s">
        <v>132</v>
      </c>
    </row>
    <row r="170" ht="15.75" customHeight="1">
      <c r="A170" s="20" t="s">
        <v>470</v>
      </c>
      <c r="B170" s="20" t="s">
        <v>471</v>
      </c>
      <c r="C170" s="89">
        <v>284.35</v>
      </c>
      <c r="D170" s="90">
        <v>0.25</v>
      </c>
      <c r="E170" s="89">
        <f t="shared" si="1"/>
        <v>213.2625</v>
      </c>
      <c r="F170" s="20" t="s">
        <v>131</v>
      </c>
      <c r="G170" s="20" t="s">
        <v>132</v>
      </c>
    </row>
    <row r="171" ht="15.75" customHeight="1">
      <c r="A171" s="20" t="s">
        <v>472</v>
      </c>
      <c r="B171" s="20" t="s">
        <v>473</v>
      </c>
      <c r="C171" s="89">
        <v>94.79</v>
      </c>
      <c r="D171" s="90">
        <v>0.25</v>
      </c>
      <c r="E171" s="89">
        <f t="shared" si="1"/>
        <v>71.0925</v>
      </c>
      <c r="F171" s="20" t="s">
        <v>131</v>
      </c>
      <c r="G171" s="20" t="s">
        <v>132</v>
      </c>
    </row>
    <row r="172" ht="15.75" customHeight="1">
      <c r="A172" s="20" t="s">
        <v>474</v>
      </c>
      <c r="B172" s="20" t="s">
        <v>475</v>
      </c>
      <c r="C172" s="89">
        <v>142.18</v>
      </c>
      <c r="D172" s="90">
        <v>0.25</v>
      </c>
      <c r="E172" s="89">
        <f t="shared" si="1"/>
        <v>106.635</v>
      </c>
      <c r="F172" s="20" t="s">
        <v>131</v>
      </c>
      <c r="G172" s="20" t="s">
        <v>132</v>
      </c>
    </row>
    <row r="173" ht="15.75" customHeight="1">
      <c r="A173" s="20" t="s">
        <v>476</v>
      </c>
      <c r="B173" s="20" t="s">
        <v>477</v>
      </c>
      <c r="C173" s="89">
        <v>189.56</v>
      </c>
      <c r="D173" s="90">
        <v>0.25</v>
      </c>
      <c r="E173" s="89">
        <f t="shared" si="1"/>
        <v>142.17</v>
      </c>
      <c r="F173" s="20" t="s">
        <v>131</v>
      </c>
      <c r="G173" s="20" t="s">
        <v>132</v>
      </c>
    </row>
    <row r="174" ht="15.75" customHeight="1">
      <c r="A174" s="20" t="s">
        <v>478</v>
      </c>
      <c r="B174" s="20" t="s">
        <v>479</v>
      </c>
      <c r="C174" s="89">
        <v>284.35</v>
      </c>
      <c r="D174" s="90">
        <v>0.25</v>
      </c>
      <c r="E174" s="89">
        <f t="shared" si="1"/>
        <v>213.2625</v>
      </c>
      <c r="F174" s="20" t="s">
        <v>131</v>
      </c>
      <c r="G174" s="20" t="s">
        <v>132</v>
      </c>
    </row>
    <row r="175" ht="15.75" customHeight="1">
      <c r="A175" s="20" t="s">
        <v>480</v>
      </c>
      <c r="B175" s="20" t="s">
        <v>481</v>
      </c>
      <c r="C175" s="89">
        <v>94.79</v>
      </c>
      <c r="D175" s="90">
        <v>0.25</v>
      </c>
      <c r="E175" s="89">
        <f t="shared" si="1"/>
        <v>71.0925</v>
      </c>
      <c r="F175" s="20" t="s">
        <v>131</v>
      </c>
      <c r="G175" s="20" t="s">
        <v>132</v>
      </c>
    </row>
    <row r="176" ht="15.75" customHeight="1">
      <c r="A176" s="20" t="s">
        <v>482</v>
      </c>
      <c r="B176" s="20" t="s">
        <v>483</v>
      </c>
      <c r="C176" s="89">
        <v>142.18</v>
      </c>
      <c r="D176" s="90">
        <v>0.25</v>
      </c>
      <c r="E176" s="89">
        <f t="shared" si="1"/>
        <v>106.635</v>
      </c>
      <c r="F176" s="20" t="s">
        <v>131</v>
      </c>
      <c r="G176" s="20" t="s">
        <v>132</v>
      </c>
    </row>
    <row r="177" ht="15.75" customHeight="1">
      <c r="A177" s="20" t="s">
        <v>484</v>
      </c>
      <c r="B177" s="20" t="s">
        <v>485</v>
      </c>
      <c r="C177" s="89">
        <v>189.56</v>
      </c>
      <c r="D177" s="90">
        <v>0.25</v>
      </c>
      <c r="E177" s="89">
        <f t="shared" si="1"/>
        <v>142.17</v>
      </c>
      <c r="F177" s="20" t="s">
        <v>131</v>
      </c>
      <c r="G177" s="20" t="s">
        <v>132</v>
      </c>
    </row>
    <row r="178" ht="15.75" customHeight="1">
      <c r="A178" s="20" t="s">
        <v>486</v>
      </c>
      <c r="B178" s="20" t="s">
        <v>487</v>
      </c>
      <c r="C178" s="89">
        <v>284.35</v>
      </c>
      <c r="D178" s="90">
        <v>0.25</v>
      </c>
      <c r="E178" s="89">
        <f t="shared" si="1"/>
        <v>213.2625</v>
      </c>
      <c r="F178" s="20" t="s">
        <v>131</v>
      </c>
      <c r="G178" s="20" t="s">
        <v>132</v>
      </c>
    </row>
    <row r="179" ht="15.75" customHeight="1">
      <c r="A179" s="20" t="s">
        <v>488</v>
      </c>
      <c r="B179" s="20" t="s">
        <v>489</v>
      </c>
      <c r="C179" s="89">
        <v>197.73</v>
      </c>
      <c r="D179" s="90">
        <v>0.25</v>
      </c>
      <c r="E179" s="89">
        <f t="shared" si="1"/>
        <v>148.2975</v>
      </c>
      <c r="F179" s="20" t="s">
        <v>131</v>
      </c>
      <c r="G179" s="20" t="s">
        <v>132</v>
      </c>
    </row>
    <row r="180" ht="15.75" customHeight="1">
      <c r="A180" s="20" t="s">
        <v>490</v>
      </c>
      <c r="B180" s="20" t="s">
        <v>491</v>
      </c>
      <c r="C180" s="89">
        <v>296.59</v>
      </c>
      <c r="D180" s="90">
        <v>0.25</v>
      </c>
      <c r="E180" s="89">
        <f t="shared" si="1"/>
        <v>222.4425</v>
      </c>
      <c r="F180" s="20" t="s">
        <v>131</v>
      </c>
      <c r="G180" s="20" t="s">
        <v>132</v>
      </c>
    </row>
    <row r="181" ht="15.75" customHeight="1">
      <c r="A181" s="20" t="s">
        <v>492</v>
      </c>
      <c r="B181" s="20" t="s">
        <v>493</v>
      </c>
      <c r="C181" s="89">
        <v>395.45</v>
      </c>
      <c r="D181" s="90">
        <v>0.25</v>
      </c>
      <c r="E181" s="89">
        <f t="shared" si="1"/>
        <v>296.5875</v>
      </c>
      <c r="F181" s="20" t="s">
        <v>131</v>
      </c>
      <c r="G181" s="20" t="s">
        <v>132</v>
      </c>
    </row>
    <row r="182" ht="15.75" customHeight="1">
      <c r="A182" s="20" t="s">
        <v>494</v>
      </c>
      <c r="B182" s="20" t="s">
        <v>495</v>
      </c>
      <c r="C182" s="89">
        <v>593.18</v>
      </c>
      <c r="D182" s="90">
        <v>0.25</v>
      </c>
      <c r="E182" s="89">
        <f t="shared" si="1"/>
        <v>444.885</v>
      </c>
      <c r="F182" s="20" t="s">
        <v>131</v>
      </c>
      <c r="G182" s="20" t="s">
        <v>132</v>
      </c>
    </row>
    <row r="183" ht="15.75" customHeight="1">
      <c r="A183" s="20" t="s">
        <v>496</v>
      </c>
      <c r="B183" s="20" t="s">
        <v>497</v>
      </c>
      <c r="C183" s="89">
        <v>616.9</v>
      </c>
      <c r="D183" s="90">
        <v>0.25</v>
      </c>
      <c r="E183" s="89">
        <f t="shared" si="1"/>
        <v>462.675</v>
      </c>
      <c r="F183" s="20" t="s">
        <v>131</v>
      </c>
      <c r="G183" s="20" t="s">
        <v>132</v>
      </c>
    </row>
    <row r="184" ht="15.75" customHeight="1">
      <c r="A184" s="20" t="s">
        <v>498</v>
      </c>
      <c r="B184" s="20" t="s">
        <v>499</v>
      </c>
      <c r="C184" s="89">
        <v>634.7</v>
      </c>
      <c r="D184" s="90">
        <v>0.25</v>
      </c>
      <c r="E184" s="89">
        <f t="shared" si="1"/>
        <v>476.025</v>
      </c>
      <c r="F184" s="20" t="s">
        <v>131</v>
      </c>
      <c r="G184" s="20" t="s">
        <v>132</v>
      </c>
    </row>
    <row r="185" ht="15.75" customHeight="1">
      <c r="A185" s="20" t="s">
        <v>500</v>
      </c>
      <c r="B185" s="20" t="s">
        <v>501</v>
      </c>
      <c r="C185" s="89">
        <v>711.81</v>
      </c>
      <c r="D185" s="90">
        <v>0.25</v>
      </c>
      <c r="E185" s="89">
        <f t="shared" si="1"/>
        <v>533.8575</v>
      </c>
      <c r="F185" s="20" t="s">
        <v>131</v>
      </c>
      <c r="G185" s="20" t="s">
        <v>132</v>
      </c>
    </row>
    <row r="186" ht="15.75" customHeight="1">
      <c r="A186" s="20" t="s">
        <v>502</v>
      </c>
      <c r="B186" s="20" t="s">
        <v>503</v>
      </c>
      <c r="C186" s="89">
        <v>0.0</v>
      </c>
      <c r="D186" s="90">
        <v>0.25</v>
      </c>
      <c r="E186" s="89">
        <f t="shared" si="1"/>
        <v>0</v>
      </c>
      <c r="F186" s="20" t="s">
        <v>131</v>
      </c>
      <c r="G186" s="20" t="s">
        <v>132</v>
      </c>
    </row>
    <row r="187" ht="15.75" customHeight="1">
      <c r="A187" s="20" t="s">
        <v>504</v>
      </c>
      <c r="B187" s="20" t="s">
        <v>505</v>
      </c>
      <c r="C187" s="89">
        <v>652.5</v>
      </c>
      <c r="D187" s="90">
        <v>0.25</v>
      </c>
      <c r="E187" s="89">
        <f t="shared" si="1"/>
        <v>489.375</v>
      </c>
      <c r="F187" s="20" t="s">
        <v>131</v>
      </c>
      <c r="G187" s="20" t="s">
        <v>132</v>
      </c>
    </row>
    <row r="188" ht="15.75" customHeight="1">
      <c r="A188" s="20" t="s">
        <v>506</v>
      </c>
      <c r="B188" s="20" t="s">
        <v>507</v>
      </c>
      <c r="C188" s="89">
        <v>682.15</v>
      </c>
      <c r="D188" s="90">
        <v>0.25</v>
      </c>
      <c r="E188" s="89">
        <f t="shared" si="1"/>
        <v>511.6125</v>
      </c>
      <c r="F188" s="20" t="s">
        <v>131</v>
      </c>
      <c r="G188" s="20" t="s">
        <v>132</v>
      </c>
    </row>
    <row r="189" ht="15.75" customHeight="1">
      <c r="A189" s="20" t="s">
        <v>508</v>
      </c>
      <c r="B189" s="20" t="s">
        <v>509</v>
      </c>
      <c r="C189" s="89">
        <v>167.7</v>
      </c>
      <c r="D189" s="90">
        <v>0.25</v>
      </c>
      <c r="E189" s="89">
        <f t="shared" si="1"/>
        <v>125.775</v>
      </c>
      <c r="F189" s="20" t="s">
        <v>131</v>
      </c>
      <c r="G189" s="20" t="s">
        <v>132</v>
      </c>
    </row>
    <row r="190" ht="15.75" customHeight="1">
      <c r="A190" s="20" t="s">
        <v>510</v>
      </c>
      <c r="B190" s="20" t="s">
        <v>511</v>
      </c>
      <c r="C190" s="89">
        <v>251.54</v>
      </c>
      <c r="D190" s="90">
        <v>0.25</v>
      </c>
      <c r="E190" s="89">
        <f t="shared" si="1"/>
        <v>188.655</v>
      </c>
      <c r="F190" s="20" t="s">
        <v>131</v>
      </c>
      <c r="G190" s="20" t="s">
        <v>132</v>
      </c>
    </row>
    <row r="191" ht="15.75" customHeight="1">
      <c r="A191" s="20" t="s">
        <v>512</v>
      </c>
      <c r="B191" s="20" t="s">
        <v>513</v>
      </c>
      <c r="C191" s="89">
        <v>335.39</v>
      </c>
      <c r="D191" s="90">
        <v>0.25</v>
      </c>
      <c r="E191" s="89">
        <f t="shared" si="1"/>
        <v>251.5425</v>
      </c>
      <c r="F191" s="20" t="s">
        <v>131</v>
      </c>
      <c r="G191" s="20" t="s">
        <v>132</v>
      </c>
    </row>
    <row r="192" ht="15.75" customHeight="1">
      <c r="A192" s="20" t="s">
        <v>514</v>
      </c>
      <c r="B192" s="20" t="s">
        <v>515</v>
      </c>
      <c r="C192" s="89">
        <v>503.09</v>
      </c>
      <c r="D192" s="90">
        <v>0.25</v>
      </c>
      <c r="E192" s="89">
        <f t="shared" si="1"/>
        <v>377.3175</v>
      </c>
      <c r="F192" s="20" t="s">
        <v>131</v>
      </c>
      <c r="G192" s="20" t="s">
        <v>132</v>
      </c>
    </row>
    <row r="193" ht="15.75" customHeight="1">
      <c r="A193" s="20" t="s">
        <v>516</v>
      </c>
      <c r="B193" s="20" t="s">
        <v>517</v>
      </c>
      <c r="C193" s="89">
        <v>197.73</v>
      </c>
      <c r="D193" s="90">
        <v>0.25</v>
      </c>
      <c r="E193" s="89">
        <f t="shared" si="1"/>
        <v>148.2975</v>
      </c>
      <c r="F193" s="20" t="s">
        <v>131</v>
      </c>
      <c r="G193" s="20" t="s">
        <v>132</v>
      </c>
    </row>
    <row r="194" ht="15.75" customHeight="1">
      <c r="A194" s="20" t="s">
        <v>518</v>
      </c>
      <c r="B194" s="20" t="s">
        <v>519</v>
      </c>
      <c r="C194" s="89">
        <v>296.59</v>
      </c>
      <c r="D194" s="90">
        <v>0.25</v>
      </c>
      <c r="E194" s="89">
        <f t="shared" si="1"/>
        <v>222.4425</v>
      </c>
      <c r="F194" s="20" t="s">
        <v>131</v>
      </c>
      <c r="G194" s="20" t="s">
        <v>132</v>
      </c>
    </row>
    <row r="195" ht="15.75" customHeight="1">
      <c r="A195" s="20" t="s">
        <v>520</v>
      </c>
      <c r="B195" s="20" t="s">
        <v>521</v>
      </c>
      <c r="C195" s="89">
        <v>395.45</v>
      </c>
      <c r="D195" s="90">
        <v>0.25</v>
      </c>
      <c r="E195" s="89">
        <f t="shared" si="1"/>
        <v>296.5875</v>
      </c>
      <c r="F195" s="20" t="s">
        <v>131</v>
      </c>
      <c r="G195" s="20" t="s">
        <v>132</v>
      </c>
    </row>
    <row r="196" ht="15.75" customHeight="1">
      <c r="A196" s="20" t="s">
        <v>522</v>
      </c>
      <c r="B196" s="20" t="s">
        <v>523</v>
      </c>
      <c r="C196" s="89">
        <v>593.18</v>
      </c>
      <c r="D196" s="90">
        <v>0.25</v>
      </c>
      <c r="E196" s="89">
        <f t="shared" si="1"/>
        <v>444.885</v>
      </c>
      <c r="F196" s="20" t="s">
        <v>131</v>
      </c>
      <c r="G196" s="20" t="s">
        <v>132</v>
      </c>
    </row>
    <row r="197" ht="15.75" customHeight="1">
      <c r="A197" s="20" t="s">
        <v>524</v>
      </c>
      <c r="B197" s="20" t="s">
        <v>525</v>
      </c>
      <c r="C197" s="89">
        <v>197.73</v>
      </c>
      <c r="D197" s="90">
        <v>0.25</v>
      </c>
      <c r="E197" s="89">
        <f t="shared" si="1"/>
        <v>148.2975</v>
      </c>
      <c r="F197" s="20" t="s">
        <v>131</v>
      </c>
      <c r="G197" s="20" t="s">
        <v>132</v>
      </c>
    </row>
    <row r="198" ht="15.75" customHeight="1">
      <c r="A198" s="20" t="s">
        <v>526</v>
      </c>
      <c r="B198" s="20" t="s">
        <v>527</v>
      </c>
      <c r="C198" s="89">
        <v>296.59</v>
      </c>
      <c r="D198" s="90">
        <v>0.25</v>
      </c>
      <c r="E198" s="89">
        <f t="shared" si="1"/>
        <v>222.4425</v>
      </c>
      <c r="F198" s="20" t="s">
        <v>131</v>
      </c>
      <c r="G198" s="20" t="s">
        <v>132</v>
      </c>
    </row>
    <row r="199" ht="15.75" customHeight="1">
      <c r="A199" s="20" t="s">
        <v>528</v>
      </c>
      <c r="B199" s="20" t="s">
        <v>529</v>
      </c>
      <c r="C199" s="89">
        <v>395.45</v>
      </c>
      <c r="D199" s="90">
        <v>0.25</v>
      </c>
      <c r="E199" s="89">
        <f t="shared" si="1"/>
        <v>296.5875</v>
      </c>
      <c r="F199" s="20" t="s">
        <v>131</v>
      </c>
      <c r="G199" s="20" t="s">
        <v>132</v>
      </c>
    </row>
    <row r="200" ht="15.75" customHeight="1">
      <c r="A200" s="20" t="s">
        <v>530</v>
      </c>
      <c r="B200" s="20" t="s">
        <v>531</v>
      </c>
      <c r="C200" s="89">
        <v>593.18</v>
      </c>
      <c r="D200" s="90">
        <v>0.25</v>
      </c>
      <c r="E200" s="89">
        <f t="shared" si="1"/>
        <v>444.885</v>
      </c>
      <c r="F200" s="20" t="s">
        <v>131</v>
      </c>
      <c r="G200" s="20" t="s">
        <v>132</v>
      </c>
    </row>
    <row r="201" ht="15.75" customHeight="1">
      <c r="A201" s="20" t="s">
        <v>532</v>
      </c>
      <c r="B201" s="20" t="s">
        <v>533</v>
      </c>
      <c r="C201" s="89">
        <v>197.73</v>
      </c>
      <c r="D201" s="90">
        <v>0.25</v>
      </c>
      <c r="E201" s="89">
        <f t="shared" si="1"/>
        <v>148.2975</v>
      </c>
      <c r="F201" s="20" t="s">
        <v>131</v>
      </c>
      <c r="G201" s="20" t="s">
        <v>132</v>
      </c>
    </row>
    <row r="202" ht="15.75" customHeight="1">
      <c r="A202" s="20" t="s">
        <v>534</v>
      </c>
      <c r="B202" s="20" t="s">
        <v>535</v>
      </c>
      <c r="C202" s="89">
        <v>296.59</v>
      </c>
      <c r="D202" s="90">
        <v>0.25</v>
      </c>
      <c r="E202" s="89">
        <f t="shared" si="1"/>
        <v>222.4425</v>
      </c>
      <c r="F202" s="20" t="s">
        <v>131</v>
      </c>
      <c r="G202" s="20" t="s">
        <v>132</v>
      </c>
    </row>
    <row r="203" ht="15.75" customHeight="1">
      <c r="A203" s="20" t="s">
        <v>536</v>
      </c>
      <c r="B203" s="20" t="s">
        <v>537</v>
      </c>
      <c r="C203" s="89">
        <v>395.45</v>
      </c>
      <c r="D203" s="90">
        <v>0.25</v>
      </c>
      <c r="E203" s="89">
        <f t="shared" si="1"/>
        <v>296.5875</v>
      </c>
      <c r="F203" s="20" t="s">
        <v>131</v>
      </c>
      <c r="G203" s="20" t="s">
        <v>132</v>
      </c>
    </row>
    <row r="204" ht="15.75" customHeight="1">
      <c r="A204" s="20" t="s">
        <v>538</v>
      </c>
      <c r="B204" s="20" t="s">
        <v>539</v>
      </c>
      <c r="C204" s="89">
        <v>593.18</v>
      </c>
      <c r="D204" s="90">
        <v>0.25</v>
      </c>
      <c r="E204" s="89">
        <f t="shared" si="1"/>
        <v>444.885</v>
      </c>
      <c r="F204" s="20" t="s">
        <v>131</v>
      </c>
      <c r="G204" s="20" t="s">
        <v>132</v>
      </c>
    </row>
    <row r="205" ht="15.75" customHeight="1">
      <c r="A205" s="20" t="s">
        <v>540</v>
      </c>
      <c r="B205" s="20" t="s">
        <v>541</v>
      </c>
      <c r="C205" s="89">
        <v>197.73</v>
      </c>
      <c r="D205" s="90">
        <v>0.25</v>
      </c>
      <c r="E205" s="89">
        <f t="shared" si="1"/>
        <v>148.2975</v>
      </c>
      <c r="F205" s="20" t="s">
        <v>131</v>
      </c>
      <c r="G205" s="20" t="s">
        <v>132</v>
      </c>
    </row>
    <row r="206" ht="15.75" customHeight="1">
      <c r="A206" s="20" t="s">
        <v>542</v>
      </c>
      <c r="B206" s="20" t="s">
        <v>543</v>
      </c>
      <c r="C206" s="89">
        <v>296.59</v>
      </c>
      <c r="D206" s="90">
        <v>0.25</v>
      </c>
      <c r="E206" s="89">
        <f t="shared" si="1"/>
        <v>222.4425</v>
      </c>
      <c r="F206" s="20" t="s">
        <v>131</v>
      </c>
      <c r="G206" s="20" t="s">
        <v>132</v>
      </c>
    </row>
    <row r="207" ht="15.75" customHeight="1">
      <c r="A207" s="20" t="s">
        <v>544</v>
      </c>
      <c r="B207" s="20" t="s">
        <v>545</v>
      </c>
      <c r="C207" s="89">
        <v>392.15</v>
      </c>
      <c r="D207" s="90">
        <v>0.25</v>
      </c>
      <c r="E207" s="89">
        <f t="shared" si="1"/>
        <v>294.1125</v>
      </c>
      <c r="F207" s="20" t="s">
        <v>131</v>
      </c>
      <c r="G207" s="20" t="s">
        <v>132</v>
      </c>
    </row>
    <row r="208" ht="15.75" customHeight="1">
      <c r="A208" s="20" t="s">
        <v>546</v>
      </c>
      <c r="B208" s="20" t="s">
        <v>547</v>
      </c>
      <c r="C208" s="89">
        <v>593.18</v>
      </c>
      <c r="D208" s="90">
        <v>0.25</v>
      </c>
      <c r="E208" s="89">
        <f t="shared" si="1"/>
        <v>444.885</v>
      </c>
      <c r="F208" s="20" t="s">
        <v>131</v>
      </c>
      <c r="G208" s="20" t="s">
        <v>132</v>
      </c>
    </row>
    <row r="209" ht="15.75" customHeight="1">
      <c r="A209" s="20" t="s">
        <v>548</v>
      </c>
      <c r="B209" s="20" t="s">
        <v>549</v>
      </c>
      <c r="C209" s="89">
        <v>58.07</v>
      </c>
      <c r="D209" s="90">
        <v>0.25</v>
      </c>
      <c r="E209" s="89">
        <f t="shared" si="1"/>
        <v>43.5525</v>
      </c>
      <c r="F209" s="20" t="s">
        <v>131</v>
      </c>
      <c r="G209" s="20" t="s">
        <v>132</v>
      </c>
    </row>
    <row r="210" ht="15.75" customHeight="1">
      <c r="A210" s="20" t="s">
        <v>550</v>
      </c>
      <c r="B210" s="20" t="s">
        <v>551</v>
      </c>
      <c r="C210" s="89">
        <v>87.1</v>
      </c>
      <c r="D210" s="90">
        <v>0.25</v>
      </c>
      <c r="E210" s="89">
        <f t="shared" si="1"/>
        <v>65.325</v>
      </c>
      <c r="F210" s="20" t="s">
        <v>131</v>
      </c>
      <c r="G210" s="20" t="s">
        <v>132</v>
      </c>
    </row>
    <row r="211" ht="15.75" customHeight="1">
      <c r="A211" s="20" t="s">
        <v>552</v>
      </c>
      <c r="B211" s="20" t="s">
        <v>553</v>
      </c>
      <c r="C211" s="89">
        <v>116.14</v>
      </c>
      <c r="D211" s="90">
        <v>0.25</v>
      </c>
      <c r="E211" s="89">
        <f t="shared" si="1"/>
        <v>87.105</v>
      </c>
      <c r="F211" s="20" t="s">
        <v>131</v>
      </c>
      <c r="G211" s="20" t="s">
        <v>132</v>
      </c>
    </row>
    <row r="212" ht="15.75" customHeight="1">
      <c r="A212" s="20" t="s">
        <v>554</v>
      </c>
      <c r="B212" s="20" t="s">
        <v>555</v>
      </c>
      <c r="C212" s="89">
        <v>174.2</v>
      </c>
      <c r="D212" s="90">
        <v>0.25</v>
      </c>
      <c r="E212" s="89">
        <f t="shared" si="1"/>
        <v>130.65</v>
      </c>
      <c r="F212" s="20" t="s">
        <v>131</v>
      </c>
      <c r="G212" s="20" t="s">
        <v>132</v>
      </c>
    </row>
    <row r="213" ht="15.75" customHeight="1">
      <c r="A213" s="20" t="s">
        <v>556</v>
      </c>
      <c r="B213" s="20" t="s">
        <v>557</v>
      </c>
      <c r="C213" s="89">
        <v>60.39</v>
      </c>
      <c r="D213" s="90">
        <v>0.25</v>
      </c>
      <c r="E213" s="89">
        <f t="shared" si="1"/>
        <v>45.2925</v>
      </c>
      <c r="F213" s="20" t="s">
        <v>131</v>
      </c>
      <c r="G213" s="20" t="s">
        <v>132</v>
      </c>
    </row>
    <row r="214" ht="15.75" customHeight="1">
      <c r="A214" s="20" t="s">
        <v>558</v>
      </c>
      <c r="B214" s="20" t="s">
        <v>559</v>
      </c>
      <c r="C214" s="89">
        <v>87.1</v>
      </c>
      <c r="D214" s="90">
        <v>0.25</v>
      </c>
      <c r="E214" s="89">
        <f t="shared" si="1"/>
        <v>65.325</v>
      </c>
      <c r="F214" s="20" t="s">
        <v>131</v>
      </c>
      <c r="G214" s="20" t="s">
        <v>132</v>
      </c>
    </row>
    <row r="215" ht="15.75" customHeight="1">
      <c r="A215" s="20" t="s">
        <v>560</v>
      </c>
      <c r="B215" s="20" t="s">
        <v>561</v>
      </c>
      <c r="C215" s="89">
        <v>116.14</v>
      </c>
      <c r="D215" s="90">
        <v>0.25</v>
      </c>
      <c r="E215" s="89">
        <f t="shared" si="1"/>
        <v>87.105</v>
      </c>
      <c r="F215" s="20" t="s">
        <v>131</v>
      </c>
      <c r="G215" s="20" t="s">
        <v>132</v>
      </c>
    </row>
    <row r="216" ht="15.75" customHeight="1">
      <c r="A216" s="20" t="s">
        <v>562</v>
      </c>
      <c r="B216" s="20" t="s">
        <v>563</v>
      </c>
      <c r="C216" s="89">
        <v>174.2</v>
      </c>
      <c r="D216" s="90">
        <v>0.25</v>
      </c>
      <c r="E216" s="89">
        <f t="shared" si="1"/>
        <v>130.65</v>
      </c>
      <c r="F216" s="20" t="s">
        <v>131</v>
      </c>
      <c r="G216" s="20" t="s">
        <v>132</v>
      </c>
    </row>
    <row r="217" ht="15.75" customHeight="1">
      <c r="A217" s="20" t="s">
        <v>564</v>
      </c>
      <c r="B217" s="20" t="s">
        <v>565</v>
      </c>
      <c r="C217" s="89">
        <v>62.14</v>
      </c>
      <c r="D217" s="90">
        <v>0.25</v>
      </c>
      <c r="E217" s="89">
        <f t="shared" si="1"/>
        <v>46.605</v>
      </c>
      <c r="F217" s="20" t="s">
        <v>131</v>
      </c>
      <c r="G217" s="20" t="s">
        <v>132</v>
      </c>
    </row>
    <row r="218" ht="15.75" customHeight="1">
      <c r="A218" s="20" t="s">
        <v>566</v>
      </c>
      <c r="B218" s="20" t="s">
        <v>567</v>
      </c>
      <c r="C218" s="89">
        <v>93.19</v>
      </c>
      <c r="D218" s="90">
        <v>0.25</v>
      </c>
      <c r="E218" s="89">
        <f t="shared" si="1"/>
        <v>69.8925</v>
      </c>
      <c r="F218" s="20" t="s">
        <v>131</v>
      </c>
      <c r="G218" s="20" t="s">
        <v>132</v>
      </c>
    </row>
    <row r="219" ht="15.75" customHeight="1">
      <c r="A219" s="20" t="s">
        <v>568</v>
      </c>
      <c r="B219" s="20" t="s">
        <v>569</v>
      </c>
      <c r="C219" s="89">
        <v>124.27</v>
      </c>
      <c r="D219" s="90">
        <v>0.25</v>
      </c>
      <c r="E219" s="89">
        <f t="shared" si="1"/>
        <v>93.2025</v>
      </c>
      <c r="F219" s="20" t="s">
        <v>131</v>
      </c>
      <c r="G219" s="20" t="s">
        <v>132</v>
      </c>
    </row>
    <row r="220" ht="15.75" customHeight="1">
      <c r="A220" s="20" t="s">
        <v>570</v>
      </c>
      <c r="B220" s="20" t="s">
        <v>571</v>
      </c>
      <c r="C220" s="89">
        <v>186.4</v>
      </c>
      <c r="D220" s="90">
        <v>0.25</v>
      </c>
      <c r="E220" s="89">
        <f t="shared" si="1"/>
        <v>139.8</v>
      </c>
      <c r="F220" s="20" t="s">
        <v>131</v>
      </c>
      <c r="G220" s="20" t="s">
        <v>132</v>
      </c>
    </row>
    <row r="221" ht="15.75" customHeight="1">
      <c r="A221" s="20" t="s">
        <v>572</v>
      </c>
      <c r="B221" s="20" t="s">
        <v>573</v>
      </c>
      <c r="C221" s="89">
        <v>69.69</v>
      </c>
      <c r="D221" s="90">
        <v>0.25</v>
      </c>
      <c r="E221" s="89">
        <f t="shared" si="1"/>
        <v>52.2675</v>
      </c>
      <c r="F221" s="20" t="s">
        <v>131</v>
      </c>
      <c r="G221" s="20" t="s">
        <v>132</v>
      </c>
    </row>
    <row r="222" ht="15.75" customHeight="1">
      <c r="A222" s="20" t="s">
        <v>574</v>
      </c>
      <c r="B222" s="20" t="s">
        <v>575</v>
      </c>
      <c r="C222" s="89">
        <v>104.52</v>
      </c>
      <c r="D222" s="90">
        <v>0.25</v>
      </c>
      <c r="E222" s="89">
        <f t="shared" si="1"/>
        <v>78.39</v>
      </c>
      <c r="F222" s="20" t="s">
        <v>131</v>
      </c>
      <c r="G222" s="20" t="s">
        <v>132</v>
      </c>
    </row>
    <row r="223" ht="15.75" customHeight="1">
      <c r="A223" s="20" t="s">
        <v>576</v>
      </c>
      <c r="B223" s="20" t="s">
        <v>577</v>
      </c>
      <c r="C223" s="89">
        <v>139.37</v>
      </c>
      <c r="D223" s="90">
        <v>0.25</v>
      </c>
      <c r="E223" s="89">
        <f t="shared" si="1"/>
        <v>104.5275</v>
      </c>
      <c r="F223" s="20" t="s">
        <v>131</v>
      </c>
      <c r="G223" s="20" t="s">
        <v>132</v>
      </c>
    </row>
    <row r="224" ht="15.75" customHeight="1">
      <c r="A224" s="20" t="s">
        <v>578</v>
      </c>
      <c r="B224" s="20" t="s">
        <v>579</v>
      </c>
      <c r="C224" s="89">
        <v>209.03</v>
      </c>
      <c r="D224" s="90">
        <v>0.25</v>
      </c>
      <c r="E224" s="89">
        <f t="shared" si="1"/>
        <v>156.7725</v>
      </c>
      <c r="F224" s="20" t="s">
        <v>131</v>
      </c>
      <c r="G224" s="20" t="s">
        <v>132</v>
      </c>
    </row>
    <row r="225" ht="15.75" customHeight="1">
      <c r="A225" s="20" t="s">
        <v>580</v>
      </c>
      <c r="B225" s="20" t="s">
        <v>581</v>
      </c>
      <c r="C225" s="89">
        <v>63.88</v>
      </c>
      <c r="D225" s="90">
        <v>0.25</v>
      </c>
      <c r="E225" s="89">
        <f t="shared" si="1"/>
        <v>47.91</v>
      </c>
      <c r="F225" s="20" t="s">
        <v>131</v>
      </c>
      <c r="G225" s="20" t="s">
        <v>132</v>
      </c>
    </row>
    <row r="226" ht="15.75" customHeight="1">
      <c r="A226" s="20" t="s">
        <v>582</v>
      </c>
      <c r="B226" s="20" t="s">
        <v>583</v>
      </c>
      <c r="C226" s="89">
        <v>95.81</v>
      </c>
      <c r="D226" s="90">
        <v>0.25</v>
      </c>
      <c r="E226" s="89">
        <f t="shared" si="1"/>
        <v>71.8575</v>
      </c>
      <c r="F226" s="20" t="s">
        <v>131</v>
      </c>
      <c r="G226" s="20" t="s">
        <v>132</v>
      </c>
    </row>
    <row r="227" ht="15.75" customHeight="1">
      <c r="A227" s="20" t="s">
        <v>584</v>
      </c>
      <c r="B227" s="20" t="s">
        <v>585</v>
      </c>
      <c r="C227" s="89">
        <v>127.75</v>
      </c>
      <c r="D227" s="90">
        <v>0.25</v>
      </c>
      <c r="E227" s="89">
        <f t="shared" si="1"/>
        <v>95.8125</v>
      </c>
      <c r="F227" s="20" t="s">
        <v>131</v>
      </c>
      <c r="G227" s="20" t="s">
        <v>132</v>
      </c>
    </row>
    <row r="228" ht="15.75" customHeight="1">
      <c r="A228" s="20" t="s">
        <v>586</v>
      </c>
      <c r="B228" s="20" t="s">
        <v>587</v>
      </c>
      <c r="C228" s="89">
        <v>191.62</v>
      </c>
      <c r="D228" s="90">
        <v>0.25</v>
      </c>
      <c r="E228" s="89">
        <f t="shared" si="1"/>
        <v>143.715</v>
      </c>
      <c r="F228" s="20" t="s">
        <v>131</v>
      </c>
      <c r="G228" s="20" t="s">
        <v>132</v>
      </c>
    </row>
    <row r="229" ht="15.75" customHeight="1">
      <c r="A229" s="20" t="s">
        <v>588</v>
      </c>
      <c r="B229" s="20" t="s">
        <v>589</v>
      </c>
      <c r="C229" s="89">
        <v>66.78</v>
      </c>
      <c r="D229" s="90">
        <v>0.25</v>
      </c>
      <c r="E229" s="89">
        <f t="shared" si="1"/>
        <v>50.085</v>
      </c>
      <c r="F229" s="20" t="s">
        <v>131</v>
      </c>
      <c r="G229" s="20" t="s">
        <v>132</v>
      </c>
    </row>
    <row r="230" ht="15.75" customHeight="1">
      <c r="A230" s="20" t="s">
        <v>590</v>
      </c>
      <c r="B230" s="20" t="s">
        <v>591</v>
      </c>
      <c r="C230" s="89">
        <v>100.17</v>
      </c>
      <c r="D230" s="90">
        <v>0.25</v>
      </c>
      <c r="E230" s="89">
        <f t="shared" si="1"/>
        <v>75.1275</v>
      </c>
      <c r="F230" s="20" t="s">
        <v>131</v>
      </c>
      <c r="G230" s="20" t="s">
        <v>132</v>
      </c>
    </row>
    <row r="231" ht="15.75" customHeight="1">
      <c r="A231" s="20" t="s">
        <v>592</v>
      </c>
      <c r="B231" s="20" t="s">
        <v>593</v>
      </c>
      <c r="C231" s="89">
        <v>133.56</v>
      </c>
      <c r="D231" s="90">
        <v>0.25</v>
      </c>
      <c r="E231" s="89">
        <f t="shared" si="1"/>
        <v>100.17</v>
      </c>
      <c r="F231" s="20" t="s">
        <v>131</v>
      </c>
      <c r="G231" s="20" t="s">
        <v>132</v>
      </c>
    </row>
    <row r="232" ht="15.75" customHeight="1">
      <c r="A232" s="20" t="s">
        <v>594</v>
      </c>
      <c r="B232" s="20" t="s">
        <v>595</v>
      </c>
      <c r="C232" s="89">
        <v>200.32</v>
      </c>
      <c r="D232" s="90">
        <v>0.25</v>
      </c>
      <c r="E232" s="89">
        <f t="shared" si="1"/>
        <v>150.24</v>
      </c>
      <c r="F232" s="20" t="s">
        <v>131</v>
      </c>
      <c r="G232" s="20" t="s">
        <v>132</v>
      </c>
    </row>
    <row r="233" ht="15.75" customHeight="1">
      <c r="A233" s="20" t="s">
        <v>596</v>
      </c>
      <c r="B233" s="20" t="s">
        <v>597</v>
      </c>
      <c r="C233" s="89">
        <v>77.63</v>
      </c>
      <c r="D233" s="90">
        <v>0.25</v>
      </c>
      <c r="E233" s="89">
        <f t="shared" si="1"/>
        <v>58.2225</v>
      </c>
      <c r="F233" s="20" t="s">
        <v>131</v>
      </c>
      <c r="G233" s="20" t="s">
        <v>132</v>
      </c>
    </row>
    <row r="234" ht="15.75" customHeight="1">
      <c r="A234" s="20" t="s">
        <v>598</v>
      </c>
      <c r="B234" s="20" t="s">
        <v>599</v>
      </c>
      <c r="C234" s="89">
        <v>116.42</v>
      </c>
      <c r="D234" s="90">
        <v>0.25</v>
      </c>
      <c r="E234" s="89">
        <f t="shared" si="1"/>
        <v>87.315</v>
      </c>
      <c r="F234" s="20" t="s">
        <v>131</v>
      </c>
      <c r="G234" s="20" t="s">
        <v>132</v>
      </c>
    </row>
    <row r="235" ht="15.75" customHeight="1">
      <c r="A235" s="20" t="s">
        <v>600</v>
      </c>
      <c r="B235" s="20" t="s">
        <v>601</v>
      </c>
      <c r="C235" s="89">
        <v>155.24</v>
      </c>
      <c r="D235" s="90">
        <v>0.25</v>
      </c>
      <c r="E235" s="89">
        <f t="shared" si="1"/>
        <v>116.43</v>
      </c>
      <c r="F235" s="20" t="s">
        <v>131</v>
      </c>
      <c r="G235" s="20" t="s">
        <v>132</v>
      </c>
    </row>
    <row r="236" ht="15.75" customHeight="1">
      <c r="A236" s="20" t="s">
        <v>602</v>
      </c>
      <c r="B236" s="20" t="s">
        <v>603</v>
      </c>
      <c r="C236" s="89">
        <v>232.86</v>
      </c>
      <c r="D236" s="90">
        <v>0.25</v>
      </c>
      <c r="E236" s="89">
        <f t="shared" si="1"/>
        <v>174.645</v>
      </c>
      <c r="F236" s="20" t="s">
        <v>131</v>
      </c>
      <c r="G236" s="20" t="s">
        <v>132</v>
      </c>
    </row>
    <row r="237" ht="15.75" customHeight="1">
      <c r="A237" s="20" t="s">
        <v>604</v>
      </c>
      <c r="B237" s="20" t="s">
        <v>605</v>
      </c>
      <c r="C237" s="89">
        <v>80.73</v>
      </c>
      <c r="D237" s="90">
        <v>0.25</v>
      </c>
      <c r="E237" s="89">
        <f t="shared" si="1"/>
        <v>60.5475</v>
      </c>
      <c r="F237" s="20" t="s">
        <v>131</v>
      </c>
      <c r="G237" s="20" t="s">
        <v>132</v>
      </c>
    </row>
    <row r="238" ht="15.75" customHeight="1">
      <c r="A238" s="20" t="s">
        <v>606</v>
      </c>
      <c r="B238" s="20" t="s">
        <v>607</v>
      </c>
      <c r="C238" s="89">
        <v>121.08</v>
      </c>
      <c r="D238" s="90">
        <v>0.25</v>
      </c>
      <c r="E238" s="89">
        <f t="shared" si="1"/>
        <v>90.81</v>
      </c>
      <c r="F238" s="20" t="s">
        <v>131</v>
      </c>
      <c r="G238" s="20" t="s">
        <v>132</v>
      </c>
    </row>
    <row r="239" ht="15.75" customHeight="1">
      <c r="A239" s="20" t="s">
        <v>608</v>
      </c>
      <c r="B239" s="20" t="s">
        <v>609</v>
      </c>
      <c r="C239" s="89">
        <v>161.46</v>
      </c>
      <c r="D239" s="90">
        <v>0.25</v>
      </c>
      <c r="E239" s="89">
        <f t="shared" si="1"/>
        <v>121.095</v>
      </c>
      <c r="F239" s="20" t="s">
        <v>131</v>
      </c>
      <c r="G239" s="20" t="s">
        <v>132</v>
      </c>
    </row>
    <row r="240" ht="15.75" customHeight="1">
      <c r="A240" s="20" t="s">
        <v>610</v>
      </c>
      <c r="B240" s="20" t="s">
        <v>611</v>
      </c>
      <c r="C240" s="89">
        <v>242.18</v>
      </c>
      <c r="D240" s="90">
        <v>0.25</v>
      </c>
      <c r="E240" s="89">
        <f t="shared" si="1"/>
        <v>181.635</v>
      </c>
      <c r="F240" s="20" t="s">
        <v>131</v>
      </c>
      <c r="G240" s="20" t="s">
        <v>132</v>
      </c>
    </row>
    <row r="241" ht="15.75" customHeight="1">
      <c r="A241" s="20" t="s">
        <v>612</v>
      </c>
      <c r="B241" s="20" t="s">
        <v>613</v>
      </c>
      <c r="C241" s="89">
        <v>83.06</v>
      </c>
      <c r="D241" s="90">
        <v>0.25</v>
      </c>
      <c r="E241" s="89">
        <f t="shared" si="1"/>
        <v>62.295</v>
      </c>
      <c r="F241" s="20" t="s">
        <v>131</v>
      </c>
      <c r="G241" s="20" t="s">
        <v>132</v>
      </c>
    </row>
    <row r="242" ht="15.75" customHeight="1">
      <c r="A242" s="20" t="s">
        <v>614</v>
      </c>
      <c r="B242" s="20" t="s">
        <v>615</v>
      </c>
      <c r="C242" s="89">
        <v>124.58</v>
      </c>
      <c r="D242" s="90">
        <v>0.25</v>
      </c>
      <c r="E242" s="89">
        <f t="shared" si="1"/>
        <v>93.435</v>
      </c>
      <c r="F242" s="20" t="s">
        <v>131</v>
      </c>
      <c r="G242" s="20" t="s">
        <v>132</v>
      </c>
    </row>
    <row r="243" ht="15.75" customHeight="1">
      <c r="A243" s="20" t="s">
        <v>616</v>
      </c>
      <c r="B243" s="20" t="s">
        <v>617</v>
      </c>
      <c r="C243" s="89">
        <v>166.11</v>
      </c>
      <c r="D243" s="90">
        <v>0.25</v>
      </c>
      <c r="E243" s="89">
        <f t="shared" si="1"/>
        <v>124.5825</v>
      </c>
      <c r="F243" s="20" t="s">
        <v>131</v>
      </c>
      <c r="G243" s="20" t="s">
        <v>132</v>
      </c>
    </row>
    <row r="244" ht="15.75" customHeight="1">
      <c r="A244" s="20" t="s">
        <v>618</v>
      </c>
      <c r="B244" s="20" t="s">
        <v>619</v>
      </c>
      <c r="C244" s="89">
        <v>249.16</v>
      </c>
      <c r="D244" s="90">
        <v>0.25</v>
      </c>
      <c r="E244" s="89">
        <f t="shared" si="1"/>
        <v>186.87</v>
      </c>
      <c r="F244" s="20" t="s">
        <v>131</v>
      </c>
      <c r="G244" s="20" t="s">
        <v>132</v>
      </c>
    </row>
    <row r="245" ht="15.75" customHeight="1">
      <c r="A245" s="20" t="s">
        <v>620</v>
      </c>
      <c r="B245" s="20" t="s">
        <v>621</v>
      </c>
      <c r="C245" s="89">
        <v>93.15</v>
      </c>
      <c r="D245" s="90">
        <v>0.25</v>
      </c>
      <c r="E245" s="89">
        <f t="shared" si="1"/>
        <v>69.8625</v>
      </c>
      <c r="F245" s="20" t="s">
        <v>131</v>
      </c>
      <c r="G245" s="20" t="s">
        <v>132</v>
      </c>
    </row>
    <row r="246" ht="15.75" customHeight="1">
      <c r="A246" s="20" t="s">
        <v>622</v>
      </c>
      <c r="B246" s="20" t="s">
        <v>623</v>
      </c>
      <c r="C246" s="89">
        <v>139.71</v>
      </c>
      <c r="D246" s="90">
        <v>0.25</v>
      </c>
      <c r="E246" s="89">
        <f t="shared" si="1"/>
        <v>104.7825</v>
      </c>
      <c r="F246" s="20" t="s">
        <v>131</v>
      </c>
      <c r="G246" s="20" t="s">
        <v>132</v>
      </c>
    </row>
    <row r="247" ht="15.75" customHeight="1">
      <c r="A247" s="20" t="s">
        <v>624</v>
      </c>
      <c r="B247" s="20" t="s">
        <v>625</v>
      </c>
      <c r="C247" s="89">
        <v>186.3</v>
      </c>
      <c r="D247" s="90">
        <v>0.25</v>
      </c>
      <c r="E247" s="89">
        <f t="shared" si="1"/>
        <v>139.725</v>
      </c>
      <c r="F247" s="20" t="s">
        <v>131</v>
      </c>
      <c r="G247" s="20" t="s">
        <v>132</v>
      </c>
    </row>
    <row r="248" ht="15.75" customHeight="1">
      <c r="A248" s="20" t="s">
        <v>626</v>
      </c>
      <c r="B248" s="20" t="s">
        <v>627</v>
      </c>
      <c r="C248" s="89">
        <v>279.43</v>
      </c>
      <c r="D248" s="90">
        <v>0.25</v>
      </c>
      <c r="E248" s="89">
        <f t="shared" si="1"/>
        <v>209.5725</v>
      </c>
      <c r="F248" s="20" t="s">
        <v>131</v>
      </c>
      <c r="G248" s="20" t="s">
        <v>132</v>
      </c>
    </row>
    <row r="249" ht="15.75" customHeight="1">
      <c r="A249" s="20" t="s">
        <v>628</v>
      </c>
      <c r="B249" s="20" t="s">
        <v>629</v>
      </c>
      <c r="C249" s="89">
        <v>85.39</v>
      </c>
      <c r="D249" s="90">
        <v>0.25</v>
      </c>
      <c r="E249" s="89">
        <f t="shared" si="1"/>
        <v>64.0425</v>
      </c>
      <c r="F249" s="20" t="s">
        <v>131</v>
      </c>
      <c r="G249" s="20" t="s">
        <v>132</v>
      </c>
    </row>
    <row r="250" ht="15.75" customHeight="1">
      <c r="A250" s="20" t="s">
        <v>630</v>
      </c>
      <c r="B250" s="20" t="s">
        <v>631</v>
      </c>
      <c r="C250" s="89">
        <v>128.06</v>
      </c>
      <c r="D250" s="90">
        <v>0.25</v>
      </c>
      <c r="E250" s="89">
        <f t="shared" si="1"/>
        <v>96.045</v>
      </c>
      <c r="F250" s="20" t="s">
        <v>131</v>
      </c>
      <c r="G250" s="20" t="s">
        <v>132</v>
      </c>
    </row>
    <row r="251" ht="15.75" customHeight="1">
      <c r="A251" s="20" t="s">
        <v>632</v>
      </c>
      <c r="B251" s="20" t="s">
        <v>633</v>
      </c>
      <c r="C251" s="89">
        <v>170.76</v>
      </c>
      <c r="D251" s="90">
        <v>0.25</v>
      </c>
      <c r="E251" s="89">
        <f t="shared" si="1"/>
        <v>128.07</v>
      </c>
      <c r="F251" s="20" t="s">
        <v>131</v>
      </c>
      <c r="G251" s="20" t="s">
        <v>132</v>
      </c>
    </row>
    <row r="252" ht="15.75" customHeight="1">
      <c r="A252" s="20" t="s">
        <v>634</v>
      </c>
      <c r="B252" s="20" t="s">
        <v>635</v>
      </c>
      <c r="C252" s="89">
        <v>256.15</v>
      </c>
      <c r="D252" s="90">
        <v>0.25</v>
      </c>
      <c r="E252" s="89">
        <f t="shared" si="1"/>
        <v>192.1125</v>
      </c>
      <c r="F252" s="20" t="s">
        <v>131</v>
      </c>
      <c r="G252" s="20" t="s">
        <v>132</v>
      </c>
    </row>
    <row r="253" ht="15.75" customHeight="1">
      <c r="A253" s="20" t="s">
        <v>636</v>
      </c>
      <c r="B253" s="20" t="s">
        <v>637</v>
      </c>
      <c r="C253" s="89">
        <v>89.28</v>
      </c>
      <c r="D253" s="90">
        <v>0.25</v>
      </c>
      <c r="E253" s="89">
        <f t="shared" si="1"/>
        <v>66.96</v>
      </c>
      <c r="F253" s="20" t="s">
        <v>131</v>
      </c>
      <c r="G253" s="20" t="s">
        <v>132</v>
      </c>
    </row>
    <row r="254" ht="15.75" customHeight="1">
      <c r="A254" s="20" t="s">
        <v>638</v>
      </c>
      <c r="B254" s="20" t="s">
        <v>639</v>
      </c>
      <c r="C254" s="89">
        <v>133.89</v>
      </c>
      <c r="D254" s="90">
        <v>0.25</v>
      </c>
      <c r="E254" s="89">
        <f t="shared" si="1"/>
        <v>100.4175</v>
      </c>
      <c r="F254" s="20" t="s">
        <v>131</v>
      </c>
      <c r="G254" s="20" t="s">
        <v>132</v>
      </c>
    </row>
    <row r="255" ht="15.75" customHeight="1">
      <c r="A255" s="20" t="s">
        <v>640</v>
      </c>
      <c r="B255" s="20" t="s">
        <v>641</v>
      </c>
      <c r="C255" s="89">
        <v>178.53</v>
      </c>
      <c r="D255" s="90">
        <v>0.25</v>
      </c>
      <c r="E255" s="89">
        <f t="shared" si="1"/>
        <v>133.8975</v>
      </c>
      <c r="F255" s="20" t="s">
        <v>131</v>
      </c>
      <c r="G255" s="20" t="s">
        <v>132</v>
      </c>
    </row>
    <row r="256" ht="15.75" customHeight="1">
      <c r="A256" s="20" t="s">
        <v>642</v>
      </c>
      <c r="B256" s="20" t="s">
        <v>643</v>
      </c>
      <c r="C256" s="89">
        <v>267.78</v>
      </c>
      <c r="D256" s="90">
        <v>0.25</v>
      </c>
      <c r="E256" s="89">
        <f t="shared" si="1"/>
        <v>200.835</v>
      </c>
      <c r="F256" s="20" t="s">
        <v>131</v>
      </c>
      <c r="G256" s="20" t="s">
        <v>132</v>
      </c>
    </row>
    <row r="257" ht="15.75" customHeight="1">
      <c r="A257" s="20" t="s">
        <v>644</v>
      </c>
      <c r="B257" s="20" t="s">
        <v>645</v>
      </c>
      <c r="C257" s="89">
        <v>153.91</v>
      </c>
      <c r="D257" s="90">
        <v>0.25</v>
      </c>
      <c r="E257" s="89">
        <f t="shared" si="1"/>
        <v>115.4325</v>
      </c>
      <c r="F257" s="20" t="s">
        <v>131</v>
      </c>
      <c r="G257" s="20" t="s">
        <v>132</v>
      </c>
    </row>
    <row r="258" ht="15.75" customHeight="1">
      <c r="A258" s="20" t="s">
        <v>646</v>
      </c>
      <c r="B258" s="20" t="s">
        <v>647</v>
      </c>
      <c r="C258" s="89">
        <v>230.87</v>
      </c>
      <c r="D258" s="90">
        <v>0.25</v>
      </c>
      <c r="E258" s="89">
        <f t="shared" si="1"/>
        <v>173.1525</v>
      </c>
      <c r="F258" s="20" t="s">
        <v>131</v>
      </c>
      <c r="G258" s="20" t="s">
        <v>132</v>
      </c>
    </row>
    <row r="259" ht="15.75" customHeight="1">
      <c r="A259" s="20" t="s">
        <v>648</v>
      </c>
      <c r="B259" s="20" t="s">
        <v>649</v>
      </c>
      <c r="C259" s="89">
        <v>307.82</v>
      </c>
      <c r="D259" s="90">
        <v>0.25</v>
      </c>
      <c r="E259" s="89">
        <f t="shared" si="1"/>
        <v>230.865</v>
      </c>
      <c r="F259" s="20" t="s">
        <v>131</v>
      </c>
      <c r="G259" s="20" t="s">
        <v>132</v>
      </c>
    </row>
    <row r="260" ht="15.75" customHeight="1">
      <c r="A260" s="20" t="s">
        <v>650</v>
      </c>
      <c r="B260" s="20" t="s">
        <v>651</v>
      </c>
      <c r="C260" s="89">
        <v>461.74</v>
      </c>
      <c r="D260" s="90">
        <v>0.25</v>
      </c>
      <c r="E260" s="89">
        <f t="shared" si="1"/>
        <v>346.305</v>
      </c>
      <c r="F260" s="20" t="s">
        <v>131</v>
      </c>
      <c r="G260" s="20" t="s">
        <v>132</v>
      </c>
    </row>
    <row r="261" ht="15.75" customHeight="1">
      <c r="A261" s="20" t="s">
        <v>652</v>
      </c>
      <c r="B261" s="20" t="s">
        <v>653</v>
      </c>
      <c r="C261" s="89">
        <v>160.07</v>
      </c>
      <c r="D261" s="90">
        <v>0.25</v>
      </c>
      <c r="E261" s="89">
        <f t="shared" si="1"/>
        <v>120.0525</v>
      </c>
      <c r="F261" s="20" t="s">
        <v>131</v>
      </c>
      <c r="G261" s="20" t="s">
        <v>132</v>
      </c>
    </row>
    <row r="262" ht="15.75" customHeight="1">
      <c r="A262" s="20" t="s">
        <v>654</v>
      </c>
      <c r="B262" s="20" t="s">
        <v>655</v>
      </c>
      <c r="C262" s="89">
        <v>240.11</v>
      </c>
      <c r="D262" s="90">
        <v>0.25</v>
      </c>
      <c r="E262" s="89">
        <f t="shared" si="1"/>
        <v>180.0825</v>
      </c>
      <c r="F262" s="20" t="s">
        <v>131</v>
      </c>
      <c r="G262" s="20" t="s">
        <v>132</v>
      </c>
    </row>
    <row r="263" ht="15.75" customHeight="1">
      <c r="A263" s="20" t="s">
        <v>656</v>
      </c>
      <c r="B263" s="20" t="s">
        <v>657</v>
      </c>
      <c r="C263" s="89">
        <v>320.13</v>
      </c>
      <c r="D263" s="90">
        <v>0.25</v>
      </c>
      <c r="E263" s="89">
        <f t="shared" si="1"/>
        <v>240.0975</v>
      </c>
      <c r="F263" s="20" t="s">
        <v>131</v>
      </c>
      <c r="G263" s="20" t="s">
        <v>132</v>
      </c>
    </row>
    <row r="264" ht="15.75" customHeight="1">
      <c r="A264" s="20" t="s">
        <v>658</v>
      </c>
      <c r="B264" s="20" t="s">
        <v>659</v>
      </c>
      <c r="C264" s="89">
        <v>480.21</v>
      </c>
      <c r="D264" s="90">
        <v>0.25</v>
      </c>
      <c r="E264" s="89">
        <f t="shared" si="1"/>
        <v>360.1575</v>
      </c>
      <c r="F264" s="20" t="s">
        <v>131</v>
      </c>
      <c r="G264" s="20" t="s">
        <v>132</v>
      </c>
    </row>
    <row r="265" ht="15.75" customHeight="1">
      <c r="A265" s="20" t="s">
        <v>660</v>
      </c>
      <c r="B265" s="20" t="s">
        <v>661</v>
      </c>
      <c r="C265" s="89">
        <v>164.68</v>
      </c>
      <c r="D265" s="90">
        <v>0.25</v>
      </c>
      <c r="E265" s="89">
        <f t="shared" si="1"/>
        <v>123.51</v>
      </c>
      <c r="F265" s="20" t="s">
        <v>131</v>
      </c>
      <c r="G265" s="20" t="s">
        <v>132</v>
      </c>
    </row>
    <row r="266" ht="15.75" customHeight="1">
      <c r="A266" s="20" t="s">
        <v>662</v>
      </c>
      <c r="B266" s="20" t="s">
        <v>663</v>
      </c>
      <c r="C266" s="89">
        <v>247.03</v>
      </c>
      <c r="D266" s="90">
        <v>0.25</v>
      </c>
      <c r="E266" s="89">
        <f t="shared" si="1"/>
        <v>185.2725</v>
      </c>
      <c r="F266" s="20" t="s">
        <v>131</v>
      </c>
      <c r="G266" s="20" t="s">
        <v>132</v>
      </c>
    </row>
    <row r="267" ht="15.75" customHeight="1">
      <c r="A267" s="20" t="s">
        <v>664</v>
      </c>
      <c r="B267" s="20" t="s">
        <v>665</v>
      </c>
      <c r="C267" s="89">
        <v>329.37</v>
      </c>
      <c r="D267" s="90">
        <v>0.25</v>
      </c>
      <c r="E267" s="89">
        <f t="shared" si="1"/>
        <v>247.0275</v>
      </c>
      <c r="F267" s="20" t="s">
        <v>131</v>
      </c>
      <c r="G267" s="20" t="s">
        <v>132</v>
      </c>
    </row>
    <row r="268" ht="15.75" customHeight="1">
      <c r="A268" s="20" t="s">
        <v>666</v>
      </c>
      <c r="B268" s="20" t="s">
        <v>667</v>
      </c>
      <c r="C268" s="89">
        <v>494.05</v>
      </c>
      <c r="D268" s="90">
        <v>0.25</v>
      </c>
      <c r="E268" s="89">
        <f t="shared" si="1"/>
        <v>370.5375</v>
      </c>
      <c r="F268" s="20" t="s">
        <v>131</v>
      </c>
      <c r="G268" s="20" t="s">
        <v>132</v>
      </c>
    </row>
    <row r="269" ht="15.75" customHeight="1">
      <c r="A269" s="20" t="s">
        <v>668</v>
      </c>
      <c r="B269" s="20" t="s">
        <v>669</v>
      </c>
      <c r="C269" s="89">
        <v>184.69</v>
      </c>
      <c r="D269" s="90">
        <v>0.25</v>
      </c>
      <c r="E269" s="89">
        <f t="shared" si="1"/>
        <v>138.5175</v>
      </c>
      <c r="F269" s="20" t="s">
        <v>131</v>
      </c>
      <c r="G269" s="20" t="s">
        <v>132</v>
      </c>
    </row>
    <row r="270" ht="15.75" customHeight="1">
      <c r="A270" s="20" t="s">
        <v>670</v>
      </c>
      <c r="B270" s="20" t="s">
        <v>671</v>
      </c>
      <c r="C270" s="89">
        <v>277.05</v>
      </c>
      <c r="D270" s="90">
        <v>0.25</v>
      </c>
      <c r="E270" s="89">
        <f t="shared" si="1"/>
        <v>207.7875</v>
      </c>
      <c r="F270" s="20" t="s">
        <v>131</v>
      </c>
      <c r="G270" s="20" t="s">
        <v>132</v>
      </c>
    </row>
    <row r="271" ht="15.75" customHeight="1">
      <c r="A271" s="20" t="s">
        <v>672</v>
      </c>
      <c r="B271" s="20" t="s">
        <v>673</v>
      </c>
      <c r="C271" s="89">
        <v>369.39</v>
      </c>
      <c r="D271" s="90">
        <v>0.25</v>
      </c>
      <c r="E271" s="89">
        <f t="shared" si="1"/>
        <v>277.0425</v>
      </c>
      <c r="F271" s="20" t="s">
        <v>131</v>
      </c>
      <c r="G271" s="20" t="s">
        <v>132</v>
      </c>
    </row>
    <row r="272" ht="15.75" customHeight="1">
      <c r="A272" s="20" t="s">
        <v>674</v>
      </c>
      <c r="B272" s="20" t="s">
        <v>675</v>
      </c>
      <c r="C272" s="89">
        <v>554.08</v>
      </c>
      <c r="D272" s="90">
        <v>0.25</v>
      </c>
      <c r="E272" s="89">
        <f t="shared" si="1"/>
        <v>415.56</v>
      </c>
      <c r="F272" s="20" t="s">
        <v>131</v>
      </c>
      <c r="G272" s="20" t="s">
        <v>132</v>
      </c>
    </row>
    <row r="273" ht="15.75" customHeight="1">
      <c r="A273" s="20" t="s">
        <v>676</v>
      </c>
      <c r="B273" s="20" t="s">
        <v>677</v>
      </c>
      <c r="C273" s="89">
        <v>169.3</v>
      </c>
      <c r="D273" s="90">
        <v>0.25</v>
      </c>
      <c r="E273" s="89">
        <f t="shared" si="1"/>
        <v>126.975</v>
      </c>
      <c r="F273" s="20" t="s">
        <v>131</v>
      </c>
      <c r="G273" s="20" t="s">
        <v>132</v>
      </c>
    </row>
    <row r="274" ht="15.75" customHeight="1">
      <c r="A274" s="20" t="s">
        <v>678</v>
      </c>
      <c r="B274" s="20" t="s">
        <v>679</v>
      </c>
      <c r="C274" s="89">
        <v>253.96</v>
      </c>
      <c r="D274" s="90">
        <v>0.25</v>
      </c>
      <c r="E274" s="89">
        <f t="shared" si="1"/>
        <v>190.47</v>
      </c>
      <c r="F274" s="20" t="s">
        <v>131</v>
      </c>
      <c r="G274" s="20" t="s">
        <v>132</v>
      </c>
    </row>
    <row r="275" ht="15.75" customHeight="1">
      <c r="A275" s="20" t="s">
        <v>680</v>
      </c>
      <c r="B275" s="20" t="s">
        <v>681</v>
      </c>
      <c r="C275" s="89">
        <v>338.6</v>
      </c>
      <c r="D275" s="90">
        <v>0.25</v>
      </c>
      <c r="E275" s="89">
        <f t="shared" si="1"/>
        <v>253.95</v>
      </c>
      <c r="F275" s="20" t="s">
        <v>131</v>
      </c>
      <c r="G275" s="20" t="s">
        <v>132</v>
      </c>
    </row>
    <row r="276" ht="15.75" customHeight="1">
      <c r="A276" s="20" t="s">
        <v>682</v>
      </c>
      <c r="B276" s="20" t="s">
        <v>683</v>
      </c>
      <c r="C276" s="89">
        <v>507.91</v>
      </c>
      <c r="D276" s="90">
        <v>0.25</v>
      </c>
      <c r="E276" s="89">
        <f t="shared" si="1"/>
        <v>380.9325</v>
      </c>
      <c r="F276" s="20" t="s">
        <v>131</v>
      </c>
      <c r="G276" s="20" t="s">
        <v>132</v>
      </c>
    </row>
    <row r="277" ht="15.75" customHeight="1">
      <c r="A277" s="20" t="s">
        <v>684</v>
      </c>
      <c r="B277" s="20" t="s">
        <v>685</v>
      </c>
      <c r="C277" s="89">
        <v>177.0</v>
      </c>
      <c r="D277" s="90">
        <v>0.25</v>
      </c>
      <c r="E277" s="89">
        <f t="shared" si="1"/>
        <v>132.75</v>
      </c>
      <c r="F277" s="20" t="s">
        <v>131</v>
      </c>
      <c r="G277" s="20" t="s">
        <v>132</v>
      </c>
    </row>
    <row r="278" ht="15.75" customHeight="1">
      <c r="A278" s="20" t="s">
        <v>686</v>
      </c>
      <c r="B278" s="20" t="s">
        <v>687</v>
      </c>
      <c r="C278" s="89">
        <v>265.5</v>
      </c>
      <c r="D278" s="90">
        <v>0.25</v>
      </c>
      <c r="E278" s="89">
        <f t="shared" si="1"/>
        <v>199.125</v>
      </c>
      <c r="F278" s="20" t="s">
        <v>131</v>
      </c>
      <c r="G278" s="20" t="s">
        <v>132</v>
      </c>
    </row>
    <row r="279" ht="15.75" customHeight="1">
      <c r="A279" s="20" t="s">
        <v>688</v>
      </c>
      <c r="B279" s="20" t="s">
        <v>689</v>
      </c>
      <c r="C279" s="89">
        <v>354.0</v>
      </c>
      <c r="D279" s="90">
        <v>0.25</v>
      </c>
      <c r="E279" s="89">
        <f t="shared" si="1"/>
        <v>265.5</v>
      </c>
      <c r="F279" s="20" t="s">
        <v>131</v>
      </c>
      <c r="G279" s="20" t="s">
        <v>132</v>
      </c>
    </row>
    <row r="280" ht="15.75" customHeight="1">
      <c r="A280" s="20" t="s">
        <v>690</v>
      </c>
      <c r="B280" s="20" t="s">
        <v>691</v>
      </c>
      <c r="C280" s="89">
        <v>530.99</v>
      </c>
      <c r="D280" s="90">
        <v>0.25</v>
      </c>
      <c r="E280" s="89">
        <f t="shared" si="1"/>
        <v>398.2425</v>
      </c>
      <c r="F280" s="20" t="s">
        <v>131</v>
      </c>
      <c r="G280" s="20" t="s">
        <v>132</v>
      </c>
    </row>
    <row r="281" ht="15.75" customHeight="1">
      <c r="A281" s="20" t="s">
        <v>692</v>
      </c>
      <c r="B281" s="20" t="s">
        <v>693</v>
      </c>
      <c r="C281" s="89">
        <v>15.65</v>
      </c>
      <c r="D281" s="90">
        <v>0.25</v>
      </c>
      <c r="E281" s="89">
        <f t="shared" si="1"/>
        <v>11.7375</v>
      </c>
      <c r="F281" s="20" t="s">
        <v>131</v>
      </c>
      <c r="G281" s="20" t="s">
        <v>132</v>
      </c>
    </row>
    <row r="282" ht="15.75" customHeight="1">
      <c r="A282" s="20" t="s">
        <v>35</v>
      </c>
      <c r="B282" s="20" t="s">
        <v>694</v>
      </c>
      <c r="C282" s="89">
        <v>1.89</v>
      </c>
      <c r="D282" s="90">
        <v>0.25</v>
      </c>
      <c r="E282" s="89">
        <f t="shared" si="1"/>
        <v>1.4175</v>
      </c>
      <c r="F282" s="20" t="s">
        <v>127</v>
      </c>
      <c r="G282" s="20" t="s">
        <v>128</v>
      </c>
    </row>
    <row r="283" ht="15.75" customHeight="1">
      <c r="A283" s="20" t="s">
        <v>695</v>
      </c>
      <c r="B283" s="20" t="s">
        <v>696</v>
      </c>
      <c r="C283" s="89">
        <v>15.55</v>
      </c>
      <c r="D283" s="90">
        <v>0.25</v>
      </c>
      <c r="E283" s="89">
        <f t="shared" si="1"/>
        <v>11.6625</v>
      </c>
      <c r="F283" s="20" t="s">
        <v>131</v>
      </c>
      <c r="G283" s="20" t="s">
        <v>132</v>
      </c>
    </row>
    <row r="284" ht="15.75" customHeight="1">
      <c r="A284" s="20" t="s">
        <v>36</v>
      </c>
      <c r="B284" s="20" t="s">
        <v>697</v>
      </c>
      <c r="C284" s="89">
        <v>4.57</v>
      </c>
      <c r="D284" s="90">
        <v>0.25</v>
      </c>
      <c r="E284" s="89">
        <f t="shared" si="1"/>
        <v>3.4275</v>
      </c>
      <c r="F284" s="20" t="s">
        <v>127</v>
      </c>
      <c r="G284" s="20" t="s">
        <v>128</v>
      </c>
    </row>
    <row r="285" ht="15.75" customHeight="1">
      <c r="A285" s="20" t="s">
        <v>698</v>
      </c>
      <c r="B285" s="20" t="s">
        <v>699</v>
      </c>
      <c r="C285" s="89">
        <v>173.75</v>
      </c>
      <c r="D285" s="90">
        <v>0.25</v>
      </c>
      <c r="E285" s="89">
        <f t="shared" si="1"/>
        <v>130.3125</v>
      </c>
      <c r="F285" s="20" t="s">
        <v>131</v>
      </c>
      <c r="G285" s="20" t="s">
        <v>132</v>
      </c>
    </row>
    <row r="286" ht="15.75" customHeight="1">
      <c r="A286" s="20" t="s">
        <v>700</v>
      </c>
      <c r="B286" s="20" t="s">
        <v>701</v>
      </c>
      <c r="C286" s="89">
        <v>173.75</v>
      </c>
      <c r="D286" s="90">
        <v>0.25</v>
      </c>
      <c r="E286" s="89">
        <f t="shared" si="1"/>
        <v>130.3125</v>
      </c>
      <c r="F286" s="20" t="s">
        <v>131</v>
      </c>
      <c r="G286" s="20" t="s">
        <v>132</v>
      </c>
    </row>
    <row r="287" ht="15.75" customHeight="1">
      <c r="A287" s="20" t="s">
        <v>702</v>
      </c>
      <c r="B287" s="20" t="s">
        <v>703</v>
      </c>
      <c r="C287" s="89">
        <v>173.75</v>
      </c>
      <c r="D287" s="90">
        <v>0.25</v>
      </c>
      <c r="E287" s="89">
        <f t="shared" si="1"/>
        <v>130.3125</v>
      </c>
      <c r="F287" s="20" t="s">
        <v>131</v>
      </c>
      <c r="G287" s="20" t="s">
        <v>132</v>
      </c>
    </row>
    <row r="288" ht="15.75" customHeight="1">
      <c r="A288" s="20" t="s">
        <v>704</v>
      </c>
      <c r="B288" s="20" t="s">
        <v>705</v>
      </c>
      <c r="C288" s="89">
        <v>152.02</v>
      </c>
      <c r="D288" s="90">
        <v>0.25</v>
      </c>
      <c r="E288" s="89">
        <f t="shared" si="1"/>
        <v>114.015</v>
      </c>
      <c r="F288" s="20" t="s">
        <v>131</v>
      </c>
      <c r="G288" s="20" t="s">
        <v>132</v>
      </c>
    </row>
    <row r="289" ht="15.75" customHeight="1">
      <c r="A289" s="20" t="s">
        <v>706</v>
      </c>
      <c r="B289" s="20" t="s">
        <v>707</v>
      </c>
      <c r="C289" s="89">
        <v>292.39</v>
      </c>
      <c r="D289" s="90">
        <v>0.25</v>
      </c>
      <c r="E289" s="89">
        <f t="shared" si="1"/>
        <v>219.2925</v>
      </c>
      <c r="F289" s="20" t="s">
        <v>131</v>
      </c>
      <c r="G289" s="20" t="s">
        <v>132</v>
      </c>
    </row>
    <row r="290" ht="15.75" customHeight="1">
      <c r="A290" s="20" t="s">
        <v>708</v>
      </c>
      <c r="B290" s="20" t="s">
        <v>709</v>
      </c>
      <c r="C290" s="89">
        <v>292.39</v>
      </c>
      <c r="D290" s="90">
        <v>0.25</v>
      </c>
      <c r="E290" s="89">
        <f t="shared" si="1"/>
        <v>219.2925</v>
      </c>
      <c r="F290" s="20" t="s">
        <v>131</v>
      </c>
      <c r="G290" s="20" t="s">
        <v>132</v>
      </c>
    </row>
    <row r="291" ht="15.75" customHeight="1">
      <c r="A291" s="20" t="s">
        <v>710</v>
      </c>
      <c r="B291" s="20" t="s">
        <v>711</v>
      </c>
      <c r="C291" s="89">
        <v>0.0</v>
      </c>
      <c r="D291" s="90">
        <v>0.25</v>
      </c>
      <c r="E291" s="89">
        <f t="shared" si="1"/>
        <v>0</v>
      </c>
      <c r="F291" s="20" t="s">
        <v>131</v>
      </c>
      <c r="G291" s="20" t="s">
        <v>132</v>
      </c>
    </row>
    <row r="292" ht="15.75" customHeight="1">
      <c r="A292" s="20" t="s">
        <v>712</v>
      </c>
      <c r="B292" s="20" t="s">
        <v>713</v>
      </c>
      <c r="C292" s="89">
        <v>0.0</v>
      </c>
      <c r="D292" s="90">
        <v>0.25</v>
      </c>
      <c r="E292" s="89">
        <f t="shared" si="1"/>
        <v>0</v>
      </c>
      <c r="F292" s="20" t="s">
        <v>131</v>
      </c>
      <c r="G292" s="20" t="s">
        <v>132</v>
      </c>
    </row>
    <row r="293" ht="15.75" customHeight="1">
      <c r="A293" s="20" t="s">
        <v>714</v>
      </c>
      <c r="B293" s="20" t="s">
        <v>715</v>
      </c>
      <c r="C293" s="89">
        <v>304.08</v>
      </c>
      <c r="D293" s="90">
        <v>0.25</v>
      </c>
      <c r="E293" s="89">
        <f t="shared" si="1"/>
        <v>228.06</v>
      </c>
      <c r="F293" s="20" t="s">
        <v>131</v>
      </c>
      <c r="G293" s="20" t="s">
        <v>132</v>
      </c>
    </row>
    <row r="294" ht="15.75" customHeight="1">
      <c r="A294" s="20" t="s">
        <v>716</v>
      </c>
      <c r="B294" s="20" t="s">
        <v>717</v>
      </c>
      <c r="C294" s="89">
        <v>312.86</v>
      </c>
      <c r="D294" s="90">
        <v>0.25</v>
      </c>
      <c r="E294" s="89">
        <f t="shared" si="1"/>
        <v>234.645</v>
      </c>
      <c r="F294" s="20" t="s">
        <v>131</v>
      </c>
      <c r="G294" s="20" t="s">
        <v>132</v>
      </c>
    </row>
    <row r="295" ht="15.75" customHeight="1">
      <c r="A295" s="20" t="s">
        <v>718</v>
      </c>
      <c r="B295" s="20" t="s">
        <v>719</v>
      </c>
      <c r="C295" s="89">
        <v>350.87</v>
      </c>
      <c r="D295" s="90">
        <v>0.25</v>
      </c>
      <c r="E295" s="89">
        <f t="shared" si="1"/>
        <v>263.1525</v>
      </c>
      <c r="F295" s="20" t="s">
        <v>131</v>
      </c>
      <c r="G295" s="20" t="s">
        <v>132</v>
      </c>
    </row>
    <row r="296" ht="15.75" customHeight="1">
      <c r="A296" s="20" t="s">
        <v>720</v>
      </c>
      <c r="B296" s="20" t="s">
        <v>721</v>
      </c>
      <c r="C296" s="89">
        <v>321.63</v>
      </c>
      <c r="D296" s="90">
        <v>0.25</v>
      </c>
      <c r="E296" s="89">
        <f t="shared" si="1"/>
        <v>241.2225</v>
      </c>
      <c r="F296" s="20" t="s">
        <v>131</v>
      </c>
      <c r="G296" s="20" t="s">
        <v>132</v>
      </c>
    </row>
    <row r="297" ht="15.75" customHeight="1">
      <c r="A297" s="20" t="s">
        <v>722</v>
      </c>
      <c r="B297" s="20" t="s">
        <v>723</v>
      </c>
      <c r="C297" s="89">
        <v>336.25</v>
      </c>
      <c r="D297" s="90">
        <v>0.25</v>
      </c>
      <c r="E297" s="89">
        <f t="shared" si="1"/>
        <v>252.1875</v>
      </c>
      <c r="F297" s="20" t="s">
        <v>131</v>
      </c>
      <c r="G297" s="20" t="s">
        <v>132</v>
      </c>
    </row>
    <row r="298" ht="15.75" customHeight="1">
      <c r="A298" s="20" t="s">
        <v>724</v>
      </c>
      <c r="B298" s="20" t="s">
        <v>725</v>
      </c>
      <c r="C298" s="89">
        <v>292.39</v>
      </c>
      <c r="D298" s="90">
        <v>0.25</v>
      </c>
      <c r="E298" s="89">
        <f t="shared" si="1"/>
        <v>219.2925</v>
      </c>
      <c r="F298" s="20" t="s">
        <v>131</v>
      </c>
      <c r="G298" s="20" t="s">
        <v>132</v>
      </c>
    </row>
    <row r="299" ht="15.75" customHeight="1">
      <c r="A299" s="20" t="s">
        <v>726</v>
      </c>
      <c r="B299" s="20" t="s">
        <v>727</v>
      </c>
      <c r="C299" s="89">
        <v>292.39</v>
      </c>
      <c r="D299" s="90">
        <v>0.25</v>
      </c>
      <c r="E299" s="89">
        <f t="shared" si="1"/>
        <v>219.2925</v>
      </c>
      <c r="F299" s="20" t="s">
        <v>131</v>
      </c>
      <c r="G299" s="20" t="s">
        <v>132</v>
      </c>
    </row>
    <row r="300" ht="15.75" customHeight="1">
      <c r="A300" s="20" t="s">
        <v>728</v>
      </c>
      <c r="B300" s="20" t="s">
        <v>729</v>
      </c>
      <c r="C300" s="89">
        <v>292.39</v>
      </c>
      <c r="D300" s="90">
        <v>0.25</v>
      </c>
      <c r="E300" s="89">
        <f t="shared" si="1"/>
        <v>219.2925</v>
      </c>
      <c r="F300" s="20" t="s">
        <v>131</v>
      </c>
      <c r="G300" s="20" t="s">
        <v>132</v>
      </c>
    </row>
    <row r="301" ht="15.75" customHeight="1">
      <c r="A301" s="20" t="s">
        <v>730</v>
      </c>
      <c r="B301" s="20" t="s">
        <v>731</v>
      </c>
      <c r="C301" s="89">
        <v>292.39</v>
      </c>
      <c r="D301" s="90">
        <v>0.25</v>
      </c>
      <c r="E301" s="89">
        <f t="shared" si="1"/>
        <v>219.2925</v>
      </c>
      <c r="F301" s="20" t="s">
        <v>131</v>
      </c>
      <c r="G301" s="20" t="s">
        <v>132</v>
      </c>
    </row>
    <row r="302" ht="15.75" customHeight="1">
      <c r="A302" s="20" t="s">
        <v>732</v>
      </c>
      <c r="B302" s="20" t="s">
        <v>733</v>
      </c>
      <c r="C302" s="89">
        <v>292.39</v>
      </c>
      <c r="D302" s="90">
        <v>0.25</v>
      </c>
      <c r="E302" s="89">
        <f t="shared" si="1"/>
        <v>219.2925</v>
      </c>
      <c r="F302" s="20" t="s">
        <v>131</v>
      </c>
      <c r="G302" s="20" t="s">
        <v>132</v>
      </c>
    </row>
    <row r="303" ht="15.75" customHeight="1">
      <c r="A303" s="20" t="s">
        <v>734</v>
      </c>
      <c r="B303" s="20" t="s">
        <v>735</v>
      </c>
      <c r="C303" s="89">
        <v>292.39</v>
      </c>
      <c r="D303" s="90">
        <v>0.25</v>
      </c>
      <c r="E303" s="89">
        <f t="shared" si="1"/>
        <v>219.2925</v>
      </c>
      <c r="F303" s="20" t="s">
        <v>131</v>
      </c>
      <c r="G303" s="20" t="s">
        <v>132</v>
      </c>
    </row>
    <row r="304" ht="15.75" customHeight="1">
      <c r="A304" s="20" t="s">
        <v>736</v>
      </c>
      <c r="B304" s="20" t="s">
        <v>737</v>
      </c>
      <c r="C304" s="89">
        <v>292.39</v>
      </c>
      <c r="D304" s="90">
        <v>0.25</v>
      </c>
      <c r="E304" s="89">
        <f t="shared" si="1"/>
        <v>219.2925</v>
      </c>
      <c r="F304" s="20" t="s">
        <v>131</v>
      </c>
      <c r="G304" s="20" t="s">
        <v>132</v>
      </c>
    </row>
    <row r="305" ht="15.75" customHeight="1">
      <c r="A305" s="20" t="s">
        <v>738</v>
      </c>
      <c r="B305" s="20" t="s">
        <v>739</v>
      </c>
      <c r="C305" s="89">
        <v>292.39</v>
      </c>
      <c r="D305" s="90">
        <v>0.25</v>
      </c>
      <c r="E305" s="89">
        <f t="shared" si="1"/>
        <v>219.2925</v>
      </c>
      <c r="F305" s="20" t="s">
        <v>131</v>
      </c>
      <c r="G305" s="20" t="s">
        <v>132</v>
      </c>
    </row>
    <row r="306" ht="15.75" customHeight="1">
      <c r="A306" s="20" t="s">
        <v>740</v>
      </c>
      <c r="B306" s="20" t="s">
        <v>741</v>
      </c>
      <c r="C306" s="89">
        <v>292.39</v>
      </c>
      <c r="D306" s="90">
        <v>0.25</v>
      </c>
      <c r="E306" s="89">
        <f t="shared" si="1"/>
        <v>219.2925</v>
      </c>
      <c r="F306" s="20" t="s">
        <v>131</v>
      </c>
      <c r="G306" s="20" t="s">
        <v>132</v>
      </c>
    </row>
    <row r="307" ht="15.75" customHeight="1">
      <c r="A307" s="20" t="s">
        <v>742</v>
      </c>
      <c r="B307" s="20" t="s">
        <v>743</v>
      </c>
      <c r="C307" s="89">
        <v>0.0</v>
      </c>
      <c r="D307" s="90">
        <v>0.25</v>
      </c>
      <c r="E307" s="89">
        <f t="shared" si="1"/>
        <v>0</v>
      </c>
      <c r="F307" s="20" t="s">
        <v>131</v>
      </c>
      <c r="G307" s="20" t="s">
        <v>132</v>
      </c>
    </row>
    <row r="308" ht="15.75" customHeight="1">
      <c r="A308" s="20" t="s">
        <v>744</v>
      </c>
      <c r="B308" s="20" t="s">
        <v>745</v>
      </c>
      <c r="C308" s="89">
        <v>0.0</v>
      </c>
      <c r="D308" s="90">
        <v>0.25</v>
      </c>
      <c r="E308" s="89">
        <f t="shared" si="1"/>
        <v>0</v>
      </c>
      <c r="F308" s="20" t="s">
        <v>131</v>
      </c>
      <c r="G308" s="20" t="s">
        <v>132</v>
      </c>
    </row>
    <row r="309" ht="15.75" customHeight="1">
      <c r="A309" s="20" t="s">
        <v>746</v>
      </c>
      <c r="B309" s="20" t="s">
        <v>747</v>
      </c>
      <c r="C309" s="89">
        <v>304.08</v>
      </c>
      <c r="D309" s="90">
        <v>0.25</v>
      </c>
      <c r="E309" s="89">
        <f t="shared" si="1"/>
        <v>228.06</v>
      </c>
      <c r="F309" s="20" t="s">
        <v>131</v>
      </c>
      <c r="G309" s="20" t="s">
        <v>132</v>
      </c>
    </row>
    <row r="310" ht="15.75" customHeight="1">
      <c r="A310" s="20" t="s">
        <v>748</v>
      </c>
      <c r="B310" s="20" t="s">
        <v>749</v>
      </c>
      <c r="C310" s="89">
        <v>312.86</v>
      </c>
      <c r="D310" s="90">
        <v>0.25</v>
      </c>
      <c r="E310" s="89">
        <f t="shared" si="1"/>
        <v>234.645</v>
      </c>
      <c r="F310" s="20" t="s">
        <v>131</v>
      </c>
      <c r="G310" s="20" t="s">
        <v>132</v>
      </c>
    </row>
    <row r="311" ht="15.75" customHeight="1">
      <c r="A311" s="20" t="s">
        <v>750</v>
      </c>
      <c r="B311" s="20" t="s">
        <v>751</v>
      </c>
      <c r="C311" s="89">
        <v>350.87</v>
      </c>
      <c r="D311" s="90">
        <v>0.25</v>
      </c>
      <c r="E311" s="89">
        <f t="shared" si="1"/>
        <v>263.1525</v>
      </c>
      <c r="F311" s="20" t="s">
        <v>131</v>
      </c>
      <c r="G311" s="20" t="s">
        <v>132</v>
      </c>
    </row>
    <row r="312" ht="15.75" customHeight="1">
      <c r="A312" s="20" t="s">
        <v>752</v>
      </c>
      <c r="B312" s="20" t="s">
        <v>753</v>
      </c>
      <c r="C312" s="89">
        <v>321.63</v>
      </c>
      <c r="D312" s="90">
        <v>0.25</v>
      </c>
      <c r="E312" s="89">
        <f t="shared" si="1"/>
        <v>241.2225</v>
      </c>
      <c r="F312" s="20" t="s">
        <v>131</v>
      </c>
      <c r="G312" s="20" t="s">
        <v>132</v>
      </c>
    </row>
    <row r="313" ht="15.75" customHeight="1">
      <c r="A313" s="20" t="s">
        <v>754</v>
      </c>
      <c r="B313" s="20" t="s">
        <v>755</v>
      </c>
      <c r="C313" s="89">
        <v>336.25</v>
      </c>
      <c r="D313" s="90">
        <v>0.25</v>
      </c>
      <c r="E313" s="89">
        <f t="shared" si="1"/>
        <v>252.1875</v>
      </c>
      <c r="F313" s="20" t="s">
        <v>131</v>
      </c>
      <c r="G313" s="20" t="s">
        <v>132</v>
      </c>
    </row>
    <row r="314" ht="15.75" customHeight="1">
      <c r="A314" s="20" t="s">
        <v>756</v>
      </c>
      <c r="B314" s="20" t="s">
        <v>757</v>
      </c>
      <c r="C314" s="89">
        <v>292.39</v>
      </c>
      <c r="D314" s="90">
        <v>0.25</v>
      </c>
      <c r="E314" s="89">
        <f t="shared" si="1"/>
        <v>219.2925</v>
      </c>
      <c r="F314" s="20" t="s">
        <v>131</v>
      </c>
      <c r="G314" s="20" t="s">
        <v>132</v>
      </c>
    </row>
    <row r="315" ht="15.75" customHeight="1">
      <c r="A315" s="20" t="s">
        <v>758</v>
      </c>
      <c r="B315" s="20" t="s">
        <v>759</v>
      </c>
      <c r="C315" s="89">
        <v>292.39</v>
      </c>
      <c r="D315" s="90">
        <v>0.25</v>
      </c>
      <c r="E315" s="89">
        <f t="shared" si="1"/>
        <v>219.2925</v>
      </c>
      <c r="F315" s="20" t="s">
        <v>131</v>
      </c>
      <c r="G315" s="20" t="s">
        <v>132</v>
      </c>
    </row>
    <row r="316" ht="15.75" customHeight="1">
      <c r="A316" s="20" t="s">
        <v>760</v>
      </c>
      <c r="B316" s="20" t="s">
        <v>761</v>
      </c>
      <c r="C316" s="89">
        <v>292.39</v>
      </c>
      <c r="D316" s="90">
        <v>0.25</v>
      </c>
      <c r="E316" s="89">
        <f t="shared" si="1"/>
        <v>219.2925</v>
      </c>
      <c r="F316" s="20" t="s">
        <v>131</v>
      </c>
      <c r="G316" s="20" t="s">
        <v>132</v>
      </c>
    </row>
    <row r="317" ht="15.75" customHeight="1">
      <c r="A317" s="20" t="s">
        <v>762</v>
      </c>
      <c r="B317" s="20" t="s">
        <v>763</v>
      </c>
      <c r="C317" s="89">
        <v>292.39</v>
      </c>
      <c r="D317" s="90">
        <v>0.25</v>
      </c>
      <c r="E317" s="89">
        <f t="shared" si="1"/>
        <v>219.2925</v>
      </c>
      <c r="F317" s="20" t="s">
        <v>131</v>
      </c>
      <c r="G317" s="20" t="s">
        <v>132</v>
      </c>
    </row>
    <row r="318" ht="15.75" customHeight="1">
      <c r="A318" s="20" t="s">
        <v>764</v>
      </c>
      <c r="B318" s="20" t="s">
        <v>765</v>
      </c>
      <c r="C318" s="89">
        <v>292.39</v>
      </c>
      <c r="D318" s="90">
        <v>0.25</v>
      </c>
      <c r="E318" s="89">
        <f t="shared" si="1"/>
        <v>219.2925</v>
      </c>
      <c r="F318" s="20" t="s">
        <v>131</v>
      </c>
      <c r="G318" s="20" t="s">
        <v>132</v>
      </c>
    </row>
    <row r="319" ht="15.75" customHeight="1">
      <c r="A319" s="20" t="s">
        <v>1424</v>
      </c>
      <c r="B319" s="20" t="s">
        <v>1425</v>
      </c>
      <c r="C319" s="89">
        <v>292.39</v>
      </c>
      <c r="D319" s="90">
        <v>0.25</v>
      </c>
      <c r="E319" s="89">
        <f t="shared" si="1"/>
        <v>219.2925</v>
      </c>
      <c r="F319" s="20" t="s">
        <v>131</v>
      </c>
      <c r="G319" s="20" t="s">
        <v>132</v>
      </c>
    </row>
    <row r="320" ht="15.75" customHeight="1">
      <c r="A320" s="20" t="s">
        <v>768</v>
      </c>
      <c r="B320" s="20" t="s">
        <v>769</v>
      </c>
      <c r="C320" s="89">
        <v>58.2</v>
      </c>
      <c r="D320" s="90">
        <v>0.25</v>
      </c>
      <c r="E320" s="89">
        <f t="shared" si="1"/>
        <v>43.65</v>
      </c>
      <c r="F320" s="20" t="s">
        <v>131</v>
      </c>
      <c r="G320" s="20" t="s">
        <v>132</v>
      </c>
    </row>
    <row r="321" ht="15.75" customHeight="1">
      <c r="A321" s="20" t="s">
        <v>770</v>
      </c>
      <c r="B321" s="20" t="s">
        <v>771</v>
      </c>
      <c r="C321" s="89">
        <v>58.2</v>
      </c>
      <c r="D321" s="90">
        <v>0.25</v>
      </c>
      <c r="E321" s="89">
        <f t="shared" si="1"/>
        <v>43.65</v>
      </c>
      <c r="F321" s="20" t="s">
        <v>131</v>
      </c>
      <c r="G321" s="20" t="s">
        <v>132</v>
      </c>
    </row>
    <row r="322" ht="15.75" customHeight="1">
      <c r="A322" s="20" t="s">
        <v>772</v>
      </c>
      <c r="B322" s="20" t="s">
        <v>773</v>
      </c>
      <c r="C322" s="89">
        <v>58.18</v>
      </c>
      <c r="D322" s="90">
        <v>0.25</v>
      </c>
      <c r="E322" s="89">
        <f t="shared" si="1"/>
        <v>43.635</v>
      </c>
      <c r="F322" s="20" t="s">
        <v>131</v>
      </c>
      <c r="G322" s="20" t="s">
        <v>132</v>
      </c>
    </row>
    <row r="323" ht="15.75" customHeight="1">
      <c r="A323" s="20" t="s">
        <v>774</v>
      </c>
      <c r="B323" s="20" t="s">
        <v>775</v>
      </c>
      <c r="C323" s="89">
        <v>58.18</v>
      </c>
      <c r="D323" s="90">
        <v>0.25</v>
      </c>
      <c r="E323" s="89">
        <f t="shared" si="1"/>
        <v>43.635</v>
      </c>
      <c r="F323" s="20" t="s">
        <v>131</v>
      </c>
      <c r="G323" s="20" t="s">
        <v>132</v>
      </c>
    </row>
    <row r="324" ht="15.75" customHeight="1">
      <c r="A324" s="20" t="s">
        <v>776</v>
      </c>
      <c r="B324" s="20" t="s">
        <v>777</v>
      </c>
      <c r="C324" s="89">
        <v>1.57</v>
      </c>
      <c r="D324" s="90">
        <v>0.25</v>
      </c>
      <c r="E324" s="89">
        <f t="shared" si="1"/>
        <v>1.1775</v>
      </c>
      <c r="F324" s="20" t="s">
        <v>131</v>
      </c>
      <c r="G324" s="20" t="s">
        <v>132</v>
      </c>
    </row>
    <row r="325" ht="15.75" customHeight="1">
      <c r="A325" s="20" t="s">
        <v>778</v>
      </c>
      <c r="B325" s="20" t="s">
        <v>779</v>
      </c>
      <c r="C325" s="89">
        <v>11.48</v>
      </c>
      <c r="D325" s="90">
        <v>0.25</v>
      </c>
      <c r="E325" s="89">
        <f t="shared" si="1"/>
        <v>8.61</v>
      </c>
      <c r="F325" s="20" t="s">
        <v>131</v>
      </c>
      <c r="G325" s="20" t="s">
        <v>132</v>
      </c>
    </row>
    <row r="326" ht="15.75" customHeight="1">
      <c r="A326" s="20" t="s">
        <v>780</v>
      </c>
      <c r="B326" s="20" t="s">
        <v>781</v>
      </c>
      <c r="C326" s="89">
        <v>11.48</v>
      </c>
      <c r="D326" s="90">
        <v>0.25</v>
      </c>
      <c r="E326" s="89">
        <f t="shared" si="1"/>
        <v>8.61</v>
      </c>
      <c r="F326" s="20" t="s">
        <v>131</v>
      </c>
      <c r="G326" s="20" t="s">
        <v>132</v>
      </c>
    </row>
    <row r="327" ht="15.75" customHeight="1">
      <c r="A327" s="20" t="s">
        <v>782</v>
      </c>
      <c r="B327" s="20" t="s">
        <v>783</v>
      </c>
      <c r="C327" s="89">
        <v>0.0</v>
      </c>
      <c r="D327" s="90">
        <v>0.25</v>
      </c>
      <c r="E327" s="89">
        <f t="shared" si="1"/>
        <v>0</v>
      </c>
      <c r="F327" s="20" t="s">
        <v>131</v>
      </c>
      <c r="G327" s="20" t="s">
        <v>132</v>
      </c>
    </row>
    <row r="328" ht="15.75" customHeight="1">
      <c r="A328" s="20" t="s">
        <v>784</v>
      </c>
      <c r="B328" s="20" t="s">
        <v>785</v>
      </c>
      <c r="C328" s="89">
        <v>11.95</v>
      </c>
      <c r="D328" s="90">
        <v>0.25</v>
      </c>
      <c r="E328" s="89">
        <f t="shared" si="1"/>
        <v>8.9625</v>
      </c>
      <c r="F328" s="20" t="s">
        <v>131</v>
      </c>
      <c r="G328" s="20" t="s">
        <v>132</v>
      </c>
    </row>
    <row r="329" ht="15.75" customHeight="1">
      <c r="A329" s="20" t="s">
        <v>786</v>
      </c>
      <c r="B329" s="20" t="s">
        <v>787</v>
      </c>
      <c r="C329" s="89">
        <v>12.29</v>
      </c>
      <c r="D329" s="90">
        <v>0.25</v>
      </c>
      <c r="E329" s="89">
        <f t="shared" si="1"/>
        <v>9.2175</v>
      </c>
      <c r="F329" s="20" t="s">
        <v>131</v>
      </c>
      <c r="G329" s="20" t="s">
        <v>132</v>
      </c>
    </row>
    <row r="330" ht="15.75" customHeight="1">
      <c r="A330" s="20" t="s">
        <v>788</v>
      </c>
      <c r="B330" s="20" t="s">
        <v>789</v>
      </c>
      <c r="C330" s="89">
        <v>13.78</v>
      </c>
      <c r="D330" s="90">
        <v>0.25</v>
      </c>
      <c r="E330" s="89">
        <f t="shared" si="1"/>
        <v>10.335</v>
      </c>
      <c r="F330" s="20" t="s">
        <v>131</v>
      </c>
      <c r="G330" s="20" t="s">
        <v>132</v>
      </c>
    </row>
    <row r="331" ht="15.75" customHeight="1">
      <c r="A331" s="20" t="s">
        <v>790</v>
      </c>
      <c r="B331" s="20" t="s">
        <v>791</v>
      </c>
      <c r="C331" s="89">
        <v>12.63</v>
      </c>
      <c r="D331" s="90">
        <v>0.25</v>
      </c>
      <c r="E331" s="89">
        <f t="shared" si="1"/>
        <v>9.4725</v>
      </c>
      <c r="F331" s="20" t="s">
        <v>131</v>
      </c>
      <c r="G331" s="20" t="s">
        <v>132</v>
      </c>
    </row>
    <row r="332" ht="15.75" customHeight="1">
      <c r="A332" s="20" t="s">
        <v>792</v>
      </c>
      <c r="B332" s="20" t="s">
        <v>793</v>
      </c>
      <c r="C332" s="89">
        <v>13.21</v>
      </c>
      <c r="D332" s="90">
        <v>0.25</v>
      </c>
      <c r="E332" s="89">
        <f t="shared" si="1"/>
        <v>9.9075</v>
      </c>
      <c r="F332" s="20" t="s">
        <v>131</v>
      </c>
      <c r="G332" s="20" t="s">
        <v>132</v>
      </c>
    </row>
    <row r="333" ht="15.75" customHeight="1">
      <c r="A333" s="20" t="s">
        <v>794</v>
      </c>
      <c r="B333" s="20" t="s">
        <v>795</v>
      </c>
      <c r="C333" s="89">
        <v>11.48</v>
      </c>
      <c r="D333" s="90">
        <v>0.25</v>
      </c>
      <c r="E333" s="89">
        <f t="shared" si="1"/>
        <v>8.61</v>
      </c>
      <c r="F333" s="20" t="s">
        <v>131</v>
      </c>
      <c r="G333" s="20" t="s">
        <v>132</v>
      </c>
    </row>
    <row r="334" ht="15.75" customHeight="1">
      <c r="A334" s="20" t="s">
        <v>28</v>
      </c>
      <c r="B334" s="20" t="s">
        <v>796</v>
      </c>
      <c r="C334" s="89">
        <v>11.48</v>
      </c>
      <c r="D334" s="90">
        <v>0.25</v>
      </c>
      <c r="E334" s="89">
        <f t="shared" si="1"/>
        <v>8.61</v>
      </c>
      <c r="F334" s="20" t="s">
        <v>131</v>
      </c>
      <c r="G334" s="20" t="s">
        <v>132</v>
      </c>
    </row>
    <row r="335" ht="15.75" customHeight="1">
      <c r="A335" s="20" t="s">
        <v>797</v>
      </c>
      <c r="B335" s="20" t="s">
        <v>798</v>
      </c>
      <c r="C335" s="89">
        <v>18.48</v>
      </c>
      <c r="D335" s="90">
        <v>0.25</v>
      </c>
      <c r="E335" s="89">
        <f t="shared" si="1"/>
        <v>13.86</v>
      </c>
      <c r="F335" s="20" t="s">
        <v>131</v>
      </c>
      <c r="G335" s="20" t="s">
        <v>132</v>
      </c>
    </row>
    <row r="336" ht="15.75" customHeight="1">
      <c r="A336" s="20" t="s">
        <v>799</v>
      </c>
      <c r="B336" s="20" t="s">
        <v>800</v>
      </c>
      <c r="C336" s="89">
        <v>18.48</v>
      </c>
      <c r="D336" s="90">
        <v>0.25</v>
      </c>
      <c r="E336" s="89">
        <f t="shared" si="1"/>
        <v>13.86</v>
      </c>
      <c r="F336" s="20" t="s">
        <v>131</v>
      </c>
      <c r="G336" s="20" t="s">
        <v>132</v>
      </c>
    </row>
    <row r="337" ht="15.75" customHeight="1">
      <c r="A337" s="20" t="s">
        <v>801</v>
      </c>
      <c r="B337" s="20" t="s">
        <v>1426</v>
      </c>
      <c r="C337" s="89">
        <v>0.0</v>
      </c>
      <c r="D337" s="90">
        <v>0.25</v>
      </c>
      <c r="E337" s="89">
        <f t="shared" si="1"/>
        <v>0</v>
      </c>
      <c r="F337" s="20" t="s">
        <v>131</v>
      </c>
      <c r="G337" s="20" t="s">
        <v>132</v>
      </c>
    </row>
    <row r="338" ht="15.75" customHeight="1">
      <c r="A338" s="20" t="s">
        <v>803</v>
      </c>
      <c r="B338" s="20" t="s">
        <v>804</v>
      </c>
      <c r="C338" s="89">
        <v>18.48</v>
      </c>
      <c r="D338" s="90">
        <v>0.25</v>
      </c>
      <c r="E338" s="89">
        <f t="shared" si="1"/>
        <v>13.86</v>
      </c>
      <c r="F338" s="20" t="s">
        <v>131</v>
      </c>
      <c r="G338" s="20" t="s">
        <v>132</v>
      </c>
    </row>
    <row r="339" ht="15.75" customHeight="1">
      <c r="A339" s="20" t="s">
        <v>805</v>
      </c>
      <c r="B339" s="20" t="s">
        <v>806</v>
      </c>
      <c r="C339" s="89">
        <v>18.48</v>
      </c>
      <c r="D339" s="90">
        <v>0.25</v>
      </c>
      <c r="E339" s="89">
        <f t="shared" si="1"/>
        <v>13.86</v>
      </c>
      <c r="F339" s="20" t="s">
        <v>131</v>
      </c>
      <c r="G339" s="20" t="s">
        <v>132</v>
      </c>
    </row>
    <row r="340" ht="15.75" customHeight="1">
      <c r="A340" s="20" t="s">
        <v>807</v>
      </c>
      <c r="B340" s="20" t="s">
        <v>808</v>
      </c>
      <c r="C340" s="89">
        <v>18.48</v>
      </c>
      <c r="D340" s="90">
        <v>0.25</v>
      </c>
      <c r="E340" s="89">
        <f t="shared" si="1"/>
        <v>13.86</v>
      </c>
      <c r="F340" s="20" t="s">
        <v>131</v>
      </c>
      <c r="G340" s="20" t="s">
        <v>132</v>
      </c>
    </row>
    <row r="341" ht="15.75" customHeight="1">
      <c r="A341" s="20" t="s">
        <v>809</v>
      </c>
      <c r="B341" s="20" t="s">
        <v>810</v>
      </c>
      <c r="C341" s="89">
        <v>18.48</v>
      </c>
      <c r="D341" s="90">
        <v>0.25</v>
      </c>
      <c r="E341" s="89">
        <f t="shared" si="1"/>
        <v>13.86</v>
      </c>
      <c r="F341" s="20" t="s">
        <v>131</v>
      </c>
      <c r="G341" s="20" t="s">
        <v>132</v>
      </c>
    </row>
    <row r="342" ht="15.75" customHeight="1">
      <c r="A342" s="20" t="s">
        <v>811</v>
      </c>
      <c r="B342" s="20" t="s">
        <v>802</v>
      </c>
      <c r="C342" s="89">
        <v>0.0</v>
      </c>
      <c r="D342" s="90">
        <v>0.25</v>
      </c>
      <c r="E342" s="89">
        <f t="shared" si="1"/>
        <v>0</v>
      </c>
      <c r="F342" s="20" t="s">
        <v>131</v>
      </c>
      <c r="G342" s="20" t="s">
        <v>132</v>
      </c>
    </row>
    <row r="343" ht="15.75" customHeight="1">
      <c r="A343" s="20" t="s">
        <v>812</v>
      </c>
      <c r="B343" s="20" t="s">
        <v>813</v>
      </c>
      <c r="C343" s="89">
        <v>0.0</v>
      </c>
      <c r="D343" s="90">
        <v>0.25</v>
      </c>
      <c r="E343" s="89">
        <f t="shared" si="1"/>
        <v>0</v>
      </c>
      <c r="F343" s="20" t="s">
        <v>131</v>
      </c>
      <c r="G343" s="20" t="s">
        <v>132</v>
      </c>
    </row>
    <row r="344" ht="15.75" customHeight="1">
      <c r="A344" s="20" t="s">
        <v>814</v>
      </c>
      <c r="B344" s="20" t="s">
        <v>815</v>
      </c>
      <c r="C344" s="89">
        <v>18.48</v>
      </c>
      <c r="D344" s="90">
        <v>0.25</v>
      </c>
      <c r="E344" s="89">
        <f t="shared" si="1"/>
        <v>13.86</v>
      </c>
      <c r="F344" s="20" t="s">
        <v>131</v>
      </c>
      <c r="G344" s="20" t="s">
        <v>132</v>
      </c>
    </row>
    <row r="345" ht="15.75" customHeight="1">
      <c r="A345" s="20" t="s">
        <v>816</v>
      </c>
      <c r="B345" s="20" t="s">
        <v>817</v>
      </c>
      <c r="C345" s="89">
        <v>18.48</v>
      </c>
      <c r="D345" s="90">
        <v>0.25</v>
      </c>
      <c r="E345" s="89">
        <f t="shared" si="1"/>
        <v>13.86</v>
      </c>
      <c r="F345" s="20" t="s">
        <v>131</v>
      </c>
      <c r="G345" s="20" t="s">
        <v>132</v>
      </c>
    </row>
    <row r="346" ht="15.75" customHeight="1">
      <c r="A346" s="20" t="s">
        <v>24</v>
      </c>
      <c r="B346" s="20" t="s">
        <v>818</v>
      </c>
      <c r="C346" s="89">
        <v>22.18</v>
      </c>
      <c r="D346" s="90">
        <v>0.25</v>
      </c>
      <c r="E346" s="89">
        <f t="shared" si="1"/>
        <v>16.635</v>
      </c>
      <c r="F346" s="20" t="s">
        <v>131</v>
      </c>
      <c r="G346" s="20" t="s">
        <v>132</v>
      </c>
    </row>
    <row r="347" ht="15.75" customHeight="1">
      <c r="A347" s="20" t="s">
        <v>819</v>
      </c>
      <c r="B347" s="20" t="s">
        <v>820</v>
      </c>
      <c r="C347" s="89">
        <v>39.94</v>
      </c>
      <c r="D347" s="90">
        <v>0.25</v>
      </c>
      <c r="E347" s="89">
        <f t="shared" si="1"/>
        <v>29.955</v>
      </c>
      <c r="F347" s="20" t="s">
        <v>131</v>
      </c>
      <c r="G347" s="20" t="s">
        <v>132</v>
      </c>
    </row>
    <row r="348" ht="15.75" customHeight="1">
      <c r="A348" s="20" t="s">
        <v>821</v>
      </c>
      <c r="B348" s="20" t="s">
        <v>1427</v>
      </c>
      <c r="C348" s="89">
        <v>23.43</v>
      </c>
      <c r="D348" s="90">
        <v>0.25</v>
      </c>
      <c r="E348" s="89">
        <f t="shared" si="1"/>
        <v>17.5725</v>
      </c>
      <c r="F348" s="20" t="s">
        <v>131</v>
      </c>
      <c r="G348" s="20" t="s">
        <v>132</v>
      </c>
    </row>
    <row r="349" ht="15.75" customHeight="1">
      <c r="A349" s="20" t="s">
        <v>823</v>
      </c>
      <c r="B349" s="20" t="s">
        <v>824</v>
      </c>
      <c r="C349" s="89">
        <v>29.27</v>
      </c>
      <c r="D349" s="90">
        <v>0.25</v>
      </c>
      <c r="E349" s="89">
        <f t="shared" si="1"/>
        <v>21.9525</v>
      </c>
      <c r="F349" s="20" t="s">
        <v>131</v>
      </c>
      <c r="G349" s="20" t="s">
        <v>132</v>
      </c>
    </row>
    <row r="350" ht="15.75" customHeight="1">
      <c r="A350" s="20" t="s">
        <v>825</v>
      </c>
      <c r="B350" s="20" t="s">
        <v>826</v>
      </c>
      <c r="C350" s="89">
        <v>40.8</v>
      </c>
      <c r="D350" s="90">
        <v>0.25</v>
      </c>
      <c r="E350" s="89">
        <f t="shared" si="1"/>
        <v>30.6</v>
      </c>
      <c r="F350" s="20" t="s">
        <v>131</v>
      </c>
      <c r="G350" s="20" t="s">
        <v>132</v>
      </c>
    </row>
    <row r="351" ht="15.75" customHeight="1">
      <c r="A351" s="20" t="s">
        <v>20</v>
      </c>
      <c r="B351" s="20" t="s">
        <v>827</v>
      </c>
      <c r="C351" s="89">
        <v>40.8</v>
      </c>
      <c r="D351" s="90">
        <v>0.25</v>
      </c>
      <c r="E351" s="89">
        <f t="shared" si="1"/>
        <v>30.6</v>
      </c>
      <c r="F351" s="20" t="s">
        <v>131</v>
      </c>
      <c r="G351" s="20" t="s">
        <v>132</v>
      </c>
    </row>
    <row r="352" ht="15.75" customHeight="1">
      <c r="A352" s="20" t="s">
        <v>828</v>
      </c>
      <c r="B352" s="20" t="s">
        <v>829</v>
      </c>
      <c r="C352" s="89">
        <v>42.49</v>
      </c>
      <c r="D352" s="90">
        <v>0.25</v>
      </c>
      <c r="E352" s="89">
        <f t="shared" si="1"/>
        <v>31.8675</v>
      </c>
      <c r="F352" s="20" t="s">
        <v>131</v>
      </c>
      <c r="G352" s="20" t="s">
        <v>132</v>
      </c>
    </row>
    <row r="353" ht="15.75" customHeight="1">
      <c r="A353" s="20" t="s">
        <v>830</v>
      </c>
      <c r="B353" s="20" t="s">
        <v>831</v>
      </c>
      <c r="C353" s="89">
        <v>42.49</v>
      </c>
      <c r="D353" s="90">
        <v>0.25</v>
      </c>
      <c r="E353" s="89">
        <f t="shared" si="1"/>
        <v>31.8675</v>
      </c>
      <c r="F353" s="20" t="s">
        <v>131</v>
      </c>
      <c r="G353" s="20" t="s">
        <v>132</v>
      </c>
    </row>
    <row r="354" ht="15.75" customHeight="1">
      <c r="A354" s="20" t="s">
        <v>832</v>
      </c>
      <c r="B354" s="20" t="s">
        <v>833</v>
      </c>
      <c r="C354" s="89">
        <v>47.71</v>
      </c>
      <c r="D354" s="90">
        <v>0.25</v>
      </c>
      <c r="E354" s="89">
        <f t="shared" si="1"/>
        <v>35.7825</v>
      </c>
      <c r="F354" s="20" t="s">
        <v>131</v>
      </c>
      <c r="G354" s="20" t="s">
        <v>132</v>
      </c>
    </row>
    <row r="355" ht="15.75" customHeight="1">
      <c r="A355" s="20" t="s">
        <v>834</v>
      </c>
      <c r="B355" s="20" t="s">
        <v>835</v>
      </c>
      <c r="C355" s="89">
        <v>15.54</v>
      </c>
      <c r="D355" s="90">
        <v>0.25</v>
      </c>
      <c r="E355" s="89">
        <f t="shared" si="1"/>
        <v>11.655</v>
      </c>
      <c r="F355" s="20" t="s">
        <v>131</v>
      </c>
      <c r="G355" s="20" t="s">
        <v>132</v>
      </c>
    </row>
    <row r="356" ht="15.75" customHeight="1">
      <c r="A356" s="20" t="s">
        <v>836</v>
      </c>
      <c r="B356" s="20" t="s">
        <v>837</v>
      </c>
      <c r="C356" s="89">
        <v>39.29</v>
      </c>
      <c r="D356" s="90">
        <v>0.25</v>
      </c>
      <c r="E356" s="89">
        <f t="shared" si="1"/>
        <v>29.4675</v>
      </c>
      <c r="F356" s="20" t="s">
        <v>131</v>
      </c>
      <c r="G356" s="20" t="s">
        <v>132</v>
      </c>
    </row>
    <row r="357" ht="15.75" customHeight="1">
      <c r="A357" s="20" t="s">
        <v>838</v>
      </c>
      <c r="B357" s="20" t="s">
        <v>839</v>
      </c>
      <c r="C357" s="89">
        <v>43.16</v>
      </c>
      <c r="D357" s="90">
        <v>0.25</v>
      </c>
      <c r="E357" s="89">
        <f t="shared" si="1"/>
        <v>32.37</v>
      </c>
      <c r="F357" s="20" t="s">
        <v>131</v>
      </c>
      <c r="G357" s="20" t="s">
        <v>132</v>
      </c>
    </row>
    <row r="358" ht="15.75" customHeight="1">
      <c r="A358" s="20" t="s">
        <v>840</v>
      </c>
      <c r="B358" s="20" t="s">
        <v>841</v>
      </c>
      <c r="C358" s="89">
        <v>3.07</v>
      </c>
      <c r="D358" s="90">
        <v>0.25</v>
      </c>
      <c r="E358" s="89">
        <f t="shared" si="1"/>
        <v>2.3025</v>
      </c>
      <c r="F358" s="20" t="s">
        <v>131</v>
      </c>
      <c r="G358" s="20" t="s">
        <v>132</v>
      </c>
    </row>
    <row r="359" ht="15.75" customHeight="1">
      <c r="A359" s="20" t="s">
        <v>842</v>
      </c>
      <c r="B359" s="20" t="s">
        <v>843</v>
      </c>
      <c r="C359" s="89">
        <v>1.36</v>
      </c>
      <c r="D359" s="90">
        <v>0.25</v>
      </c>
      <c r="E359" s="89">
        <f t="shared" si="1"/>
        <v>1.02</v>
      </c>
      <c r="F359" s="20" t="s">
        <v>131</v>
      </c>
      <c r="G359" s="20" t="s">
        <v>132</v>
      </c>
    </row>
    <row r="360" ht="15.75" customHeight="1">
      <c r="A360" s="20" t="s">
        <v>844</v>
      </c>
      <c r="B360" s="20" t="s">
        <v>845</v>
      </c>
      <c r="C360" s="89">
        <v>2.18</v>
      </c>
      <c r="D360" s="90">
        <v>0.25</v>
      </c>
      <c r="E360" s="89">
        <f t="shared" si="1"/>
        <v>1.635</v>
      </c>
      <c r="F360" s="20" t="s">
        <v>131</v>
      </c>
      <c r="G360" s="20" t="s">
        <v>132</v>
      </c>
    </row>
    <row r="361" ht="15.75" customHeight="1">
      <c r="A361" s="20" t="s">
        <v>848</v>
      </c>
      <c r="B361" s="20" t="s">
        <v>849</v>
      </c>
      <c r="C361" s="89">
        <v>1.07</v>
      </c>
      <c r="D361" s="90">
        <v>0.25</v>
      </c>
      <c r="E361" s="89">
        <f t="shared" si="1"/>
        <v>0.8025</v>
      </c>
      <c r="F361" s="20" t="s">
        <v>131</v>
      </c>
      <c r="G361" s="20" t="s">
        <v>132</v>
      </c>
    </row>
    <row r="362" ht="15.75" customHeight="1">
      <c r="A362" s="20" t="s">
        <v>1428</v>
      </c>
      <c r="B362" s="20" t="s">
        <v>1429</v>
      </c>
      <c r="C362" s="89">
        <v>16.78</v>
      </c>
      <c r="D362" s="90">
        <v>0.25</v>
      </c>
      <c r="E362" s="89">
        <f t="shared" si="1"/>
        <v>12.585</v>
      </c>
      <c r="F362" s="20" t="s">
        <v>131</v>
      </c>
      <c r="G362" s="20" t="s">
        <v>132</v>
      </c>
    </row>
    <row r="363" ht="15.75" customHeight="1">
      <c r="A363" s="20" t="s">
        <v>1430</v>
      </c>
      <c r="B363" s="20" t="s">
        <v>1431</v>
      </c>
      <c r="C363" s="89">
        <v>16.78</v>
      </c>
      <c r="D363" s="90">
        <v>0.25</v>
      </c>
      <c r="E363" s="89">
        <f t="shared" si="1"/>
        <v>12.585</v>
      </c>
      <c r="F363" s="20" t="s">
        <v>131</v>
      </c>
      <c r="G363" s="20" t="s">
        <v>132</v>
      </c>
    </row>
    <row r="364" ht="15.75" customHeight="1">
      <c r="A364" s="20" t="s">
        <v>1432</v>
      </c>
      <c r="B364" s="20" t="s">
        <v>1433</v>
      </c>
      <c r="C364" s="89">
        <v>16.78</v>
      </c>
      <c r="D364" s="90">
        <v>0.25</v>
      </c>
      <c r="E364" s="89">
        <f t="shared" si="1"/>
        <v>12.585</v>
      </c>
      <c r="F364" s="20" t="s">
        <v>131</v>
      </c>
      <c r="G364" s="20" t="s">
        <v>132</v>
      </c>
    </row>
    <row r="365" ht="15.75" customHeight="1">
      <c r="A365" s="20" t="s">
        <v>1434</v>
      </c>
      <c r="B365" s="20" t="s">
        <v>1435</v>
      </c>
      <c r="C365" s="89">
        <v>16.78</v>
      </c>
      <c r="D365" s="90">
        <v>0.25</v>
      </c>
      <c r="E365" s="89">
        <f t="shared" si="1"/>
        <v>12.585</v>
      </c>
      <c r="F365" s="20" t="s">
        <v>131</v>
      </c>
      <c r="G365" s="20" t="s">
        <v>132</v>
      </c>
    </row>
    <row r="366" ht="15.75" customHeight="1">
      <c r="A366" s="20" t="s">
        <v>852</v>
      </c>
      <c r="B366" s="20" t="s">
        <v>853</v>
      </c>
      <c r="C366" s="89">
        <v>1.07</v>
      </c>
      <c r="D366" s="90">
        <v>0.25</v>
      </c>
      <c r="E366" s="89">
        <f t="shared" si="1"/>
        <v>0.8025</v>
      </c>
      <c r="F366" s="20" t="s">
        <v>131</v>
      </c>
      <c r="G366" s="20" t="s">
        <v>132</v>
      </c>
    </row>
    <row r="367" ht="15.75" customHeight="1">
      <c r="A367" s="20" t="s">
        <v>854</v>
      </c>
      <c r="B367" s="20" t="s">
        <v>855</v>
      </c>
      <c r="C367" s="89">
        <v>99.37</v>
      </c>
      <c r="D367" s="90">
        <v>0.25</v>
      </c>
      <c r="E367" s="89">
        <f t="shared" si="1"/>
        <v>74.5275</v>
      </c>
      <c r="F367" s="20" t="s">
        <v>131</v>
      </c>
      <c r="G367" s="20" t="s">
        <v>132</v>
      </c>
    </row>
    <row r="368" ht="15.75" customHeight="1">
      <c r="A368" s="20" t="s">
        <v>856</v>
      </c>
      <c r="B368" s="20" t="s">
        <v>857</v>
      </c>
      <c r="C368" s="89">
        <v>99.37</v>
      </c>
      <c r="D368" s="90">
        <v>0.25</v>
      </c>
      <c r="E368" s="89">
        <f t="shared" si="1"/>
        <v>74.5275</v>
      </c>
      <c r="F368" s="20" t="s">
        <v>131</v>
      </c>
      <c r="G368" s="20" t="s">
        <v>132</v>
      </c>
    </row>
    <row r="369" ht="15.75" customHeight="1">
      <c r="A369" s="20" t="s">
        <v>858</v>
      </c>
      <c r="B369" s="20" t="s">
        <v>859</v>
      </c>
      <c r="C369" s="89">
        <v>68.92</v>
      </c>
      <c r="D369" s="90">
        <v>0.25</v>
      </c>
      <c r="E369" s="89">
        <f t="shared" si="1"/>
        <v>51.69</v>
      </c>
      <c r="F369" s="20" t="s">
        <v>131</v>
      </c>
      <c r="G369" s="20" t="s">
        <v>132</v>
      </c>
    </row>
    <row r="370" ht="15.75" customHeight="1">
      <c r="A370" s="20" t="s">
        <v>860</v>
      </c>
      <c r="B370" s="20" t="s">
        <v>861</v>
      </c>
      <c r="C370" s="89">
        <v>68.92</v>
      </c>
      <c r="D370" s="90">
        <v>0.25</v>
      </c>
      <c r="E370" s="89">
        <f t="shared" si="1"/>
        <v>51.69</v>
      </c>
      <c r="F370" s="20" t="s">
        <v>131</v>
      </c>
      <c r="G370" s="20" t="s">
        <v>132</v>
      </c>
    </row>
    <row r="371" ht="15.75" customHeight="1">
      <c r="A371" s="20" t="s">
        <v>862</v>
      </c>
      <c r="B371" s="20" t="s">
        <v>863</v>
      </c>
      <c r="C371" s="89">
        <v>78.83</v>
      </c>
      <c r="D371" s="90">
        <v>0.25</v>
      </c>
      <c r="E371" s="89">
        <f t="shared" si="1"/>
        <v>59.1225</v>
      </c>
      <c r="F371" s="20" t="s">
        <v>131</v>
      </c>
      <c r="G371" s="20" t="s">
        <v>132</v>
      </c>
    </row>
    <row r="372" ht="15.75" customHeight="1">
      <c r="A372" s="20" t="s">
        <v>864</v>
      </c>
      <c r="B372" s="20" t="s">
        <v>865</v>
      </c>
      <c r="C372" s="89">
        <v>81.98</v>
      </c>
      <c r="D372" s="90">
        <v>0.25</v>
      </c>
      <c r="E372" s="89">
        <f t="shared" si="1"/>
        <v>61.485</v>
      </c>
      <c r="F372" s="20" t="s">
        <v>131</v>
      </c>
      <c r="G372" s="20" t="s">
        <v>132</v>
      </c>
    </row>
    <row r="373" ht="15.75" customHeight="1">
      <c r="A373" s="20" t="s">
        <v>866</v>
      </c>
      <c r="B373" s="20" t="s">
        <v>867</v>
      </c>
      <c r="C373" s="89">
        <v>84.35</v>
      </c>
      <c r="D373" s="90">
        <v>0.25</v>
      </c>
      <c r="E373" s="89">
        <f t="shared" si="1"/>
        <v>63.2625</v>
      </c>
      <c r="F373" s="20" t="s">
        <v>131</v>
      </c>
      <c r="G373" s="20" t="s">
        <v>132</v>
      </c>
    </row>
    <row r="374" ht="15.75" customHeight="1">
      <c r="A374" s="20" t="s">
        <v>868</v>
      </c>
      <c r="B374" s="20" t="s">
        <v>869</v>
      </c>
      <c r="C374" s="89">
        <v>94.59</v>
      </c>
      <c r="D374" s="90">
        <v>0.25</v>
      </c>
      <c r="E374" s="89">
        <f t="shared" si="1"/>
        <v>70.9425</v>
      </c>
      <c r="F374" s="20" t="s">
        <v>131</v>
      </c>
      <c r="G374" s="20" t="s">
        <v>132</v>
      </c>
    </row>
    <row r="375" ht="15.75" customHeight="1">
      <c r="A375" s="20" t="s">
        <v>870</v>
      </c>
      <c r="B375" s="20" t="s">
        <v>871</v>
      </c>
      <c r="C375" s="89">
        <v>86.71</v>
      </c>
      <c r="D375" s="90">
        <v>0.25</v>
      </c>
      <c r="E375" s="89">
        <f t="shared" si="1"/>
        <v>65.0325</v>
      </c>
      <c r="F375" s="20" t="s">
        <v>131</v>
      </c>
      <c r="G375" s="20" t="s">
        <v>132</v>
      </c>
    </row>
    <row r="376" ht="15.75" customHeight="1">
      <c r="A376" s="20" t="s">
        <v>872</v>
      </c>
      <c r="B376" s="20" t="s">
        <v>873</v>
      </c>
      <c r="C376" s="89">
        <v>90.65</v>
      </c>
      <c r="D376" s="90">
        <v>0.25</v>
      </c>
      <c r="E376" s="89">
        <f t="shared" si="1"/>
        <v>67.9875</v>
      </c>
      <c r="F376" s="20" t="s">
        <v>131</v>
      </c>
      <c r="G376" s="20" t="s">
        <v>132</v>
      </c>
    </row>
    <row r="377" ht="15.75" customHeight="1">
      <c r="A377" s="20" t="s">
        <v>874</v>
      </c>
      <c r="B377" s="20" t="s">
        <v>875</v>
      </c>
      <c r="C377" s="89">
        <v>78.83</v>
      </c>
      <c r="D377" s="90">
        <v>0.25</v>
      </c>
      <c r="E377" s="89">
        <f t="shared" si="1"/>
        <v>59.1225</v>
      </c>
      <c r="F377" s="20" t="s">
        <v>131</v>
      </c>
      <c r="G377" s="20" t="s">
        <v>132</v>
      </c>
    </row>
    <row r="378" ht="15.75" customHeight="1">
      <c r="A378" s="20" t="s">
        <v>876</v>
      </c>
      <c r="B378" s="20" t="s">
        <v>877</v>
      </c>
      <c r="C378" s="89">
        <v>78.83</v>
      </c>
      <c r="D378" s="90">
        <v>0.25</v>
      </c>
      <c r="E378" s="89">
        <f t="shared" si="1"/>
        <v>59.1225</v>
      </c>
      <c r="F378" s="20" t="s">
        <v>131</v>
      </c>
      <c r="G378" s="20" t="s">
        <v>132</v>
      </c>
    </row>
    <row r="379" ht="15.75" customHeight="1">
      <c r="A379" s="20" t="s">
        <v>878</v>
      </c>
      <c r="B379" s="20" t="s">
        <v>879</v>
      </c>
      <c r="C379" s="89">
        <v>71.39</v>
      </c>
      <c r="D379" s="90">
        <v>0.25</v>
      </c>
      <c r="E379" s="89">
        <f t="shared" si="1"/>
        <v>53.5425</v>
      </c>
      <c r="F379" s="20" t="s">
        <v>131</v>
      </c>
      <c r="G379" s="20" t="s">
        <v>132</v>
      </c>
    </row>
    <row r="380" ht="15.75" customHeight="1">
      <c r="A380" s="20" t="s">
        <v>880</v>
      </c>
      <c r="B380" s="20" t="s">
        <v>881</v>
      </c>
      <c r="C380" s="89">
        <v>71.39</v>
      </c>
      <c r="D380" s="90">
        <v>0.25</v>
      </c>
      <c r="E380" s="89">
        <f t="shared" si="1"/>
        <v>53.5425</v>
      </c>
      <c r="F380" s="20" t="s">
        <v>131</v>
      </c>
      <c r="G380" s="20" t="s">
        <v>132</v>
      </c>
    </row>
    <row r="381" ht="15.75" customHeight="1">
      <c r="A381" s="20" t="s">
        <v>882</v>
      </c>
      <c r="B381" s="20" t="s">
        <v>883</v>
      </c>
      <c r="C381" s="89">
        <v>71.39</v>
      </c>
      <c r="D381" s="90">
        <v>0.25</v>
      </c>
      <c r="E381" s="89">
        <f t="shared" si="1"/>
        <v>53.5425</v>
      </c>
      <c r="F381" s="20" t="s">
        <v>131</v>
      </c>
      <c r="G381" s="20" t="s">
        <v>132</v>
      </c>
    </row>
    <row r="382" ht="15.75" customHeight="1">
      <c r="A382" s="20" t="s">
        <v>884</v>
      </c>
      <c r="B382" s="20" t="s">
        <v>885</v>
      </c>
      <c r="C382" s="89">
        <v>71.39</v>
      </c>
      <c r="D382" s="90">
        <v>0.25</v>
      </c>
      <c r="E382" s="89">
        <f t="shared" si="1"/>
        <v>53.5425</v>
      </c>
      <c r="F382" s="20" t="s">
        <v>131</v>
      </c>
      <c r="G382" s="20" t="s">
        <v>132</v>
      </c>
    </row>
    <row r="383" ht="15.75" customHeight="1">
      <c r="A383" s="20" t="s">
        <v>886</v>
      </c>
      <c r="B383" s="20" t="s">
        <v>887</v>
      </c>
      <c r="C383" s="89">
        <v>78.83</v>
      </c>
      <c r="D383" s="90">
        <v>0.25</v>
      </c>
      <c r="E383" s="89">
        <f t="shared" si="1"/>
        <v>59.1225</v>
      </c>
      <c r="F383" s="20" t="s">
        <v>131</v>
      </c>
      <c r="G383" s="20" t="s">
        <v>132</v>
      </c>
    </row>
    <row r="384" ht="15.75" customHeight="1">
      <c r="A384" s="20" t="s">
        <v>888</v>
      </c>
      <c r="B384" s="20" t="s">
        <v>889</v>
      </c>
      <c r="C384" s="89">
        <v>78.83</v>
      </c>
      <c r="D384" s="90">
        <v>0.25</v>
      </c>
      <c r="E384" s="89">
        <f t="shared" si="1"/>
        <v>59.1225</v>
      </c>
      <c r="F384" s="20" t="s">
        <v>131</v>
      </c>
      <c r="G384" s="20" t="s">
        <v>132</v>
      </c>
    </row>
    <row r="385" ht="15.75" customHeight="1">
      <c r="A385" s="20" t="s">
        <v>890</v>
      </c>
      <c r="B385" s="20" t="s">
        <v>891</v>
      </c>
      <c r="C385" s="89">
        <v>0.0</v>
      </c>
      <c r="D385" s="90">
        <v>0.25</v>
      </c>
      <c r="E385" s="89">
        <f t="shared" si="1"/>
        <v>0</v>
      </c>
      <c r="F385" s="20" t="s">
        <v>131</v>
      </c>
      <c r="G385" s="20" t="s">
        <v>132</v>
      </c>
    </row>
    <row r="386" ht="15.75" customHeight="1">
      <c r="A386" s="20" t="s">
        <v>892</v>
      </c>
      <c r="B386" s="20" t="s">
        <v>893</v>
      </c>
      <c r="C386" s="89">
        <v>81.98</v>
      </c>
      <c r="D386" s="90">
        <v>0.25</v>
      </c>
      <c r="E386" s="89">
        <f t="shared" si="1"/>
        <v>61.485</v>
      </c>
      <c r="F386" s="20" t="s">
        <v>131</v>
      </c>
      <c r="G386" s="20" t="s">
        <v>132</v>
      </c>
    </row>
    <row r="387" ht="15.75" customHeight="1">
      <c r="A387" s="20" t="s">
        <v>894</v>
      </c>
      <c r="B387" s="20" t="s">
        <v>895</v>
      </c>
      <c r="C387" s="89">
        <v>84.35</v>
      </c>
      <c r="D387" s="90">
        <v>0.25</v>
      </c>
      <c r="E387" s="89">
        <f t="shared" si="1"/>
        <v>63.2625</v>
      </c>
      <c r="F387" s="20" t="s">
        <v>131</v>
      </c>
      <c r="G387" s="20" t="s">
        <v>132</v>
      </c>
    </row>
    <row r="388" ht="15.75" customHeight="1">
      <c r="A388" s="20" t="s">
        <v>896</v>
      </c>
      <c r="B388" s="20" t="s">
        <v>897</v>
      </c>
      <c r="C388" s="89">
        <v>94.59</v>
      </c>
      <c r="D388" s="90">
        <v>0.25</v>
      </c>
      <c r="E388" s="89">
        <f t="shared" si="1"/>
        <v>70.9425</v>
      </c>
      <c r="F388" s="20" t="s">
        <v>131</v>
      </c>
      <c r="G388" s="20" t="s">
        <v>132</v>
      </c>
    </row>
    <row r="389" ht="15.75" customHeight="1">
      <c r="A389" s="20" t="s">
        <v>898</v>
      </c>
      <c r="B389" s="20" t="s">
        <v>899</v>
      </c>
      <c r="C389" s="89">
        <v>86.71</v>
      </c>
      <c r="D389" s="90">
        <v>0.25</v>
      </c>
      <c r="E389" s="89">
        <f t="shared" si="1"/>
        <v>65.0325</v>
      </c>
      <c r="F389" s="20" t="s">
        <v>131</v>
      </c>
      <c r="G389" s="20" t="s">
        <v>132</v>
      </c>
    </row>
    <row r="390" ht="15.75" customHeight="1">
      <c r="A390" s="20" t="s">
        <v>900</v>
      </c>
      <c r="B390" s="20" t="s">
        <v>901</v>
      </c>
      <c r="C390" s="89">
        <v>90.65</v>
      </c>
      <c r="D390" s="90">
        <v>0.25</v>
      </c>
      <c r="E390" s="89">
        <f t="shared" si="1"/>
        <v>67.9875</v>
      </c>
      <c r="F390" s="20" t="s">
        <v>131</v>
      </c>
      <c r="G390" s="20" t="s">
        <v>132</v>
      </c>
    </row>
    <row r="391" ht="15.75" customHeight="1">
      <c r="A391" s="20" t="s">
        <v>902</v>
      </c>
      <c r="B391" s="20" t="s">
        <v>903</v>
      </c>
      <c r="C391" s="89">
        <v>78.83</v>
      </c>
      <c r="D391" s="90">
        <v>0.25</v>
      </c>
      <c r="E391" s="89">
        <f t="shared" si="1"/>
        <v>59.1225</v>
      </c>
      <c r="F391" s="20" t="s">
        <v>131</v>
      </c>
      <c r="G391" s="20" t="s">
        <v>132</v>
      </c>
    </row>
    <row r="392" ht="15.75" customHeight="1">
      <c r="A392" s="20" t="s">
        <v>26</v>
      </c>
      <c r="B392" s="20" t="s">
        <v>904</v>
      </c>
      <c r="C392" s="89">
        <v>78.83</v>
      </c>
      <c r="D392" s="90">
        <v>0.25</v>
      </c>
      <c r="E392" s="89">
        <f t="shared" si="1"/>
        <v>59.1225</v>
      </c>
      <c r="F392" s="20" t="s">
        <v>131</v>
      </c>
      <c r="G392" s="20" t="s">
        <v>132</v>
      </c>
    </row>
    <row r="393" ht="15.75" customHeight="1">
      <c r="A393" s="20" t="s">
        <v>905</v>
      </c>
      <c r="B393" s="20" t="s">
        <v>906</v>
      </c>
      <c r="C393" s="89">
        <v>69.34</v>
      </c>
      <c r="D393" s="90">
        <v>0.25</v>
      </c>
      <c r="E393" s="89">
        <f t="shared" si="1"/>
        <v>52.005</v>
      </c>
      <c r="F393" s="20" t="s">
        <v>131</v>
      </c>
      <c r="G393" s="20" t="s">
        <v>132</v>
      </c>
    </row>
    <row r="394" ht="15.75" customHeight="1">
      <c r="A394" s="20" t="s">
        <v>907</v>
      </c>
      <c r="B394" s="20" t="s">
        <v>908</v>
      </c>
      <c r="C394" s="89">
        <v>69.34</v>
      </c>
      <c r="D394" s="90">
        <v>0.25</v>
      </c>
      <c r="E394" s="89">
        <f t="shared" si="1"/>
        <v>52.005</v>
      </c>
      <c r="F394" s="20" t="s">
        <v>131</v>
      </c>
      <c r="G394" s="20" t="s">
        <v>132</v>
      </c>
    </row>
    <row r="395" ht="15.75" customHeight="1">
      <c r="A395" s="20" t="s">
        <v>909</v>
      </c>
      <c r="B395" s="20" t="s">
        <v>910</v>
      </c>
      <c r="C395" s="89">
        <v>69.34</v>
      </c>
      <c r="D395" s="90">
        <v>0.25</v>
      </c>
      <c r="E395" s="89">
        <f t="shared" si="1"/>
        <v>52.005</v>
      </c>
      <c r="F395" s="20" t="s">
        <v>131</v>
      </c>
      <c r="G395" s="20" t="s">
        <v>132</v>
      </c>
    </row>
    <row r="396" ht="15.75" customHeight="1">
      <c r="A396" s="20" t="s">
        <v>911</v>
      </c>
      <c r="B396" s="20" t="s">
        <v>912</v>
      </c>
      <c r="C396" s="89">
        <v>69.34</v>
      </c>
      <c r="D396" s="90">
        <v>0.25</v>
      </c>
      <c r="E396" s="89">
        <f t="shared" si="1"/>
        <v>52.005</v>
      </c>
      <c r="F396" s="20" t="s">
        <v>131</v>
      </c>
      <c r="G396" s="20" t="s">
        <v>132</v>
      </c>
    </row>
    <row r="397" ht="15.75" customHeight="1">
      <c r="A397" s="20" t="s">
        <v>913</v>
      </c>
      <c r="B397" s="20" t="s">
        <v>914</v>
      </c>
      <c r="C397" s="89">
        <v>69.34</v>
      </c>
      <c r="D397" s="90">
        <v>0.25</v>
      </c>
      <c r="E397" s="89">
        <f t="shared" si="1"/>
        <v>52.005</v>
      </c>
      <c r="F397" s="20" t="s">
        <v>131</v>
      </c>
      <c r="G397" s="20" t="s">
        <v>132</v>
      </c>
    </row>
    <row r="398" ht="15.75" customHeight="1">
      <c r="A398" s="20" t="s">
        <v>915</v>
      </c>
      <c r="B398" s="20" t="s">
        <v>916</v>
      </c>
      <c r="C398" s="89">
        <v>69.34</v>
      </c>
      <c r="D398" s="90">
        <v>0.25</v>
      </c>
      <c r="E398" s="89">
        <f t="shared" si="1"/>
        <v>52.005</v>
      </c>
      <c r="F398" s="20" t="s">
        <v>131</v>
      </c>
      <c r="G398" s="20" t="s">
        <v>132</v>
      </c>
    </row>
    <row r="399" ht="15.75" customHeight="1">
      <c r="A399" s="20" t="s">
        <v>917</v>
      </c>
      <c r="B399" s="20" t="s">
        <v>918</v>
      </c>
      <c r="C399" s="89">
        <v>0.0</v>
      </c>
      <c r="D399" s="90">
        <v>0.25</v>
      </c>
      <c r="E399" s="89">
        <f t="shared" si="1"/>
        <v>0</v>
      </c>
      <c r="F399" s="20" t="s">
        <v>131</v>
      </c>
      <c r="G399" s="20" t="s">
        <v>132</v>
      </c>
    </row>
    <row r="400" ht="15.75" customHeight="1">
      <c r="A400" s="20" t="s">
        <v>919</v>
      </c>
      <c r="B400" s="20" t="s">
        <v>920</v>
      </c>
      <c r="C400" s="89">
        <v>72.12</v>
      </c>
      <c r="D400" s="90">
        <v>0.25</v>
      </c>
      <c r="E400" s="89">
        <f t="shared" si="1"/>
        <v>54.09</v>
      </c>
      <c r="F400" s="20" t="s">
        <v>131</v>
      </c>
      <c r="G400" s="20" t="s">
        <v>132</v>
      </c>
    </row>
    <row r="401" ht="15.75" customHeight="1">
      <c r="A401" s="20" t="s">
        <v>921</v>
      </c>
      <c r="B401" s="20" t="s">
        <v>922</v>
      </c>
      <c r="C401" s="89">
        <v>74.2</v>
      </c>
      <c r="D401" s="90">
        <v>0.25</v>
      </c>
      <c r="E401" s="89">
        <f t="shared" si="1"/>
        <v>55.65</v>
      </c>
      <c r="F401" s="20" t="s">
        <v>131</v>
      </c>
      <c r="G401" s="20" t="s">
        <v>132</v>
      </c>
    </row>
    <row r="402" ht="15.75" customHeight="1">
      <c r="A402" s="20" t="s">
        <v>923</v>
      </c>
      <c r="B402" s="20" t="s">
        <v>924</v>
      </c>
      <c r="C402" s="89">
        <v>83.22</v>
      </c>
      <c r="D402" s="90">
        <v>0.25</v>
      </c>
      <c r="E402" s="89">
        <f t="shared" si="1"/>
        <v>62.415</v>
      </c>
      <c r="F402" s="20" t="s">
        <v>131</v>
      </c>
      <c r="G402" s="20" t="s">
        <v>132</v>
      </c>
    </row>
    <row r="403" ht="15.75" customHeight="1">
      <c r="A403" s="20" t="s">
        <v>925</v>
      </c>
      <c r="B403" s="20" t="s">
        <v>926</v>
      </c>
      <c r="C403" s="89">
        <v>76.27</v>
      </c>
      <c r="D403" s="90">
        <v>0.25</v>
      </c>
      <c r="E403" s="89">
        <f t="shared" si="1"/>
        <v>57.2025</v>
      </c>
      <c r="F403" s="20" t="s">
        <v>131</v>
      </c>
      <c r="G403" s="20" t="s">
        <v>132</v>
      </c>
    </row>
    <row r="404" ht="15.75" customHeight="1">
      <c r="A404" s="20" t="s">
        <v>927</v>
      </c>
      <c r="B404" s="20" t="s">
        <v>928</v>
      </c>
      <c r="C404" s="89">
        <v>79.75</v>
      </c>
      <c r="D404" s="90">
        <v>0.25</v>
      </c>
      <c r="E404" s="89">
        <f t="shared" si="1"/>
        <v>59.8125</v>
      </c>
      <c r="F404" s="20" t="s">
        <v>131</v>
      </c>
      <c r="G404" s="20" t="s">
        <v>132</v>
      </c>
    </row>
    <row r="405" ht="15.75" customHeight="1">
      <c r="A405" s="20" t="s">
        <v>929</v>
      </c>
      <c r="B405" s="20" t="s">
        <v>930</v>
      </c>
      <c r="C405" s="89">
        <v>69.34</v>
      </c>
      <c r="D405" s="90">
        <v>0.25</v>
      </c>
      <c r="E405" s="89">
        <f t="shared" si="1"/>
        <v>52.005</v>
      </c>
      <c r="F405" s="20" t="s">
        <v>131</v>
      </c>
      <c r="G405" s="20" t="s">
        <v>132</v>
      </c>
    </row>
    <row r="406" ht="15.75" customHeight="1">
      <c r="A406" s="20" t="s">
        <v>931</v>
      </c>
      <c r="B406" s="20" t="s">
        <v>932</v>
      </c>
      <c r="C406" s="89">
        <v>69.34</v>
      </c>
      <c r="D406" s="90">
        <v>0.25</v>
      </c>
      <c r="E406" s="89">
        <f t="shared" si="1"/>
        <v>52.005</v>
      </c>
      <c r="F406" s="20" t="s">
        <v>131</v>
      </c>
      <c r="G406" s="20" t="s">
        <v>132</v>
      </c>
    </row>
    <row r="407" ht="15.75" customHeight="1">
      <c r="A407" s="20" t="s">
        <v>1436</v>
      </c>
      <c r="B407" s="20" t="s">
        <v>1437</v>
      </c>
      <c r="C407" s="89">
        <v>16.5</v>
      </c>
      <c r="D407" s="90">
        <v>0.25</v>
      </c>
      <c r="E407" s="89">
        <f t="shared" si="1"/>
        <v>12.375</v>
      </c>
      <c r="F407" s="20" t="s">
        <v>131</v>
      </c>
      <c r="G407" s="20" t="s">
        <v>132</v>
      </c>
    </row>
    <row r="408" ht="15.75" customHeight="1">
      <c r="A408" s="20" t="s">
        <v>1438</v>
      </c>
      <c r="B408" s="20" t="s">
        <v>1439</v>
      </c>
      <c r="C408" s="89">
        <v>16.5</v>
      </c>
      <c r="D408" s="90">
        <v>0.25</v>
      </c>
      <c r="E408" s="89">
        <f t="shared" si="1"/>
        <v>12.375</v>
      </c>
      <c r="F408" s="20" t="s">
        <v>131</v>
      </c>
      <c r="G408" s="20" t="s">
        <v>132</v>
      </c>
    </row>
    <row r="409" ht="15.75" customHeight="1">
      <c r="A409" s="20" t="s">
        <v>1440</v>
      </c>
      <c r="B409" s="20" t="s">
        <v>1441</v>
      </c>
      <c r="C409" s="89">
        <v>16.5</v>
      </c>
      <c r="D409" s="90">
        <v>0.25</v>
      </c>
      <c r="E409" s="89">
        <f t="shared" si="1"/>
        <v>12.375</v>
      </c>
      <c r="F409" s="20" t="s">
        <v>131</v>
      </c>
      <c r="G409" s="20" t="s">
        <v>132</v>
      </c>
    </row>
    <row r="410" ht="15.75" customHeight="1">
      <c r="A410" s="20" t="s">
        <v>1442</v>
      </c>
      <c r="B410" s="20" t="s">
        <v>1443</v>
      </c>
      <c r="C410" s="89">
        <v>16.5</v>
      </c>
      <c r="D410" s="90">
        <v>0.25</v>
      </c>
      <c r="E410" s="89">
        <f t="shared" si="1"/>
        <v>12.375</v>
      </c>
      <c r="F410" s="20" t="s">
        <v>131</v>
      </c>
      <c r="G410" s="20" t="s">
        <v>132</v>
      </c>
    </row>
    <row r="411" ht="15.75" customHeight="1">
      <c r="A411" s="20" t="s">
        <v>1444</v>
      </c>
      <c r="B411" s="20" t="s">
        <v>1445</v>
      </c>
      <c r="C411" s="89">
        <v>13.98</v>
      </c>
      <c r="D411" s="90">
        <v>0.25</v>
      </c>
      <c r="E411" s="89">
        <f t="shared" si="1"/>
        <v>10.485</v>
      </c>
      <c r="F411" s="20" t="s">
        <v>131</v>
      </c>
      <c r="G411" s="20" t="s">
        <v>132</v>
      </c>
    </row>
    <row r="412" ht="15.75" customHeight="1">
      <c r="A412" s="20" t="s">
        <v>17</v>
      </c>
      <c r="B412" s="20" t="s">
        <v>1446</v>
      </c>
      <c r="C412" s="89">
        <v>13.98</v>
      </c>
      <c r="D412" s="90">
        <v>0.25</v>
      </c>
      <c r="E412" s="89">
        <f t="shared" si="1"/>
        <v>10.485</v>
      </c>
      <c r="F412" s="20" t="s">
        <v>131</v>
      </c>
      <c r="G412" s="20" t="s">
        <v>132</v>
      </c>
    </row>
    <row r="413" ht="15.75" customHeight="1">
      <c r="A413" s="20" t="s">
        <v>933</v>
      </c>
      <c r="B413" s="20" t="s">
        <v>934</v>
      </c>
      <c r="C413" s="89">
        <v>1.3</v>
      </c>
      <c r="D413" s="90">
        <v>0.25</v>
      </c>
      <c r="E413" s="89">
        <f t="shared" si="1"/>
        <v>0.975</v>
      </c>
      <c r="F413" s="20" t="s">
        <v>131</v>
      </c>
      <c r="G413" s="20" t="s">
        <v>132</v>
      </c>
    </row>
    <row r="414" ht="15.75" customHeight="1">
      <c r="A414" s="20" t="s">
        <v>935</v>
      </c>
      <c r="B414" s="20" t="s">
        <v>936</v>
      </c>
      <c r="C414" s="89">
        <v>1.3</v>
      </c>
      <c r="D414" s="90">
        <v>0.25</v>
      </c>
      <c r="E414" s="89">
        <f t="shared" si="1"/>
        <v>0.975</v>
      </c>
      <c r="F414" s="20" t="s">
        <v>131</v>
      </c>
      <c r="G414" s="20" t="s">
        <v>132</v>
      </c>
    </row>
    <row r="415" ht="15.75" customHeight="1">
      <c r="A415" s="20" t="s">
        <v>937</v>
      </c>
      <c r="B415" s="20" t="s">
        <v>938</v>
      </c>
      <c r="C415" s="89">
        <v>1.3</v>
      </c>
      <c r="D415" s="90">
        <v>0.25</v>
      </c>
      <c r="E415" s="89">
        <f t="shared" si="1"/>
        <v>0.975</v>
      </c>
      <c r="F415" s="20" t="s">
        <v>131</v>
      </c>
      <c r="G415" s="20" t="s">
        <v>132</v>
      </c>
    </row>
    <row r="416" ht="15.75" customHeight="1">
      <c r="A416" s="20" t="s">
        <v>939</v>
      </c>
      <c r="B416" s="20" t="s">
        <v>940</v>
      </c>
      <c r="C416" s="89">
        <v>12.49</v>
      </c>
      <c r="D416" s="90">
        <v>0.25</v>
      </c>
      <c r="E416" s="89">
        <f t="shared" si="1"/>
        <v>9.3675</v>
      </c>
      <c r="F416" s="20" t="s">
        <v>131</v>
      </c>
      <c r="G416" s="20" t="s">
        <v>132</v>
      </c>
    </row>
    <row r="417" ht="15.75" customHeight="1">
      <c r="A417" s="20" t="s">
        <v>941</v>
      </c>
      <c r="B417" s="20" t="s">
        <v>942</v>
      </c>
      <c r="C417" s="89">
        <v>18.72</v>
      </c>
      <c r="D417" s="90">
        <v>0.25</v>
      </c>
      <c r="E417" s="89">
        <f t="shared" si="1"/>
        <v>14.04</v>
      </c>
      <c r="F417" s="20" t="s">
        <v>131</v>
      </c>
      <c r="G417" s="20" t="s">
        <v>132</v>
      </c>
    </row>
    <row r="418" ht="15.75" customHeight="1">
      <c r="A418" s="20" t="s">
        <v>943</v>
      </c>
      <c r="B418" s="20" t="s">
        <v>944</v>
      </c>
      <c r="C418" s="89">
        <v>25.22</v>
      </c>
      <c r="D418" s="90">
        <v>0.25</v>
      </c>
      <c r="E418" s="89">
        <f t="shared" si="1"/>
        <v>18.915</v>
      </c>
      <c r="F418" s="20" t="s">
        <v>131</v>
      </c>
      <c r="G418" s="20" t="s">
        <v>132</v>
      </c>
    </row>
    <row r="419" ht="15.75" customHeight="1">
      <c r="A419" s="20" t="s">
        <v>945</v>
      </c>
      <c r="B419" s="20" t="s">
        <v>946</v>
      </c>
      <c r="C419" s="89">
        <v>21.2</v>
      </c>
      <c r="D419" s="90">
        <v>0.25</v>
      </c>
      <c r="E419" s="89">
        <f t="shared" si="1"/>
        <v>15.9</v>
      </c>
      <c r="F419" s="20" t="s">
        <v>131</v>
      </c>
      <c r="G419" s="20" t="s">
        <v>132</v>
      </c>
    </row>
    <row r="420" ht="15.75" customHeight="1">
      <c r="A420" s="20" t="s">
        <v>947</v>
      </c>
      <c r="B420" s="20" t="s">
        <v>948</v>
      </c>
      <c r="C420" s="89">
        <v>46.24</v>
      </c>
      <c r="D420" s="90">
        <v>0.25</v>
      </c>
      <c r="E420" s="89">
        <f t="shared" si="1"/>
        <v>34.68</v>
      </c>
      <c r="F420" s="20" t="s">
        <v>131</v>
      </c>
      <c r="G420" s="20" t="s">
        <v>132</v>
      </c>
    </row>
    <row r="421" ht="15.75" customHeight="1">
      <c r="A421" s="20" t="s">
        <v>949</v>
      </c>
      <c r="B421" s="20" t="s">
        <v>950</v>
      </c>
      <c r="C421" s="89">
        <v>0.0</v>
      </c>
      <c r="D421" s="90">
        <v>0.25</v>
      </c>
      <c r="E421" s="89">
        <f t="shared" si="1"/>
        <v>0</v>
      </c>
      <c r="F421" s="20" t="s">
        <v>131</v>
      </c>
      <c r="G421" s="20" t="s">
        <v>132</v>
      </c>
    </row>
    <row r="422" ht="15.75" customHeight="1">
      <c r="A422" s="20" t="s">
        <v>951</v>
      </c>
      <c r="B422" s="20" t="s">
        <v>952</v>
      </c>
      <c r="C422" s="89">
        <v>0.0</v>
      </c>
      <c r="D422" s="90">
        <v>0.25</v>
      </c>
      <c r="E422" s="89">
        <f t="shared" si="1"/>
        <v>0</v>
      </c>
      <c r="F422" s="20" t="s">
        <v>131</v>
      </c>
      <c r="G422" s="20" t="s">
        <v>132</v>
      </c>
    </row>
    <row r="423" ht="15.75" customHeight="1">
      <c r="A423" s="20" t="s">
        <v>953</v>
      </c>
      <c r="B423" s="20" t="s">
        <v>954</v>
      </c>
      <c r="C423" s="89">
        <v>36.17</v>
      </c>
      <c r="D423" s="90">
        <v>0.25</v>
      </c>
      <c r="E423" s="89">
        <f t="shared" si="1"/>
        <v>27.1275</v>
      </c>
      <c r="F423" s="20" t="s">
        <v>131</v>
      </c>
      <c r="G423" s="20" t="s">
        <v>132</v>
      </c>
    </row>
    <row r="424" ht="15.75" customHeight="1">
      <c r="A424" s="20" t="s">
        <v>955</v>
      </c>
      <c r="B424" s="20" t="s">
        <v>956</v>
      </c>
      <c r="C424" s="89">
        <v>63.69</v>
      </c>
      <c r="D424" s="90">
        <v>0.25</v>
      </c>
      <c r="E424" s="89">
        <f t="shared" si="1"/>
        <v>47.7675</v>
      </c>
      <c r="F424" s="20" t="s">
        <v>131</v>
      </c>
      <c r="G424" s="20" t="s">
        <v>132</v>
      </c>
    </row>
    <row r="425" ht="15.75" customHeight="1">
      <c r="A425" s="20" t="s">
        <v>957</v>
      </c>
      <c r="B425" s="20" t="s">
        <v>958</v>
      </c>
      <c r="C425" s="89">
        <v>57.63</v>
      </c>
      <c r="D425" s="90">
        <v>0.25</v>
      </c>
      <c r="E425" s="89">
        <f t="shared" si="1"/>
        <v>43.2225</v>
      </c>
      <c r="F425" s="20" t="s">
        <v>131</v>
      </c>
      <c r="G425" s="20" t="s">
        <v>132</v>
      </c>
    </row>
    <row r="426" ht="15.75" customHeight="1">
      <c r="A426" s="20" t="s">
        <v>959</v>
      </c>
      <c r="B426" s="20" t="s">
        <v>960</v>
      </c>
      <c r="C426" s="89">
        <v>70.79</v>
      </c>
      <c r="D426" s="90">
        <v>0.25</v>
      </c>
      <c r="E426" s="89">
        <f t="shared" si="1"/>
        <v>53.0925</v>
      </c>
      <c r="F426" s="20" t="s">
        <v>131</v>
      </c>
      <c r="G426" s="20" t="s">
        <v>132</v>
      </c>
    </row>
    <row r="427" ht="15.75" customHeight="1">
      <c r="A427" s="20" t="s">
        <v>961</v>
      </c>
      <c r="B427" s="20" t="s">
        <v>962</v>
      </c>
      <c r="C427" s="89">
        <v>60.67</v>
      </c>
      <c r="D427" s="90">
        <v>0.25</v>
      </c>
      <c r="E427" s="89">
        <f t="shared" si="1"/>
        <v>45.5025</v>
      </c>
      <c r="F427" s="20" t="s">
        <v>131</v>
      </c>
      <c r="G427" s="20" t="s">
        <v>132</v>
      </c>
    </row>
    <row r="428" ht="15.75" customHeight="1">
      <c r="A428" s="20" t="s">
        <v>963</v>
      </c>
      <c r="B428" s="20" t="s">
        <v>964</v>
      </c>
      <c r="C428" s="89">
        <v>60.67</v>
      </c>
      <c r="D428" s="90">
        <v>0.25</v>
      </c>
      <c r="E428" s="89">
        <f t="shared" si="1"/>
        <v>45.5025</v>
      </c>
      <c r="F428" s="20" t="s">
        <v>131</v>
      </c>
      <c r="G428" s="20" t="s">
        <v>132</v>
      </c>
    </row>
    <row r="429" ht="15.75" customHeight="1">
      <c r="A429" s="20" t="s">
        <v>965</v>
      </c>
      <c r="B429" s="20" t="s">
        <v>966</v>
      </c>
      <c r="C429" s="89">
        <v>63.69</v>
      </c>
      <c r="D429" s="90">
        <v>0.25</v>
      </c>
      <c r="E429" s="89">
        <f t="shared" si="1"/>
        <v>47.7675</v>
      </c>
      <c r="F429" s="20" t="s">
        <v>131</v>
      </c>
      <c r="G429" s="20" t="s">
        <v>132</v>
      </c>
    </row>
    <row r="430" ht="15.75" customHeight="1">
      <c r="A430" s="20" t="s">
        <v>967</v>
      </c>
      <c r="B430" s="20" t="s">
        <v>968</v>
      </c>
      <c r="C430" s="89">
        <v>63.69</v>
      </c>
      <c r="D430" s="90">
        <v>0.25</v>
      </c>
      <c r="E430" s="89">
        <f t="shared" si="1"/>
        <v>47.7675</v>
      </c>
      <c r="F430" s="20" t="s">
        <v>131</v>
      </c>
      <c r="G430" s="20" t="s">
        <v>132</v>
      </c>
    </row>
    <row r="431" ht="15.75" customHeight="1">
      <c r="A431" s="20" t="s">
        <v>969</v>
      </c>
      <c r="B431" s="20" t="s">
        <v>970</v>
      </c>
      <c r="C431" s="89">
        <v>38.77</v>
      </c>
      <c r="D431" s="90">
        <v>0.25</v>
      </c>
      <c r="E431" s="89">
        <f t="shared" si="1"/>
        <v>29.0775</v>
      </c>
      <c r="F431" s="20" t="s">
        <v>131</v>
      </c>
      <c r="G431" s="20" t="s">
        <v>132</v>
      </c>
    </row>
    <row r="432" ht="15.75" customHeight="1">
      <c r="A432" s="20" t="s">
        <v>971</v>
      </c>
      <c r="B432" s="20" t="s">
        <v>972</v>
      </c>
      <c r="C432" s="89">
        <v>26.3</v>
      </c>
      <c r="D432" s="90">
        <v>0.25</v>
      </c>
      <c r="E432" s="89">
        <f t="shared" si="1"/>
        <v>19.725</v>
      </c>
      <c r="F432" s="20" t="s">
        <v>131</v>
      </c>
      <c r="G432" s="20" t="s">
        <v>132</v>
      </c>
    </row>
    <row r="433" ht="15.75" customHeight="1">
      <c r="A433" s="20" t="s">
        <v>973</v>
      </c>
      <c r="B433" s="20" t="s">
        <v>974</v>
      </c>
      <c r="C433" s="89">
        <v>60.07</v>
      </c>
      <c r="D433" s="90">
        <v>0.25</v>
      </c>
      <c r="E433" s="89">
        <f t="shared" si="1"/>
        <v>45.0525</v>
      </c>
      <c r="F433" s="20" t="s">
        <v>131</v>
      </c>
      <c r="G433" s="20" t="s">
        <v>132</v>
      </c>
    </row>
    <row r="434" ht="15.75" customHeight="1">
      <c r="A434" s="20" t="s">
        <v>975</v>
      </c>
      <c r="B434" s="20" t="s">
        <v>976</v>
      </c>
      <c r="C434" s="89">
        <v>35.59</v>
      </c>
      <c r="D434" s="90">
        <v>0.25</v>
      </c>
      <c r="E434" s="89">
        <f t="shared" si="1"/>
        <v>26.6925</v>
      </c>
      <c r="F434" s="20" t="s">
        <v>131</v>
      </c>
      <c r="G434" s="20" t="s">
        <v>132</v>
      </c>
    </row>
    <row r="435" ht="15.75" customHeight="1">
      <c r="A435" s="20" t="s">
        <v>977</v>
      </c>
      <c r="B435" s="20" t="s">
        <v>978</v>
      </c>
      <c r="C435" s="89">
        <v>30.82</v>
      </c>
      <c r="D435" s="90">
        <v>0.25</v>
      </c>
      <c r="E435" s="89">
        <f t="shared" si="1"/>
        <v>23.115</v>
      </c>
      <c r="F435" s="20" t="s">
        <v>131</v>
      </c>
      <c r="G435" s="20" t="s">
        <v>132</v>
      </c>
    </row>
    <row r="436" ht="15.75" customHeight="1">
      <c r="A436" s="20" t="s">
        <v>979</v>
      </c>
      <c r="B436" s="20" t="s">
        <v>980</v>
      </c>
      <c r="C436" s="89">
        <v>46.24</v>
      </c>
      <c r="D436" s="90">
        <v>0.25</v>
      </c>
      <c r="E436" s="89">
        <f t="shared" si="1"/>
        <v>34.68</v>
      </c>
      <c r="F436" s="20" t="s">
        <v>131</v>
      </c>
      <c r="G436" s="20" t="s">
        <v>132</v>
      </c>
    </row>
    <row r="437" ht="15.75" customHeight="1">
      <c r="A437" s="20" t="s">
        <v>981</v>
      </c>
      <c r="B437" s="20" t="s">
        <v>982</v>
      </c>
      <c r="C437" s="89">
        <v>39.78</v>
      </c>
      <c r="D437" s="90">
        <v>0.25</v>
      </c>
      <c r="E437" s="89">
        <f t="shared" si="1"/>
        <v>29.835</v>
      </c>
      <c r="F437" s="20" t="s">
        <v>131</v>
      </c>
      <c r="G437" s="20" t="s">
        <v>132</v>
      </c>
    </row>
    <row r="438" ht="15.75" customHeight="1">
      <c r="A438" s="20" t="s">
        <v>983</v>
      </c>
      <c r="B438" s="20" t="s">
        <v>1447</v>
      </c>
      <c r="C438" s="89">
        <v>41.38</v>
      </c>
      <c r="D438" s="90">
        <v>0.25</v>
      </c>
      <c r="E438" s="89">
        <f t="shared" si="1"/>
        <v>31.035</v>
      </c>
      <c r="F438" s="20" t="s">
        <v>131</v>
      </c>
      <c r="G438" s="20" t="s">
        <v>132</v>
      </c>
    </row>
    <row r="439" ht="15.75" customHeight="1">
      <c r="A439" s="20" t="s">
        <v>985</v>
      </c>
      <c r="B439" s="20" t="s">
        <v>1448</v>
      </c>
      <c r="C439" s="89">
        <v>43.58</v>
      </c>
      <c r="D439" s="90">
        <v>0.25</v>
      </c>
      <c r="E439" s="89">
        <f t="shared" si="1"/>
        <v>32.685</v>
      </c>
      <c r="F439" s="20" t="s">
        <v>131</v>
      </c>
      <c r="G439" s="20" t="s">
        <v>132</v>
      </c>
    </row>
    <row r="440" ht="15.75" customHeight="1">
      <c r="A440" s="20" t="s">
        <v>987</v>
      </c>
      <c r="B440" s="20" t="s">
        <v>988</v>
      </c>
      <c r="C440" s="89">
        <v>51.2</v>
      </c>
      <c r="D440" s="90">
        <v>0.25</v>
      </c>
      <c r="E440" s="89">
        <f t="shared" si="1"/>
        <v>38.4</v>
      </c>
      <c r="F440" s="20" t="s">
        <v>131</v>
      </c>
      <c r="G440" s="20" t="s">
        <v>132</v>
      </c>
    </row>
    <row r="441" ht="15.75" customHeight="1">
      <c r="A441" s="20" t="s">
        <v>989</v>
      </c>
      <c r="B441" s="20" t="s">
        <v>990</v>
      </c>
      <c r="C441" s="89">
        <v>82.17</v>
      </c>
      <c r="D441" s="90">
        <v>0.25</v>
      </c>
      <c r="E441" s="89">
        <f t="shared" si="1"/>
        <v>61.6275</v>
      </c>
      <c r="F441" s="20" t="s">
        <v>131</v>
      </c>
      <c r="G441" s="20" t="s">
        <v>132</v>
      </c>
    </row>
    <row r="442" ht="15.75" customHeight="1">
      <c r="A442" s="20" t="s">
        <v>991</v>
      </c>
      <c r="B442" s="20" t="s">
        <v>992</v>
      </c>
      <c r="C442" s="89">
        <v>75.58</v>
      </c>
      <c r="D442" s="90">
        <v>0.25</v>
      </c>
      <c r="E442" s="89">
        <f t="shared" si="1"/>
        <v>56.685</v>
      </c>
      <c r="F442" s="20" t="s">
        <v>131</v>
      </c>
      <c r="G442" s="20" t="s">
        <v>132</v>
      </c>
    </row>
    <row r="443" ht="15.75" customHeight="1">
      <c r="A443" s="20" t="s">
        <v>993</v>
      </c>
      <c r="B443" s="20" t="s">
        <v>994</v>
      </c>
      <c r="C443" s="89">
        <v>89.89</v>
      </c>
      <c r="D443" s="90">
        <v>0.25</v>
      </c>
      <c r="E443" s="89">
        <f t="shared" si="1"/>
        <v>67.4175</v>
      </c>
      <c r="F443" s="20" t="s">
        <v>131</v>
      </c>
      <c r="G443" s="20" t="s">
        <v>132</v>
      </c>
    </row>
    <row r="444" ht="15.75" customHeight="1">
      <c r="A444" s="20" t="s">
        <v>995</v>
      </c>
      <c r="B444" s="20" t="s">
        <v>996</v>
      </c>
      <c r="C444" s="89">
        <v>78.87</v>
      </c>
      <c r="D444" s="90">
        <v>0.25</v>
      </c>
      <c r="E444" s="89">
        <f t="shared" si="1"/>
        <v>59.1525</v>
      </c>
      <c r="F444" s="20" t="s">
        <v>131</v>
      </c>
      <c r="G444" s="20" t="s">
        <v>132</v>
      </c>
    </row>
    <row r="445" ht="15.75" customHeight="1">
      <c r="A445" s="20" t="s">
        <v>997</v>
      </c>
      <c r="B445" s="20" t="s">
        <v>998</v>
      </c>
      <c r="C445" s="89">
        <v>78.87</v>
      </c>
      <c r="D445" s="90">
        <v>0.25</v>
      </c>
      <c r="E445" s="89">
        <f t="shared" si="1"/>
        <v>59.1525</v>
      </c>
      <c r="F445" s="20" t="s">
        <v>131</v>
      </c>
      <c r="G445" s="20" t="s">
        <v>132</v>
      </c>
    </row>
    <row r="446" ht="15.75" customHeight="1">
      <c r="A446" s="20" t="s">
        <v>999</v>
      </c>
      <c r="B446" s="20" t="s">
        <v>1000</v>
      </c>
      <c r="C446" s="89">
        <v>82.17</v>
      </c>
      <c r="D446" s="90">
        <v>0.25</v>
      </c>
      <c r="E446" s="89">
        <f t="shared" si="1"/>
        <v>61.6275</v>
      </c>
      <c r="F446" s="20" t="s">
        <v>131</v>
      </c>
      <c r="G446" s="20" t="s">
        <v>132</v>
      </c>
    </row>
    <row r="447" ht="15.75" customHeight="1">
      <c r="A447" s="20" t="s">
        <v>1001</v>
      </c>
      <c r="B447" s="20" t="s">
        <v>1002</v>
      </c>
      <c r="C447" s="89">
        <v>82.17</v>
      </c>
      <c r="D447" s="90">
        <v>0.25</v>
      </c>
      <c r="E447" s="89">
        <f t="shared" si="1"/>
        <v>61.6275</v>
      </c>
      <c r="F447" s="20" t="s">
        <v>131</v>
      </c>
      <c r="G447" s="20" t="s">
        <v>132</v>
      </c>
    </row>
    <row r="448" ht="15.75" customHeight="1">
      <c r="A448" s="20" t="s">
        <v>1003</v>
      </c>
      <c r="B448" s="20" t="s">
        <v>1004</v>
      </c>
      <c r="C448" s="89">
        <v>54.91</v>
      </c>
      <c r="D448" s="90">
        <v>0.25</v>
      </c>
      <c r="E448" s="89">
        <f t="shared" si="1"/>
        <v>41.1825</v>
      </c>
      <c r="F448" s="20" t="s">
        <v>131</v>
      </c>
      <c r="G448" s="20" t="s">
        <v>132</v>
      </c>
    </row>
    <row r="449" ht="15.75" customHeight="1">
      <c r="A449" s="20" t="s">
        <v>1005</v>
      </c>
      <c r="B449" s="20" t="s">
        <v>1006</v>
      </c>
      <c r="C449" s="89">
        <v>27.24</v>
      </c>
      <c r="D449" s="90">
        <v>0.25</v>
      </c>
      <c r="E449" s="89">
        <f t="shared" si="1"/>
        <v>20.43</v>
      </c>
      <c r="F449" s="20" t="s">
        <v>131</v>
      </c>
      <c r="G449" s="20" t="s">
        <v>132</v>
      </c>
    </row>
    <row r="450" ht="15.75" customHeight="1">
      <c r="A450" s="20" t="s">
        <v>1007</v>
      </c>
      <c r="B450" s="20" t="s">
        <v>1008</v>
      </c>
      <c r="C450" s="89">
        <v>37.13</v>
      </c>
      <c r="D450" s="90">
        <v>0.25</v>
      </c>
      <c r="E450" s="89">
        <f t="shared" si="1"/>
        <v>27.8475</v>
      </c>
      <c r="F450" s="20" t="s">
        <v>131</v>
      </c>
      <c r="G450" s="20" t="s">
        <v>132</v>
      </c>
    </row>
    <row r="451" ht="15.75" customHeight="1">
      <c r="A451" s="20" t="s">
        <v>1009</v>
      </c>
      <c r="B451" s="20" t="s">
        <v>1010</v>
      </c>
      <c r="C451" s="89">
        <v>76.41</v>
      </c>
      <c r="D451" s="90">
        <v>0.25</v>
      </c>
      <c r="E451" s="89">
        <f t="shared" si="1"/>
        <v>57.3075</v>
      </c>
      <c r="F451" s="20" t="s">
        <v>131</v>
      </c>
      <c r="G451" s="20" t="s">
        <v>132</v>
      </c>
    </row>
    <row r="452" ht="15.75" customHeight="1">
      <c r="A452" s="20" t="s">
        <v>1011</v>
      </c>
      <c r="B452" s="20" t="s">
        <v>1012</v>
      </c>
      <c r="C452" s="89">
        <v>67.05</v>
      </c>
      <c r="D452" s="90">
        <v>0.25</v>
      </c>
      <c r="E452" s="89">
        <f t="shared" si="1"/>
        <v>50.2875</v>
      </c>
      <c r="F452" s="20" t="s">
        <v>131</v>
      </c>
      <c r="G452" s="20" t="s">
        <v>132</v>
      </c>
    </row>
    <row r="453" ht="15.75" customHeight="1">
      <c r="A453" s="20" t="s">
        <v>1449</v>
      </c>
      <c r="B453" s="20" t="s">
        <v>1014</v>
      </c>
      <c r="C453" s="89">
        <v>71.49</v>
      </c>
      <c r="D453" s="90">
        <v>0.25</v>
      </c>
      <c r="E453" s="89">
        <f t="shared" si="1"/>
        <v>53.6175</v>
      </c>
      <c r="F453" s="20" t="s">
        <v>131</v>
      </c>
      <c r="G453" s="20" t="s">
        <v>132</v>
      </c>
    </row>
    <row r="454" ht="15.75" customHeight="1">
      <c r="A454" s="20" t="s">
        <v>1015</v>
      </c>
      <c r="B454" s="20" t="s">
        <v>1016</v>
      </c>
      <c r="C454" s="89">
        <v>74.82</v>
      </c>
      <c r="D454" s="90">
        <v>0.25</v>
      </c>
      <c r="E454" s="89">
        <f t="shared" si="1"/>
        <v>56.115</v>
      </c>
      <c r="F454" s="20" t="s">
        <v>131</v>
      </c>
      <c r="G454" s="20" t="s">
        <v>132</v>
      </c>
    </row>
    <row r="455" ht="15.75" customHeight="1">
      <c r="A455" s="20" t="s">
        <v>1017</v>
      </c>
      <c r="B455" s="20" t="s">
        <v>1018</v>
      </c>
      <c r="C455" s="89">
        <v>77.79</v>
      </c>
      <c r="D455" s="90">
        <v>0.25</v>
      </c>
      <c r="E455" s="89">
        <f t="shared" si="1"/>
        <v>58.3425</v>
      </c>
      <c r="F455" s="20" t="s">
        <v>131</v>
      </c>
      <c r="G455" s="20" t="s">
        <v>132</v>
      </c>
    </row>
    <row r="456" ht="15.75" customHeight="1">
      <c r="A456" s="20" t="s">
        <v>1019</v>
      </c>
      <c r="B456" s="20" t="s">
        <v>1020</v>
      </c>
      <c r="C456" s="89">
        <v>81.87</v>
      </c>
      <c r="D456" s="90">
        <v>0.25</v>
      </c>
      <c r="E456" s="89">
        <f t="shared" si="1"/>
        <v>61.4025</v>
      </c>
      <c r="F456" s="20" t="s">
        <v>131</v>
      </c>
      <c r="G456" s="20" t="s">
        <v>132</v>
      </c>
    </row>
    <row r="457" ht="15.75" customHeight="1">
      <c r="A457" s="20" t="s">
        <v>1021</v>
      </c>
      <c r="B457" s="20" t="s">
        <v>1022</v>
      </c>
      <c r="C457" s="89">
        <v>96.01</v>
      </c>
      <c r="D457" s="90">
        <v>0.25</v>
      </c>
      <c r="E457" s="89">
        <f t="shared" si="1"/>
        <v>72.0075</v>
      </c>
      <c r="F457" s="20" t="s">
        <v>131</v>
      </c>
      <c r="G457" s="20" t="s">
        <v>132</v>
      </c>
    </row>
    <row r="458" ht="15.75" customHeight="1">
      <c r="A458" s="20" t="s">
        <v>1023</v>
      </c>
      <c r="B458" s="20" t="s">
        <v>1024</v>
      </c>
      <c r="C458" s="89">
        <v>134.71</v>
      </c>
      <c r="D458" s="90">
        <v>0.25</v>
      </c>
      <c r="E458" s="89">
        <f t="shared" si="1"/>
        <v>101.0325</v>
      </c>
      <c r="F458" s="20" t="s">
        <v>131</v>
      </c>
      <c r="G458" s="20" t="s">
        <v>132</v>
      </c>
    </row>
    <row r="459" ht="15.75" customHeight="1">
      <c r="A459" s="20" t="s">
        <v>1025</v>
      </c>
      <c r="B459" s="20" t="s">
        <v>1026</v>
      </c>
      <c r="C459" s="89">
        <v>127.04</v>
      </c>
      <c r="D459" s="90">
        <v>0.25</v>
      </c>
      <c r="E459" s="89">
        <f t="shared" si="1"/>
        <v>95.28</v>
      </c>
      <c r="F459" s="20" t="s">
        <v>131</v>
      </c>
      <c r="G459" s="20" t="s">
        <v>132</v>
      </c>
    </row>
    <row r="460" ht="15.75" customHeight="1">
      <c r="A460" s="20" t="s">
        <v>1027</v>
      </c>
      <c r="B460" s="20" t="s">
        <v>1028</v>
      </c>
      <c r="C460" s="89">
        <v>143.69</v>
      </c>
      <c r="D460" s="90">
        <v>0.25</v>
      </c>
      <c r="E460" s="89">
        <f t="shared" si="1"/>
        <v>107.7675</v>
      </c>
      <c r="F460" s="20" t="s">
        <v>131</v>
      </c>
      <c r="G460" s="20" t="s">
        <v>132</v>
      </c>
    </row>
    <row r="461" ht="15.75" customHeight="1">
      <c r="A461" s="20" t="s">
        <v>1029</v>
      </c>
      <c r="B461" s="20" t="s">
        <v>1030</v>
      </c>
      <c r="C461" s="89">
        <v>130.87</v>
      </c>
      <c r="D461" s="90">
        <v>0.25</v>
      </c>
      <c r="E461" s="89">
        <f t="shared" si="1"/>
        <v>98.1525</v>
      </c>
      <c r="F461" s="20" t="s">
        <v>131</v>
      </c>
      <c r="G461" s="20" t="s">
        <v>132</v>
      </c>
    </row>
    <row r="462" ht="15.75" customHeight="1">
      <c r="A462" s="20" t="s">
        <v>1031</v>
      </c>
      <c r="B462" s="20" t="s">
        <v>1032</v>
      </c>
      <c r="C462" s="89">
        <v>130.87</v>
      </c>
      <c r="D462" s="90">
        <v>0.25</v>
      </c>
      <c r="E462" s="89">
        <f t="shared" si="1"/>
        <v>98.1525</v>
      </c>
      <c r="F462" s="20" t="s">
        <v>131</v>
      </c>
      <c r="G462" s="20" t="s">
        <v>132</v>
      </c>
    </row>
    <row r="463" ht="15.75" customHeight="1">
      <c r="A463" s="20" t="s">
        <v>1033</v>
      </c>
      <c r="B463" s="20" t="s">
        <v>1034</v>
      </c>
      <c r="C463" s="89">
        <v>134.71</v>
      </c>
      <c r="D463" s="90">
        <v>0.25</v>
      </c>
      <c r="E463" s="89">
        <f t="shared" si="1"/>
        <v>101.0325</v>
      </c>
      <c r="F463" s="20" t="s">
        <v>131</v>
      </c>
      <c r="G463" s="20" t="s">
        <v>132</v>
      </c>
    </row>
    <row r="464" ht="15.75" customHeight="1">
      <c r="A464" s="20" t="s">
        <v>1035</v>
      </c>
      <c r="B464" s="20" t="s">
        <v>1036</v>
      </c>
      <c r="C464" s="89">
        <v>134.71</v>
      </c>
      <c r="D464" s="90">
        <v>0.25</v>
      </c>
      <c r="E464" s="89">
        <f t="shared" si="1"/>
        <v>101.0325</v>
      </c>
      <c r="F464" s="20" t="s">
        <v>131</v>
      </c>
      <c r="G464" s="20" t="s">
        <v>132</v>
      </c>
    </row>
    <row r="465" ht="15.75" customHeight="1">
      <c r="A465" s="20" t="s">
        <v>1037</v>
      </c>
      <c r="B465" s="20" t="s">
        <v>1038</v>
      </c>
      <c r="C465" s="89">
        <v>102.89</v>
      </c>
      <c r="D465" s="90">
        <v>0.25</v>
      </c>
      <c r="E465" s="89">
        <f t="shared" si="1"/>
        <v>77.1675</v>
      </c>
      <c r="F465" s="20" t="s">
        <v>131</v>
      </c>
      <c r="G465" s="20" t="s">
        <v>132</v>
      </c>
    </row>
    <row r="466" ht="15.75" customHeight="1">
      <c r="A466" s="20" t="s">
        <v>1039</v>
      </c>
      <c r="B466" s="20" t="s">
        <v>1040</v>
      </c>
      <c r="C466" s="89">
        <v>69.9</v>
      </c>
      <c r="D466" s="90">
        <v>0.25</v>
      </c>
      <c r="E466" s="89">
        <f t="shared" si="1"/>
        <v>52.425</v>
      </c>
      <c r="F466" s="20" t="s">
        <v>131</v>
      </c>
      <c r="G466" s="20" t="s">
        <v>132</v>
      </c>
    </row>
    <row r="467" ht="15.75" customHeight="1">
      <c r="A467" s="20" t="s">
        <v>1041</v>
      </c>
      <c r="B467" s="20" t="s">
        <v>1042</v>
      </c>
      <c r="C467" s="89">
        <v>126.9</v>
      </c>
      <c r="D467" s="90">
        <v>0.25</v>
      </c>
      <c r="E467" s="89">
        <f t="shared" si="1"/>
        <v>95.175</v>
      </c>
      <c r="F467" s="20" t="s">
        <v>131</v>
      </c>
      <c r="G467" s="20" t="s">
        <v>132</v>
      </c>
    </row>
    <row r="468" ht="15.75" customHeight="1">
      <c r="A468" s="20" t="s">
        <v>1043</v>
      </c>
      <c r="B468" s="20" t="s">
        <v>1044</v>
      </c>
      <c r="C468" s="89">
        <v>44.61</v>
      </c>
      <c r="D468" s="90">
        <v>0.25</v>
      </c>
      <c r="E468" s="89">
        <f t="shared" si="1"/>
        <v>33.4575</v>
      </c>
      <c r="F468" s="20" t="s">
        <v>131</v>
      </c>
      <c r="G468" s="20" t="s">
        <v>132</v>
      </c>
    </row>
    <row r="469" ht="15.75" customHeight="1">
      <c r="A469" s="20" t="s">
        <v>1045</v>
      </c>
      <c r="B469" s="20" t="s">
        <v>1046</v>
      </c>
      <c r="C469" s="89">
        <v>38.12</v>
      </c>
      <c r="D469" s="90">
        <v>0.25</v>
      </c>
      <c r="E469" s="89">
        <f t="shared" si="1"/>
        <v>28.59</v>
      </c>
      <c r="F469" s="20" t="s">
        <v>131</v>
      </c>
      <c r="G469" s="20" t="s">
        <v>132</v>
      </c>
    </row>
    <row r="470" ht="15.75" customHeight="1">
      <c r="A470" s="20" t="s">
        <v>1047</v>
      </c>
      <c r="B470" s="20" t="s">
        <v>1048</v>
      </c>
      <c r="C470" s="89">
        <v>49.37</v>
      </c>
      <c r="D470" s="90">
        <v>0.25</v>
      </c>
      <c r="E470" s="89">
        <f t="shared" si="1"/>
        <v>37.0275</v>
      </c>
      <c r="F470" s="20" t="s">
        <v>131</v>
      </c>
      <c r="G470" s="20" t="s">
        <v>132</v>
      </c>
    </row>
    <row r="471" ht="15.75" customHeight="1">
      <c r="A471" s="20" t="s">
        <v>1049</v>
      </c>
      <c r="B471" s="20" t="s">
        <v>1050</v>
      </c>
      <c r="C471" s="89">
        <v>51.18</v>
      </c>
      <c r="D471" s="90">
        <v>0.25</v>
      </c>
      <c r="E471" s="89">
        <f t="shared" si="1"/>
        <v>38.385</v>
      </c>
      <c r="F471" s="20" t="s">
        <v>131</v>
      </c>
      <c r="G471" s="20" t="s">
        <v>132</v>
      </c>
    </row>
    <row r="472" ht="15.75" customHeight="1">
      <c r="A472" s="20" t="s">
        <v>1051</v>
      </c>
      <c r="B472" s="20" t="s">
        <v>1052</v>
      </c>
      <c r="C472" s="89">
        <v>53.68</v>
      </c>
      <c r="D472" s="90">
        <v>0.25</v>
      </c>
      <c r="E472" s="89">
        <f t="shared" si="1"/>
        <v>40.26</v>
      </c>
      <c r="F472" s="20" t="s">
        <v>131</v>
      </c>
      <c r="G472" s="20" t="s">
        <v>132</v>
      </c>
    </row>
    <row r="473" ht="15.75" customHeight="1">
      <c r="A473" s="20" t="s">
        <v>1053</v>
      </c>
      <c r="B473" s="20" t="s">
        <v>1054</v>
      </c>
      <c r="C473" s="89">
        <v>62.33</v>
      </c>
      <c r="D473" s="90">
        <v>0.25</v>
      </c>
      <c r="E473" s="89">
        <f t="shared" si="1"/>
        <v>46.7475</v>
      </c>
      <c r="F473" s="20" t="s">
        <v>131</v>
      </c>
      <c r="G473" s="20" t="s">
        <v>132</v>
      </c>
    </row>
    <row r="474" ht="15.75" customHeight="1">
      <c r="A474" s="20" t="s">
        <v>1055</v>
      </c>
      <c r="B474" s="20" t="s">
        <v>1056</v>
      </c>
      <c r="C474" s="89">
        <v>103.49</v>
      </c>
      <c r="D474" s="90">
        <v>0.25</v>
      </c>
      <c r="E474" s="89">
        <f t="shared" si="1"/>
        <v>77.6175</v>
      </c>
      <c r="F474" s="20" t="s">
        <v>131</v>
      </c>
      <c r="G474" s="20" t="s">
        <v>132</v>
      </c>
    </row>
    <row r="475" ht="15.75" customHeight="1">
      <c r="A475" s="20" t="s">
        <v>1057</v>
      </c>
      <c r="B475" s="20" t="s">
        <v>1058</v>
      </c>
      <c r="C475" s="89">
        <v>94.7</v>
      </c>
      <c r="D475" s="90">
        <v>0.25</v>
      </c>
      <c r="E475" s="89">
        <f t="shared" si="1"/>
        <v>71.025</v>
      </c>
      <c r="F475" s="20" t="s">
        <v>131</v>
      </c>
      <c r="G475" s="20" t="s">
        <v>132</v>
      </c>
    </row>
    <row r="476" ht="15.75" customHeight="1">
      <c r="A476" s="20" t="s">
        <v>1059</v>
      </c>
      <c r="B476" s="20" t="s">
        <v>1060</v>
      </c>
      <c r="C476" s="89">
        <v>113.8</v>
      </c>
      <c r="D476" s="90">
        <v>0.25</v>
      </c>
      <c r="E476" s="89">
        <f t="shared" si="1"/>
        <v>85.35</v>
      </c>
      <c r="F476" s="20" t="s">
        <v>131</v>
      </c>
      <c r="G476" s="20" t="s">
        <v>132</v>
      </c>
    </row>
    <row r="477" ht="15.75" customHeight="1">
      <c r="A477" s="20" t="s">
        <v>1061</v>
      </c>
      <c r="B477" s="20" t="s">
        <v>1062</v>
      </c>
      <c r="C477" s="89">
        <v>99.09</v>
      </c>
      <c r="D477" s="90">
        <v>0.25</v>
      </c>
      <c r="E477" s="89">
        <f t="shared" si="1"/>
        <v>74.3175</v>
      </c>
      <c r="F477" s="20" t="s">
        <v>131</v>
      </c>
      <c r="G477" s="20" t="s">
        <v>132</v>
      </c>
    </row>
    <row r="478" ht="15.75" customHeight="1">
      <c r="A478" s="20" t="s">
        <v>1063</v>
      </c>
      <c r="B478" s="20" t="s">
        <v>1064</v>
      </c>
      <c r="C478" s="89">
        <v>99.09</v>
      </c>
      <c r="D478" s="90">
        <v>0.25</v>
      </c>
      <c r="E478" s="89">
        <f t="shared" si="1"/>
        <v>74.3175</v>
      </c>
      <c r="F478" s="20" t="s">
        <v>131</v>
      </c>
      <c r="G478" s="20" t="s">
        <v>132</v>
      </c>
    </row>
    <row r="479" ht="15.75" customHeight="1">
      <c r="A479" s="20" t="s">
        <v>1065</v>
      </c>
      <c r="B479" s="20" t="s">
        <v>1066</v>
      </c>
      <c r="C479" s="89">
        <v>103.49</v>
      </c>
      <c r="D479" s="90">
        <v>0.25</v>
      </c>
      <c r="E479" s="89">
        <f t="shared" si="1"/>
        <v>77.6175</v>
      </c>
      <c r="F479" s="20" t="s">
        <v>131</v>
      </c>
      <c r="G479" s="20" t="s">
        <v>132</v>
      </c>
    </row>
    <row r="480" ht="15.75" customHeight="1">
      <c r="A480" s="20" t="s">
        <v>1067</v>
      </c>
      <c r="B480" s="20" t="s">
        <v>1068</v>
      </c>
      <c r="C480" s="89">
        <v>103.49</v>
      </c>
      <c r="D480" s="90">
        <v>0.25</v>
      </c>
      <c r="E480" s="89">
        <f t="shared" si="1"/>
        <v>77.6175</v>
      </c>
      <c r="F480" s="20" t="s">
        <v>131</v>
      </c>
      <c r="G480" s="20" t="s">
        <v>132</v>
      </c>
    </row>
    <row r="481" ht="15.75" customHeight="1">
      <c r="A481" s="20" t="s">
        <v>1069</v>
      </c>
      <c r="B481" s="20" t="s">
        <v>1070</v>
      </c>
      <c r="C481" s="89">
        <v>66.54</v>
      </c>
      <c r="D481" s="90">
        <v>0.25</v>
      </c>
      <c r="E481" s="89">
        <f t="shared" si="1"/>
        <v>49.905</v>
      </c>
      <c r="F481" s="20" t="s">
        <v>131</v>
      </c>
      <c r="G481" s="20" t="s">
        <v>132</v>
      </c>
    </row>
    <row r="482" ht="15.75" customHeight="1">
      <c r="A482" s="20" t="s">
        <v>1071</v>
      </c>
      <c r="B482" s="20" t="s">
        <v>1072</v>
      </c>
      <c r="C482" s="89">
        <v>46.36</v>
      </c>
      <c r="D482" s="90">
        <v>0.25</v>
      </c>
      <c r="E482" s="89">
        <f t="shared" si="1"/>
        <v>34.77</v>
      </c>
      <c r="F482" s="20" t="s">
        <v>131</v>
      </c>
      <c r="G482" s="20" t="s">
        <v>132</v>
      </c>
    </row>
    <row r="483" ht="15.75" customHeight="1">
      <c r="A483" s="20" t="s">
        <v>1073</v>
      </c>
      <c r="B483" s="20" t="s">
        <v>1074</v>
      </c>
      <c r="C483" s="89">
        <v>97.21</v>
      </c>
      <c r="D483" s="90">
        <v>0.25</v>
      </c>
      <c r="E483" s="89">
        <f t="shared" si="1"/>
        <v>72.9075</v>
      </c>
      <c r="F483" s="20" t="s">
        <v>131</v>
      </c>
      <c r="G483" s="20" t="s">
        <v>132</v>
      </c>
    </row>
    <row r="484" ht="15.75" customHeight="1">
      <c r="A484" s="20" t="s">
        <v>1075</v>
      </c>
      <c r="B484" s="20" t="s">
        <v>1076</v>
      </c>
      <c r="C484" s="89">
        <v>160.47</v>
      </c>
      <c r="D484" s="90">
        <v>0.25</v>
      </c>
      <c r="E484" s="89">
        <f t="shared" si="1"/>
        <v>120.3525</v>
      </c>
      <c r="F484" s="20" t="s">
        <v>131</v>
      </c>
      <c r="G484" s="20" t="s">
        <v>132</v>
      </c>
    </row>
    <row r="485" ht="15.75" customHeight="1">
      <c r="A485" s="20" t="s">
        <v>1077</v>
      </c>
      <c r="B485" s="20" t="s">
        <v>1078</v>
      </c>
      <c r="C485" s="89">
        <v>137.45</v>
      </c>
      <c r="D485" s="90">
        <v>0.25</v>
      </c>
      <c r="E485" s="89">
        <f t="shared" si="1"/>
        <v>103.0875</v>
      </c>
      <c r="F485" s="20" t="s">
        <v>131</v>
      </c>
      <c r="G485" s="20" t="s">
        <v>132</v>
      </c>
    </row>
    <row r="486" ht="15.75" customHeight="1">
      <c r="A486" s="20" t="s">
        <v>1079</v>
      </c>
      <c r="B486" s="20" t="s">
        <v>1080</v>
      </c>
      <c r="C486" s="89">
        <v>195.05</v>
      </c>
      <c r="D486" s="90">
        <v>0.25</v>
      </c>
      <c r="E486" s="89">
        <f t="shared" si="1"/>
        <v>146.2875</v>
      </c>
      <c r="F486" s="20" t="s">
        <v>131</v>
      </c>
      <c r="G486" s="20" t="s">
        <v>132</v>
      </c>
    </row>
    <row r="487" ht="15.75" customHeight="1">
      <c r="A487" s="20" t="s">
        <v>1081</v>
      </c>
      <c r="B487" s="20" t="s">
        <v>1082</v>
      </c>
      <c r="C487" s="89">
        <v>183.74</v>
      </c>
      <c r="D487" s="90">
        <v>0.25</v>
      </c>
      <c r="E487" s="89">
        <f t="shared" si="1"/>
        <v>137.805</v>
      </c>
      <c r="F487" s="20" t="s">
        <v>131</v>
      </c>
      <c r="G487" s="20" t="s">
        <v>132</v>
      </c>
    </row>
    <row r="488" ht="15.75" customHeight="1">
      <c r="A488" s="20" t="s">
        <v>1083</v>
      </c>
      <c r="B488" s="20" t="s">
        <v>1084</v>
      </c>
      <c r="C488" s="89">
        <v>192.59</v>
      </c>
      <c r="D488" s="90">
        <v>0.25</v>
      </c>
      <c r="E488" s="89">
        <f t="shared" si="1"/>
        <v>144.4425</v>
      </c>
      <c r="F488" s="20" t="s">
        <v>131</v>
      </c>
      <c r="G488" s="20" t="s">
        <v>132</v>
      </c>
    </row>
    <row r="489" ht="15.75" customHeight="1">
      <c r="A489" s="20" t="s">
        <v>1085</v>
      </c>
      <c r="B489" s="20" t="s">
        <v>1086</v>
      </c>
      <c r="C489" s="89">
        <v>223.25</v>
      </c>
      <c r="D489" s="90">
        <v>0.25</v>
      </c>
      <c r="E489" s="89">
        <f t="shared" si="1"/>
        <v>167.4375</v>
      </c>
      <c r="F489" s="20" t="s">
        <v>131</v>
      </c>
      <c r="G489" s="20" t="s">
        <v>132</v>
      </c>
    </row>
    <row r="490" ht="15.75" customHeight="1">
      <c r="A490" s="20" t="s">
        <v>1087</v>
      </c>
      <c r="B490" s="20" t="s">
        <v>1088</v>
      </c>
      <c r="C490" s="89">
        <v>313.81</v>
      </c>
      <c r="D490" s="90">
        <v>0.25</v>
      </c>
      <c r="E490" s="89">
        <f t="shared" si="1"/>
        <v>235.3575</v>
      </c>
      <c r="F490" s="20" t="s">
        <v>131</v>
      </c>
      <c r="G490" s="20" t="s">
        <v>132</v>
      </c>
    </row>
    <row r="491" ht="15.75" customHeight="1">
      <c r="A491" s="20" t="s">
        <v>1089</v>
      </c>
      <c r="B491" s="20" t="s">
        <v>1090</v>
      </c>
      <c r="C491" s="89">
        <v>302.59</v>
      </c>
      <c r="D491" s="90">
        <v>0.25</v>
      </c>
      <c r="E491" s="89">
        <f t="shared" si="1"/>
        <v>226.9425</v>
      </c>
      <c r="F491" s="20" t="s">
        <v>131</v>
      </c>
      <c r="G491" s="20" t="s">
        <v>132</v>
      </c>
    </row>
    <row r="492" ht="15.75" customHeight="1">
      <c r="A492" s="20" t="s">
        <v>1091</v>
      </c>
      <c r="B492" s="20" t="s">
        <v>1092</v>
      </c>
      <c r="C492" s="89">
        <v>326.93</v>
      </c>
      <c r="D492" s="90">
        <v>0.25</v>
      </c>
      <c r="E492" s="89">
        <f t="shared" si="1"/>
        <v>245.1975</v>
      </c>
      <c r="F492" s="20" t="s">
        <v>131</v>
      </c>
      <c r="G492" s="20" t="s">
        <v>132</v>
      </c>
    </row>
    <row r="493" ht="15.75" customHeight="1">
      <c r="A493" s="20" t="s">
        <v>1093</v>
      </c>
      <c r="B493" s="20" t="s">
        <v>1094</v>
      </c>
      <c r="C493" s="89">
        <v>308.17</v>
      </c>
      <c r="D493" s="90">
        <v>0.25</v>
      </c>
      <c r="E493" s="89">
        <f t="shared" si="1"/>
        <v>231.1275</v>
      </c>
      <c r="F493" s="20" t="s">
        <v>131</v>
      </c>
      <c r="G493" s="20" t="s">
        <v>132</v>
      </c>
    </row>
    <row r="494" ht="15.75" customHeight="1">
      <c r="A494" s="20" t="s">
        <v>1095</v>
      </c>
      <c r="B494" s="20" t="s">
        <v>1096</v>
      </c>
      <c r="C494" s="89">
        <v>308.17</v>
      </c>
      <c r="D494" s="90">
        <v>0.25</v>
      </c>
      <c r="E494" s="89">
        <f t="shared" si="1"/>
        <v>231.1275</v>
      </c>
      <c r="F494" s="20" t="s">
        <v>131</v>
      </c>
      <c r="G494" s="20" t="s">
        <v>132</v>
      </c>
    </row>
    <row r="495" ht="15.75" customHeight="1">
      <c r="A495" s="20" t="s">
        <v>1097</v>
      </c>
      <c r="B495" s="20" t="s">
        <v>1098</v>
      </c>
      <c r="C495" s="89">
        <v>313.81</v>
      </c>
      <c r="D495" s="90">
        <v>0.25</v>
      </c>
      <c r="E495" s="89">
        <f t="shared" si="1"/>
        <v>235.3575</v>
      </c>
      <c r="F495" s="20" t="s">
        <v>131</v>
      </c>
      <c r="G495" s="20" t="s">
        <v>132</v>
      </c>
    </row>
    <row r="496" ht="15.75" customHeight="1">
      <c r="A496" s="20" t="s">
        <v>1099</v>
      </c>
      <c r="B496" s="20" t="s">
        <v>1100</v>
      </c>
      <c r="C496" s="89">
        <v>313.81</v>
      </c>
      <c r="D496" s="90">
        <v>0.25</v>
      </c>
      <c r="E496" s="89">
        <f t="shared" si="1"/>
        <v>235.3575</v>
      </c>
      <c r="F496" s="20" t="s">
        <v>131</v>
      </c>
      <c r="G496" s="20" t="s">
        <v>132</v>
      </c>
    </row>
    <row r="497" ht="15.75" customHeight="1">
      <c r="A497" s="20" t="s">
        <v>1101</v>
      </c>
      <c r="B497" s="20" t="s">
        <v>1102</v>
      </c>
      <c r="C497" s="89">
        <v>238.16</v>
      </c>
      <c r="D497" s="90">
        <v>0.25</v>
      </c>
      <c r="E497" s="89">
        <f t="shared" si="1"/>
        <v>178.62</v>
      </c>
      <c r="F497" s="20" t="s">
        <v>131</v>
      </c>
      <c r="G497" s="20" t="s">
        <v>132</v>
      </c>
    </row>
    <row r="498" ht="15.75" customHeight="1">
      <c r="A498" s="20" t="s">
        <v>1103</v>
      </c>
      <c r="B498" s="20" t="s">
        <v>1104</v>
      </c>
      <c r="C498" s="89">
        <v>166.65</v>
      </c>
      <c r="D498" s="90">
        <v>0.25</v>
      </c>
      <c r="E498" s="89">
        <f t="shared" si="1"/>
        <v>124.9875</v>
      </c>
      <c r="F498" s="20" t="s">
        <v>131</v>
      </c>
      <c r="G498" s="20" t="s">
        <v>132</v>
      </c>
    </row>
    <row r="499" ht="15.75" customHeight="1">
      <c r="A499" s="20" t="s">
        <v>1105</v>
      </c>
      <c r="B499" s="20" t="s">
        <v>1106</v>
      </c>
      <c r="C499" s="89">
        <v>306.96</v>
      </c>
      <c r="D499" s="90">
        <v>0.25</v>
      </c>
      <c r="E499" s="89">
        <f t="shared" si="1"/>
        <v>230.22</v>
      </c>
      <c r="F499" s="20" t="s">
        <v>131</v>
      </c>
      <c r="G499" s="20" t="s">
        <v>132</v>
      </c>
    </row>
    <row r="500" ht="15.75" customHeight="1">
      <c r="A500" s="20" t="s">
        <v>1107</v>
      </c>
      <c r="B500" s="20" t="s">
        <v>1108</v>
      </c>
      <c r="C500" s="89">
        <v>306.96</v>
      </c>
      <c r="D500" s="90">
        <v>0.25</v>
      </c>
      <c r="E500" s="89">
        <f t="shared" si="1"/>
        <v>230.22</v>
      </c>
      <c r="F500" s="20" t="s">
        <v>131</v>
      </c>
      <c r="G500" s="20" t="s">
        <v>132</v>
      </c>
    </row>
    <row r="501" ht="15.75" customHeight="1">
      <c r="A501" s="20" t="s">
        <v>1109</v>
      </c>
      <c r="B501" s="20" t="s">
        <v>1110</v>
      </c>
      <c r="C501" s="89">
        <v>175.96</v>
      </c>
      <c r="D501" s="90">
        <v>0.25</v>
      </c>
      <c r="E501" s="89">
        <f t="shared" si="1"/>
        <v>131.97</v>
      </c>
      <c r="F501" s="20" t="s">
        <v>131</v>
      </c>
      <c r="G501" s="20" t="s">
        <v>132</v>
      </c>
    </row>
    <row r="502" ht="15.75" customHeight="1">
      <c r="A502" s="20" t="s">
        <v>1111</v>
      </c>
      <c r="B502" s="20" t="s">
        <v>1112</v>
      </c>
      <c r="C502" s="89">
        <v>263.93</v>
      </c>
      <c r="D502" s="90">
        <v>0.25</v>
      </c>
      <c r="E502" s="89">
        <f t="shared" si="1"/>
        <v>197.9475</v>
      </c>
      <c r="F502" s="20" t="s">
        <v>131</v>
      </c>
      <c r="G502" s="20" t="s">
        <v>132</v>
      </c>
    </row>
    <row r="503" ht="15.75" customHeight="1">
      <c r="A503" s="20" t="s">
        <v>1113</v>
      </c>
      <c r="B503" s="20" t="s">
        <v>1114</v>
      </c>
      <c r="C503" s="89">
        <v>351.9</v>
      </c>
      <c r="D503" s="90">
        <v>0.25</v>
      </c>
      <c r="E503" s="89">
        <f t="shared" si="1"/>
        <v>263.925</v>
      </c>
      <c r="F503" s="20" t="s">
        <v>131</v>
      </c>
      <c r="G503" s="20" t="s">
        <v>132</v>
      </c>
    </row>
    <row r="504" ht="15.75" customHeight="1">
      <c r="A504" s="20" t="s">
        <v>1115</v>
      </c>
      <c r="B504" s="20" t="s">
        <v>1116</v>
      </c>
      <c r="C504" s="89">
        <v>527.86</v>
      </c>
      <c r="D504" s="90">
        <v>0.25</v>
      </c>
      <c r="E504" s="89">
        <f t="shared" si="1"/>
        <v>395.895</v>
      </c>
      <c r="F504" s="20" t="s">
        <v>131</v>
      </c>
      <c r="G504" s="20" t="s">
        <v>132</v>
      </c>
    </row>
    <row r="505" ht="15.75" customHeight="1">
      <c r="A505" s="20" t="s">
        <v>1117</v>
      </c>
      <c r="B505" s="20" t="s">
        <v>1118</v>
      </c>
      <c r="C505" s="89">
        <v>183.0</v>
      </c>
      <c r="D505" s="90">
        <v>0.25</v>
      </c>
      <c r="E505" s="89">
        <f t="shared" si="1"/>
        <v>137.25</v>
      </c>
      <c r="F505" s="20" t="s">
        <v>131</v>
      </c>
      <c r="G505" s="20" t="s">
        <v>132</v>
      </c>
    </row>
    <row r="506" ht="15.75" customHeight="1">
      <c r="A506" s="20" t="s">
        <v>1119</v>
      </c>
      <c r="B506" s="20" t="s">
        <v>1120</v>
      </c>
      <c r="C506" s="89">
        <v>274.49</v>
      </c>
      <c r="D506" s="90">
        <v>0.25</v>
      </c>
      <c r="E506" s="89">
        <f t="shared" si="1"/>
        <v>205.8675</v>
      </c>
      <c r="F506" s="20" t="s">
        <v>131</v>
      </c>
      <c r="G506" s="20" t="s">
        <v>132</v>
      </c>
    </row>
    <row r="507" ht="15.75" customHeight="1">
      <c r="A507" s="20" t="s">
        <v>1121</v>
      </c>
      <c r="B507" s="20" t="s">
        <v>1122</v>
      </c>
      <c r="C507" s="89">
        <v>365.98</v>
      </c>
      <c r="D507" s="90">
        <v>0.25</v>
      </c>
      <c r="E507" s="89">
        <f t="shared" si="1"/>
        <v>274.485</v>
      </c>
      <c r="F507" s="20" t="s">
        <v>131</v>
      </c>
      <c r="G507" s="20" t="s">
        <v>132</v>
      </c>
    </row>
    <row r="508" ht="15.75" customHeight="1">
      <c r="A508" s="20" t="s">
        <v>1123</v>
      </c>
      <c r="B508" s="20" t="s">
        <v>1124</v>
      </c>
      <c r="C508" s="89">
        <v>548.97</v>
      </c>
      <c r="D508" s="90">
        <v>0.25</v>
      </c>
      <c r="E508" s="89">
        <f t="shared" si="1"/>
        <v>411.7275</v>
      </c>
      <c r="F508" s="20" t="s">
        <v>131</v>
      </c>
      <c r="G508" s="20" t="s">
        <v>132</v>
      </c>
    </row>
    <row r="509" ht="15.75" customHeight="1">
      <c r="A509" s="20" t="s">
        <v>1125</v>
      </c>
      <c r="B509" s="20" t="s">
        <v>1126</v>
      </c>
      <c r="C509" s="89">
        <v>188.28</v>
      </c>
      <c r="D509" s="90">
        <v>0.25</v>
      </c>
      <c r="E509" s="89">
        <f t="shared" si="1"/>
        <v>141.21</v>
      </c>
      <c r="F509" s="20" t="s">
        <v>131</v>
      </c>
      <c r="G509" s="20" t="s">
        <v>132</v>
      </c>
    </row>
    <row r="510" ht="15.75" customHeight="1">
      <c r="A510" s="20" t="s">
        <v>1127</v>
      </c>
      <c r="B510" s="20" t="s">
        <v>1128</v>
      </c>
      <c r="C510" s="89">
        <v>282.41</v>
      </c>
      <c r="D510" s="90">
        <v>0.25</v>
      </c>
      <c r="E510" s="89">
        <f t="shared" si="1"/>
        <v>211.8075</v>
      </c>
      <c r="F510" s="20" t="s">
        <v>131</v>
      </c>
      <c r="G510" s="20" t="s">
        <v>132</v>
      </c>
    </row>
    <row r="511" ht="15.75" customHeight="1">
      <c r="A511" s="20" t="s">
        <v>1129</v>
      </c>
      <c r="B511" s="20" t="s">
        <v>1130</v>
      </c>
      <c r="C511" s="89">
        <v>376.53</v>
      </c>
      <c r="D511" s="90">
        <v>0.25</v>
      </c>
      <c r="E511" s="89">
        <f t="shared" si="1"/>
        <v>282.3975</v>
      </c>
      <c r="F511" s="20" t="s">
        <v>131</v>
      </c>
      <c r="G511" s="20" t="s">
        <v>132</v>
      </c>
    </row>
    <row r="512" ht="15.75" customHeight="1">
      <c r="A512" s="20" t="s">
        <v>1131</v>
      </c>
      <c r="B512" s="20" t="s">
        <v>1132</v>
      </c>
      <c r="C512" s="89">
        <v>564.81</v>
      </c>
      <c r="D512" s="90">
        <v>0.25</v>
      </c>
      <c r="E512" s="89">
        <f t="shared" si="1"/>
        <v>423.6075</v>
      </c>
      <c r="F512" s="20" t="s">
        <v>131</v>
      </c>
      <c r="G512" s="20" t="s">
        <v>132</v>
      </c>
    </row>
    <row r="513" ht="15.75" customHeight="1">
      <c r="A513" s="20" t="s">
        <v>1133</v>
      </c>
      <c r="B513" s="20" t="s">
        <v>1134</v>
      </c>
      <c r="C513" s="89">
        <v>211.15</v>
      </c>
      <c r="D513" s="90">
        <v>0.25</v>
      </c>
      <c r="E513" s="89">
        <f t="shared" si="1"/>
        <v>158.3625</v>
      </c>
      <c r="F513" s="20" t="s">
        <v>131</v>
      </c>
      <c r="G513" s="20" t="s">
        <v>132</v>
      </c>
    </row>
    <row r="514" ht="15.75" customHeight="1">
      <c r="A514" s="20" t="s">
        <v>1135</v>
      </c>
      <c r="B514" s="20" t="s">
        <v>1136</v>
      </c>
      <c r="C514" s="89">
        <v>316.72</v>
      </c>
      <c r="D514" s="90">
        <v>0.25</v>
      </c>
      <c r="E514" s="89">
        <f t="shared" si="1"/>
        <v>237.54</v>
      </c>
      <c r="F514" s="20" t="s">
        <v>131</v>
      </c>
      <c r="G514" s="20" t="s">
        <v>132</v>
      </c>
    </row>
    <row r="515" ht="15.75" customHeight="1">
      <c r="A515" s="20" t="s">
        <v>1137</v>
      </c>
      <c r="B515" s="20" t="s">
        <v>1138</v>
      </c>
      <c r="C515" s="89">
        <v>422.28</v>
      </c>
      <c r="D515" s="90">
        <v>0.25</v>
      </c>
      <c r="E515" s="89">
        <f t="shared" si="1"/>
        <v>316.71</v>
      </c>
      <c r="F515" s="20" t="s">
        <v>131</v>
      </c>
      <c r="G515" s="20" t="s">
        <v>132</v>
      </c>
    </row>
    <row r="516" ht="15.75" customHeight="1">
      <c r="A516" s="20" t="s">
        <v>1139</v>
      </c>
      <c r="B516" s="20" t="s">
        <v>1140</v>
      </c>
      <c r="C516" s="89">
        <v>633.42</v>
      </c>
      <c r="D516" s="90">
        <v>0.25</v>
      </c>
      <c r="E516" s="89">
        <f t="shared" si="1"/>
        <v>475.065</v>
      </c>
      <c r="F516" s="20" t="s">
        <v>131</v>
      </c>
      <c r="G516" s="20" t="s">
        <v>132</v>
      </c>
    </row>
    <row r="517" ht="15.75" customHeight="1">
      <c r="A517" s="20" t="s">
        <v>1141</v>
      </c>
      <c r="B517" s="20" t="s">
        <v>1142</v>
      </c>
      <c r="C517" s="89">
        <v>193.56</v>
      </c>
      <c r="D517" s="90">
        <v>0.25</v>
      </c>
      <c r="E517" s="89">
        <f t="shared" si="1"/>
        <v>145.17</v>
      </c>
      <c r="F517" s="20" t="s">
        <v>131</v>
      </c>
      <c r="G517" s="20" t="s">
        <v>132</v>
      </c>
    </row>
    <row r="518" ht="15.75" customHeight="1">
      <c r="A518" s="20" t="s">
        <v>1143</v>
      </c>
      <c r="B518" s="20" t="s">
        <v>1144</v>
      </c>
      <c r="C518" s="89">
        <v>290.32</v>
      </c>
      <c r="D518" s="90">
        <v>0.25</v>
      </c>
      <c r="E518" s="89">
        <f t="shared" si="1"/>
        <v>217.74</v>
      </c>
      <c r="F518" s="20" t="s">
        <v>131</v>
      </c>
      <c r="G518" s="20" t="s">
        <v>132</v>
      </c>
    </row>
    <row r="519" ht="15.75" customHeight="1">
      <c r="A519" s="20" t="s">
        <v>1145</v>
      </c>
      <c r="B519" s="20" t="s">
        <v>1146</v>
      </c>
      <c r="C519" s="89">
        <v>387.09</v>
      </c>
      <c r="D519" s="90">
        <v>0.25</v>
      </c>
      <c r="E519" s="89">
        <f t="shared" si="1"/>
        <v>290.3175</v>
      </c>
      <c r="F519" s="20" t="s">
        <v>131</v>
      </c>
      <c r="G519" s="20" t="s">
        <v>132</v>
      </c>
    </row>
    <row r="520" ht="15.75" customHeight="1">
      <c r="A520" s="20" t="s">
        <v>1147</v>
      </c>
      <c r="B520" s="20" t="s">
        <v>1148</v>
      </c>
      <c r="C520" s="89">
        <v>580.65</v>
      </c>
      <c r="D520" s="90">
        <v>0.25</v>
      </c>
      <c r="E520" s="89">
        <f t="shared" si="1"/>
        <v>435.4875</v>
      </c>
      <c r="F520" s="20" t="s">
        <v>131</v>
      </c>
      <c r="G520" s="20" t="s">
        <v>132</v>
      </c>
    </row>
    <row r="521" ht="15.75" customHeight="1">
      <c r="A521" s="20" t="s">
        <v>1149</v>
      </c>
      <c r="B521" s="20" t="s">
        <v>1150</v>
      </c>
      <c r="C521" s="89">
        <v>202.35</v>
      </c>
      <c r="D521" s="90">
        <v>0.25</v>
      </c>
      <c r="E521" s="89">
        <f t="shared" si="1"/>
        <v>151.7625</v>
      </c>
      <c r="F521" s="20" t="s">
        <v>131</v>
      </c>
      <c r="G521" s="20" t="s">
        <v>132</v>
      </c>
    </row>
    <row r="522" ht="15.75" customHeight="1">
      <c r="A522" s="20" t="s">
        <v>1151</v>
      </c>
      <c r="B522" s="20" t="s">
        <v>1152</v>
      </c>
      <c r="C522" s="89">
        <v>303.52</v>
      </c>
      <c r="D522" s="90">
        <v>0.25</v>
      </c>
      <c r="E522" s="89">
        <f t="shared" si="1"/>
        <v>227.64</v>
      </c>
      <c r="F522" s="20" t="s">
        <v>131</v>
      </c>
      <c r="G522" s="20" t="s">
        <v>132</v>
      </c>
    </row>
    <row r="523" ht="15.75" customHeight="1">
      <c r="A523" s="20" t="s">
        <v>1153</v>
      </c>
      <c r="B523" s="20" t="s">
        <v>1154</v>
      </c>
      <c r="C523" s="89">
        <v>404.69</v>
      </c>
      <c r="D523" s="90">
        <v>0.25</v>
      </c>
      <c r="E523" s="89">
        <f t="shared" si="1"/>
        <v>303.5175</v>
      </c>
      <c r="F523" s="20" t="s">
        <v>131</v>
      </c>
      <c r="G523" s="20" t="s">
        <v>132</v>
      </c>
    </row>
    <row r="524" ht="15.75" customHeight="1">
      <c r="A524" s="20" t="s">
        <v>1155</v>
      </c>
      <c r="B524" s="20" t="s">
        <v>1156</v>
      </c>
      <c r="C524" s="89">
        <v>607.04</v>
      </c>
      <c r="D524" s="90">
        <v>0.25</v>
      </c>
      <c r="E524" s="89">
        <f t="shared" si="1"/>
        <v>455.28</v>
      </c>
      <c r="F524" s="20" t="s">
        <v>131</v>
      </c>
      <c r="G524" s="20" t="s">
        <v>132</v>
      </c>
    </row>
    <row r="525" ht="15.75" customHeight="1">
      <c r="A525" s="20" t="s">
        <v>1157</v>
      </c>
      <c r="B525" s="20" t="s">
        <v>1158</v>
      </c>
      <c r="C525" s="89">
        <v>373.56</v>
      </c>
      <c r="D525" s="90">
        <v>0.25</v>
      </c>
      <c r="E525" s="89">
        <f t="shared" si="1"/>
        <v>280.17</v>
      </c>
      <c r="F525" s="20" t="s">
        <v>131</v>
      </c>
      <c r="G525" s="20" t="s">
        <v>132</v>
      </c>
    </row>
    <row r="526" ht="15.75" customHeight="1">
      <c r="A526" s="20" t="s">
        <v>1159</v>
      </c>
      <c r="B526" s="20" t="s">
        <v>1160</v>
      </c>
      <c r="C526" s="89">
        <v>388.5</v>
      </c>
      <c r="D526" s="90">
        <v>0.25</v>
      </c>
      <c r="E526" s="89">
        <f t="shared" si="1"/>
        <v>291.375</v>
      </c>
      <c r="F526" s="20" t="s">
        <v>131</v>
      </c>
      <c r="G526" s="20" t="s">
        <v>132</v>
      </c>
    </row>
    <row r="527" ht="15.75" customHeight="1">
      <c r="A527" s="20" t="s">
        <v>1161</v>
      </c>
      <c r="B527" s="20" t="s">
        <v>1162</v>
      </c>
      <c r="C527" s="89">
        <v>399.71</v>
      </c>
      <c r="D527" s="90">
        <v>0.25</v>
      </c>
      <c r="E527" s="89">
        <f t="shared" si="1"/>
        <v>299.7825</v>
      </c>
      <c r="F527" s="20" t="s">
        <v>131</v>
      </c>
      <c r="G527" s="20" t="s">
        <v>132</v>
      </c>
    </row>
    <row r="528" ht="15.75" customHeight="1">
      <c r="A528" s="20" t="s">
        <v>1163</v>
      </c>
      <c r="B528" s="20" t="s">
        <v>1164</v>
      </c>
      <c r="C528" s="89">
        <v>448.27</v>
      </c>
      <c r="D528" s="90">
        <v>0.25</v>
      </c>
      <c r="E528" s="89">
        <f t="shared" si="1"/>
        <v>336.2025</v>
      </c>
      <c r="F528" s="20" t="s">
        <v>131</v>
      </c>
      <c r="G528" s="20" t="s">
        <v>132</v>
      </c>
    </row>
    <row r="529" ht="15.75" customHeight="1">
      <c r="A529" s="20" t="s">
        <v>1165</v>
      </c>
      <c r="B529" s="20" t="s">
        <v>1166</v>
      </c>
      <c r="C529" s="89">
        <v>410.92</v>
      </c>
      <c r="D529" s="90">
        <v>0.25</v>
      </c>
      <c r="E529" s="89">
        <f t="shared" si="1"/>
        <v>308.19</v>
      </c>
      <c r="F529" s="20" t="s">
        <v>131</v>
      </c>
      <c r="G529" s="20" t="s">
        <v>132</v>
      </c>
    </row>
    <row r="530" ht="15.75" customHeight="1">
      <c r="A530" s="20" t="s">
        <v>1167</v>
      </c>
      <c r="B530" s="20" t="s">
        <v>1168</v>
      </c>
      <c r="C530" s="89">
        <v>429.59</v>
      </c>
      <c r="D530" s="90">
        <v>0.25</v>
      </c>
      <c r="E530" s="89">
        <f t="shared" si="1"/>
        <v>322.1925</v>
      </c>
      <c r="F530" s="20" t="s">
        <v>131</v>
      </c>
      <c r="G530" s="20" t="s">
        <v>132</v>
      </c>
    </row>
    <row r="531" ht="15.75" customHeight="1">
      <c r="A531" s="20" t="s">
        <v>1169</v>
      </c>
      <c r="B531" s="20" t="s">
        <v>1170</v>
      </c>
      <c r="C531" s="89">
        <v>388.5</v>
      </c>
      <c r="D531" s="90">
        <v>0.25</v>
      </c>
      <c r="E531" s="89">
        <f t="shared" si="1"/>
        <v>291.375</v>
      </c>
      <c r="F531" s="20" t="s">
        <v>131</v>
      </c>
      <c r="G531" s="20" t="s">
        <v>132</v>
      </c>
    </row>
    <row r="532" ht="15.75" customHeight="1">
      <c r="A532" s="20" t="s">
        <v>1171</v>
      </c>
      <c r="B532" s="20" t="s">
        <v>1172</v>
      </c>
      <c r="C532" s="89">
        <v>373.56</v>
      </c>
      <c r="D532" s="90">
        <v>0.25</v>
      </c>
      <c r="E532" s="89">
        <f t="shared" si="1"/>
        <v>280.17</v>
      </c>
      <c r="F532" s="20" t="s">
        <v>131</v>
      </c>
      <c r="G532" s="20" t="s">
        <v>132</v>
      </c>
    </row>
    <row r="533" ht="15.75" customHeight="1">
      <c r="A533" s="20" t="s">
        <v>1173</v>
      </c>
      <c r="B533" s="20" t="s">
        <v>1174</v>
      </c>
      <c r="C533" s="89">
        <v>60.16</v>
      </c>
      <c r="D533" s="90">
        <v>0.25</v>
      </c>
      <c r="E533" s="89">
        <f t="shared" si="1"/>
        <v>45.12</v>
      </c>
      <c r="F533" s="20" t="s">
        <v>127</v>
      </c>
      <c r="G533" s="20" t="s">
        <v>128</v>
      </c>
    </row>
    <row r="534" ht="15.75" customHeight="1">
      <c r="A534" s="20" t="s">
        <v>1175</v>
      </c>
      <c r="B534" s="20" t="s">
        <v>1176</v>
      </c>
      <c r="C534" s="89">
        <v>130.35</v>
      </c>
      <c r="D534" s="90">
        <v>0.25</v>
      </c>
      <c r="E534" s="89">
        <f t="shared" si="1"/>
        <v>97.7625</v>
      </c>
      <c r="F534" s="20" t="s">
        <v>127</v>
      </c>
      <c r="G534" s="20" t="s">
        <v>128</v>
      </c>
    </row>
    <row r="535" ht="15.75" customHeight="1">
      <c r="A535" s="20" t="s">
        <v>1177</v>
      </c>
      <c r="B535" s="20" t="s">
        <v>1178</v>
      </c>
      <c r="C535" s="89">
        <v>50.15</v>
      </c>
      <c r="D535" s="90">
        <v>0.25</v>
      </c>
      <c r="E535" s="89">
        <f t="shared" si="1"/>
        <v>37.6125</v>
      </c>
      <c r="F535" s="20" t="s">
        <v>127</v>
      </c>
      <c r="G535" s="20" t="s">
        <v>128</v>
      </c>
    </row>
    <row r="536" ht="15.75" customHeight="1">
      <c r="A536" s="20" t="s">
        <v>1179</v>
      </c>
      <c r="B536" s="20" t="s">
        <v>1180</v>
      </c>
      <c r="C536" s="89">
        <v>108.65</v>
      </c>
      <c r="D536" s="90">
        <v>0.25</v>
      </c>
      <c r="E536" s="89">
        <f t="shared" si="1"/>
        <v>81.4875</v>
      </c>
      <c r="F536" s="20" t="s">
        <v>127</v>
      </c>
      <c r="G536" s="20" t="s">
        <v>128</v>
      </c>
    </row>
    <row r="537" ht="15.75" customHeight="1">
      <c r="A537" s="20" t="s">
        <v>1181</v>
      </c>
      <c r="B537" s="20" t="s">
        <v>1182</v>
      </c>
      <c r="C537" s="89">
        <v>59.22</v>
      </c>
      <c r="D537" s="90">
        <v>0.25</v>
      </c>
      <c r="E537" s="89">
        <f t="shared" si="1"/>
        <v>44.415</v>
      </c>
      <c r="F537" s="20" t="s">
        <v>127</v>
      </c>
      <c r="G537" s="20" t="s">
        <v>128</v>
      </c>
    </row>
    <row r="538" ht="15.75" customHeight="1">
      <c r="A538" s="20" t="s">
        <v>1183</v>
      </c>
      <c r="B538" s="20" t="s">
        <v>1184</v>
      </c>
      <c r="C538" s="89">
        <v>128.33</v>
      </c>
      <c r="D538" s="90">
        <v>0.25</v>
      </c>
      <c r="E538" s="89">
        <f t="shared" si="1"/>
        <v>96.2475</v>
      </c>
      <c r="F538" s="20" t="s">
        <v>127</v>
      </c>
      <c r="G538" s="20" t="s">
        <v>128</v>
      </c>
    </row>
    <row r="539" ht="15.75" customHeight="1">
      <c r="A539" s="20" t="s">
        <v>1185</v>
      </c>
      <c r="B539" s="20" t="s">
        <v>1186</v>
      </c>
      <c r="C539" s="89">
        <v>62.49</v>
      </c>
      <c r="D539" s="90">
        <v>0.25</v>
      </c>
      <c r="E539" s="89">
        <f t="shared" si="1"/>
        <v>46.8675</v>
      </c>
      <c r="F539" s="20" t="s">
        <v>127</v>
      </c>
      <c r="G539" s="20" t="s">
        <v>128</v>
      </c>
    </row>
    <row r="540" ht="15.75" customHeight="1">
      <c r="A540" s="20" t="s">
        <v>1187</v>
      </c>
      <c r="B540" s="20" t="s">
        <v>1188</v>
      </c>
      <c r="C540" s="89">
        <v>135.4</v>
      </c>
      <c r="D540" s="90">
        <v>0.25</v>
      </c>
      <c r="E540" s="89">
        <f t="shared" si="1"/>
        <v>101.55</v>
      </c>
      <c r="F540" s="20" t="s">
        <v>127</v>
      </c>
      <c r="G540" s="20" t="s">
        <v>128</v>
      </c>
    </row>
    <row r="541" ht="15.75" customHeight="1">
      <c r="A541" s="20" t="s">
        <v>1189</v>
      </c>
      <c r="B541" s="20" t="s">
        <v>1190</v>
      </c>
      <c r="C541" s="89">
        <v>62.49</v>
      </c>
      <c r="D541" s="90">
        <v>0.25</v>
      </c>
      <c r="E541" s="89">
        <f t="shared" si="1"/>
        <v>46.8675</v>
      </c>
      <c r="F541" s="20" t="s">
        <v>127</v>
      </c>
      <c r="G541" s="20" t="s">
        <v>128</v>
      </c>
    </row>
    <row r="542" ht="15.75" customHeight="1">
      <c r="A542" s="20" t="s">
        <v>1191</v>
      </c>
      <c r="B542" s="20" t="s">
        <v>1192</v>
      </c>
      <c r="C542" s="89">
        <v>135.4</v>
      </c>
      <c r="D542" s="90">
        <v>0.25</v>
      </c>
      <c r="E542" s="89">
        <f t="shared" si="1"/>
        <v>101.55</v>
      </c>
      <c r="F542" s="20" t="s">
        <v>127</v>
      </c>
      <c r="G542" s="20" t="s">
        <v>128</v>
      </c>
    </row>
    <row r="543" ht="15.75" customHeight="1">
      <c r="A543" s="20" t="s">
        <v>1193</v>
      </c>
      <c r="B543" s="20" t="s">
        <v>1194</v>
      </c>
      <c r="C543" s="89">
        <v>60.16</v>
      </c>
      <c r="D543" s="90">
        <v>0.25</v>
      </c>
      <c r="E543" s="89">
        <f t="shared" si="1"/>
        <v>45.12</v>
      </c>
      <c r="F543" s="20" t="s">
        <v>127</v>
      </c>
      <c r="G543" s="20" t="s">
        <v>128</v>
      </c>
    </row>
    <row r="544" ht="15.75" customHeight="1">
      <c r="A544" s="20" t="s">
        <v>1195</v>
      </c>
      <c r="B544" s="20" t="s">
        <v>1196</v>
      </c>
      <c r="C544" s="89">
        <v>130.35</v>
      </c>
      <c r="D544" s="90">
        <v>0.25</v>
      </c>
      <c r="E544" s="89">
        <f t="shared" si="1"/>
        <v>97.7625</v>
      </c>
      <c r="F544" s="20" t="s">
        <v>127</v>
      </c>
      <c r="G544" s="20" t="s">
        <v>128</v>
      </c>
    </row>
    <row r="545" ht="15.75" customHeight="1">
      <c r="A545" s="20" t="s">
        <v>1197</v>
      </c>
      <c r="B545" s="20" t="s">
        <v>1198</v>
      </c>
      <c r="C545" s="89">
        <v>38.01</v>
      </c>
      <c r="D545" s="90">
        <v>0.25</v>
      </c>
      <c r="E545" s="89">
        <f t="shared" si="1"/>
        <v>28.5075</v>
      </c>
      <c r="F545" s="20" t="s">
        <v>127</v>
      </c>
      <c r="G545" s="20" t="s">
        <v>128</v>
      </c>
    </row>
    <row r="546" ht="15.75" customHeight="1">
      <c r="A546" s="20" t="s">
        <v>1199</v>
      </c>
      <c r="B546" s="20" t="s">
        <v>1200</v>
      </c>
      <c r="C546" s="89">
        <v>17.89</v>
      </c>
      <c r="D546" s="90">
        <v>0.25</v>
      </c>
      <c r="E546" s="89">
        <f t="shared" si="1"/>
        <v>13.4175</v>
      </c>
      <c r="F546" s="20" t="s">
        <v>127</v>
      </c>
      <c r="G546" s="20" t="s">
        <v>128</v>
      </c>
    </row>
    <row r="547" ht="15.75" customHeight="1">
      <c r="A547" s="20" t="s">
        <v>1201</v>
      </c>
      <c r="B547" s="20" t="s">
        <v>1202</v>
      </c>
      <c r="C547" s="89">
        <v>38.75</v>
      </c>
      <c r="D547" s="90">
        <v>0.25</v>
      </c>
      <c r="E547" s="89">
        <f t="shared" si="1"/>
        <v>29.0625</v>
      </c>
      <c r="F547" s="20" t="s">
        <v>127</v>
      </c>
      <c r="G547" s="20" t="s">
        <v>128</v>
      </c>
    </row>
    <row r="548" ht="15.75" customHeight="1">
      <c r="A548" s="20" t="s">
        <v>1203</v>
      </c>
      <c r="B548" s="20" t="s">
        <v>1204</v>
      </c>
      <c r="C548" s="89">
        <v>14.16</v>
      </c>
      <c r="D548" s="90">
        <v>0.25</v>
      </c>
      <c r="E548" s="89">
        <f t="shared" si="1"/>
        <v>10.62</v>
      </c>
      <c r="F548" s="20" t="s">
        <v>127</v>
      </c>
      <c r="G548" s="20" t="s">
        <v>128</v>
      </c>
    </row>
    <row r="549" ht="15.75" customHeight="1">
      <c r="A549" s="20" t="s">
        <v>1205</v>
      </c>
      <c r="B549" s="20" t="s">
        <v>1206</v>
      </c>
      <c r="C549" s="89">
        <v>30.68</v>
      </c>
      <c r="D549" s="90">
        <v>0.25</v>
      </c>
      <c r="E549" s="89">
        <f t="shared" si="1"/>
        <v>23.01</v>
      </c>
      <c r="F549" s="20" t="s">
        <v>127</v>
      </c>
      <c r="G549" s="20" t="s">
        <v>128</v>
      </c>
    </row>
    <row r="550" ht="15.75" customHeight="1">
      <c r="A550" s="20" t="s">
        <v>1207</v>
      </c>
      <c r="B550" s="20" t="s">
        <v>1208</v>
      </c>
      <c r="C550" s="89">
        <v>19.44</v>
      </c>
      <c r="D550" s="90">
        <v>0.25</v>
      </c>
      <c r="E550" s="89">
        <f t="shared" si="1"/>
        <v>14.58</v>
      </c>
      <c r="F550" s="20" t="s">
        <v>127</v>
      </c>
      <c r="G550" s="20" t="s">
        <v>128</v>
      </c>
    </row>
    <row r="551" ht="15.75" customHeight="1">
      <c r="A551" s="20" t="s">
        <v>1209</v>
      </c>
      <c r="B551" s="20" t="s">
        <v>1210</v>
      </c>
      <c r="C551" s="89">
        <v>42.13</v>
      </c>
      <c r="D551" s="90">
        <v>0.25</v>
      </c>
      <c r="E551" s="89">
        <f t="shared" si="1"/>
        <v>31.5975</v>
      </c>
      <c r="F551" s="20" t="s">
        <v>127</v>
      </c>
      <c r="G551" s="20" t="s">
        <v>128</v>
      </c>
    </row>
    <row r="552" ht="15.75" customHeight="1">
      <c r="A552" s="20" t="s">
        <v>1211</v>
      </c>
      <c r="B552" s="20" t="s">
        <v>1212</v>
      </c>
      <c r="C552" s="89">
        <v>27.5</v>
      </c>
      <c r="D552" s="90">
        <v>0.25</v>
      </c>
      <c r="E552" s="89">
        <f t="shared" si="1"/>
        <v>20.625</v>
      </c>
      <c r="F552" s="20" t="s">
        <v>127</v>
      </c>
      <c r="G552" s="20" t="s">
        <v>128</v>
      </c>
    </row>
    <row r="553" ht="15.75" customHeight="1">
      <c r="A553" s="20" t="s">
        <v>1213</v>
      </c>
      <c r="B553" s="20" t="s">
        <v>1214</v>
      </c>
      <c r="C553" s="89">
        <v>59.58</v>
      </c>
      <c r="D553" s="90">
        <v>0.25</v>
      </c>
      <c r="E553" s="89">
        <f t="shared" si="1"/>
        <v>44.685</v>
      </c>
      <c r="F553" s="20" t="s">
        <v>127</v>
      </c>
      <c r="G553" s="20" t="s">
        <v>128</v>
      </c>
    </row>
    <row r="554" ht="15.75" customHeight="1">
      <c r="A554" s="20" t="s">
        <v>1215</v>
      </c>
      <c r="B554" s="20" t="s">
        <v>1216</v>
      </c>
      <c r="C554" s="89">
        <v>17.55</v>
      </c>
      <c r="D554" s="90">
        <v>0.25</v>
      </c>
      <c r="E554" s="89">
        <f t="shared" si="1"/>
        <v>13.1625</v>
      </c>
      <c r="F554" s="20" t="s">
        <v>127</v>
      </c>
      <c r="G554" s="20" t="s">
        <v>128</v>
      </c>
    </row>
    <row r="555" ht="15.75" customHeight="1">
      <c r="A555" s="20" t="s">
        <v>1217</v>
      </c>
      <c r="B555" s="20" t="s">
        <v>1218</v>
      </c>
      <c r="C555" s="89">
        <v>38.01</v>
      </c>
      <c r="D555" s="90">
        <v>0.25</v>
      </c>
      <c r="E555" s="89">
        <f t="shared" si="1"/>
        <v>28.5075</v>
      </c>
      <c r="F555" s="20" t="s">
        <v>127</v>
      </c>
      <c r="G555" s="20" t="s">
        <v>128</v>
      </c>
    </row>
    <row r="556" ht="15.75" customHeight="1">
      <c r="A556" s="20" t="s">
        <v>1219</v>
      </c>
      <c r="B556" s="20" t="s">
        <v>1220</v>
      </c>
      <c r="C556" s="89">
        <v>18.76</v>
      </c>
      <c r="D556" s="90">
        <v>0.25</v>
      </c>
      <c r="E556" s="89">
        <f t="shared" si="1"/>
        <v>14.07</v>
      </c>
      <c r="F556" s="20" t="s">
        <v>127</v>
      </c>
      <c r="G556" s="20" t="s">
        <v>128</v>
      </c>
    </row>
    <row r="557" ht="15.75" customHeight="1">
      <c r="A557" s="20" t="s">
        <v>1221</v>
      </c>
      <c r="B557" s="20" t="s">
        <v>1222</v>
      </c>
      <c r="C557" s="89">
        <v>40.63</v>
      </c>
      <c r="D557" s="90">
        <v>0.25</v>
      </c>
      <c r="E557" s="89">
        <f t="shared" si="1"/>
        <v>30.4725</v>
      </c>
      <c r="F557" s="20" t="s">
        <v>127</v>
      </c>
      <c r="G557" s="20" t="s">
        <v>128</v>
      </c>
    </row>
    <row r="558" ht="15.75" customHeight="1">
      <c r="A558" s="20" t="s">
        <v>1223</v>
      </c>
      <c r="B558" s="20" t="s">
        <v>1224</v>
      </c>
      <c r="C558" s="89">
        <v>18.76</v>
      </c>
      <c r="D558" s="90">
        <v>0.25</v>
      </c>
      <c r="E558" s="89">
        <f t="shared" si="1"/>
        <v>14.07</v>
      </c>
      <c r="F558" s="20" t="s">
        <v>127</v>
      </c>
      <c r="G558" s="20" t="s">
        <v>128</v>
      </c>
    </row>
    <row r="559" ht="15.75" customHeight="1">
      <c r="A559" s="20" t="s">
        <v>1225</v>
      </c>
      <c r="B559" s="20" t="s">
        <v>1226</v>
      </c>
      <c r="C559" s="89">
        <v>40.63</v>
      </c>
      <c r="D559" s="90">
        <v>0.25</v>
      </c>
      <c r="E559" s="89">
        <f t="shared" si="1"/>
        <v>30.4725</v>
      </c>
      <c r="F559" s="20" t="s">
        <v>127</v>
      </c>
      <c r="G559" s="20" t="s">
        <v>128</v>
      </c>
    </row>
    <row r="560" ht="15.75" customHeight="1">
      <c r="A560" s="20" t="s">
        <v>1227</v>
      </c>
      <c r="B560" s="20" t="s">
        <v>1228</v>
      </c>
      <c r="C560" s="89">
        <v>38.75</v>
      </c>
      <c r="D560" s="90">
        <v>0.25</v>
      </c>
      <c r="E560" s="89">
        <f t="shared" si="1"/>
        <v>29.0625</v>
      </c>
      <c r="F560" s="20" t="s">
        <v>127</v>
      </c>
      <c r="G560" s="20" t="s">
        <v>128</v>
      </c>
    </row>
    <row r="561" ht="15.75" customHeight="1">
      <c r="A561" s="20" t="s">
        <v>1229</v>
      </c>
      <c r="B561" s="20" t="s">
        <v>1230</v>
      </c>
      <c r="C561" s="89">
        <v>17.89</v>
      </c>
      <c r="D561" s="90">
        <v>0.25</v>
      </c>
      <c r="E561" s="89">
        <f t="shared" si="1"/>
        <v>13.4175</v>
      </c>
      <c r="F561" s="20" t="s">
        <v>127</v>
      </c>
      <c r="G561" s="20" t="s">
        <v>128</v>
      </c>
    </row>
    <row r="562" ht="15.75" customHeight="1">
      <c r="A562" s="20" t="s">
        <v>32</v>
      </c>
      <c r="B562" s="20" t="s">
        <v>1231</v>
      </c>
      <c r="C562" s="89">
        <v>38.75</v>
      </c>
      <c r="D562" s="90">
        <v>0.25</v>
      </c>
      <c r="E562" s="89">
        <f t="shared" si="1"/>
        <v>29.0625</v>
      </c>
      <c r="F562" s="20" t="s">
        <v>127</v>
      </c>
      <c r="G562" s="20" t="s">
        <v>128</v>
      </c>
    </row>
    <row r="563" ht="15.75" customHeight="1">
      <c r="A563" s="20" t="s">
        <v>1232</v>
      </c>
      <c r="B563" s="20" t="s">
        <v>1233</v>
      </c>
      <c r="C563" s="89">
        <v>48.96</v>
      </c>
      <c r="D563" s="90">
        <v>0.25</v>
      </c>
      <c r="E563" s="89">
        <f t="shared" si="1"/>
        <v>36.72</v>
      </c>
      <c r="F563" s="20" t="s">
        <v>127</v>
      </c>
      <c r="G563" s="20" t="s">
        <v>128</v>
      </c>
    </row>
    <row r="564" ht="15.75" customHeight="1">
      <c r="A564" s="20" t="s">
        <v>1234</v>
      </c>
      <c r="B564" s="20" t="s">
        <v>1235</v>
      </c>
      <c r="C564" s="89">
        <v>106.07</v>
      </c>
      <c r="D564" s="90">
        <v>0.25</v>
      </c>
      <c r="E564" s="89">
        <f t="shared" si="1"/>
        <v>79.5525</v>
      </c>
      <c r="F564" s="20" t="s">
        <v>127</v>
      </c>
      <c r="G564" s="20" t="s">
        <v>128</v>
      </c>
    </row>
    <row r="565" ht="15.75" customHeight="1">
      <c r="A565" s="20" t="s">
        <v>1236</v>
      </c>
      <c r="B565" s="20" t="s">
        <v>1237</v>
      </c>
      <c r="C565" s="89">
        <v>43.71</v>
      </c>
      <c r="D565" s="90">
        <v>0.25</v>
      </c>
      <c r="E565" s="89">
        <f t="shared" si="1"/>
        <v>32.7825</v>
      </c>
      <c r="F565" s="20" t="s">
        <v>127</v>
      </c>
      <c r="G565" s="20" t="s">
        <v>128</v>
      </c>
    </row>
    <row r="566" ht="15.75" customHeight="1">
      <c r="A566" s="20" t="s">
        <v>1238</v>
      </c>
      <c r="B566" s="20" t="s">
        <v>1239</v>
      </c>
      <c r="C566" s="89">
        <v>94.7</v>
      </c>
      <c r="D566" s="90">
        <v>0.25</v>
      </c>
      <c r="E566" s="89">
        <f t="shared" si="1"/>
        <v>71.025</v>
      </c>
      <c r="F566" s="20" t="s">
        <v>127</v>
      </c>
      <c r="G566" s="20" t="s">
        <v>128</v>
      </c>
    </row>
    <row r="567" ht="15.75" customHeight="1">
      <c r="A567" s="20" t="s">
        <v>1240</v>
      </c>
      <c r="B567" s="20" t="s">
        <v>1241</v>
      </c>
      <c r="C567" s="89">
        <v>62.49</v>
      </c>
      <c r="D567" s="90">
        <v>0.25</v>
      </c>
      <c r="E567" s="89">
        <f t="shared" si="1"/>
        <v>46.8675</v>
      </c>
      <c r="F567" s="20" t="s">
        <v>127</v>
      </c>
      <c r="G567" s="20" t="s">
        <v>128</v>
      </c>
    </row>
    <row r="568" ht="15.75" customHeight="1">
      <c r="A568" s="20" t="s">
        <v>1242</v>
      </c>
      <c r="B568" s="20" t="s">
        <v>1243</v>
      </c>
      <c r="C568" s="89">
        <v>135.39</v>
      </c>
      <c r="D568" s="90">
        <v>0.25</v>
      </c>
      <c r="E568" s="89">
        <f t="shared" si="1"/>
        <v>101.5425</v>
      </c>
      <c r="F568" s="20" t="s">
        <v>127</v>
      </c>
      <c r="G568" s="20" t="s">
        <v>128</v>
      </c>
    </row>
    <row r="569" ht="15.75" customHeight="1">
      <c r="A569" s="20" t="s">
        <v>1244</v>
      </c>
      <c r="B569" s="20" t="s">
        <v>1245</v>
      </c>
      <c r="C569" s="89">
        <v>48.47</v>
      </c>
      <c r="D569" s="90">
        <v>0.25</v>
      </c>
      <c r="E569" s="89">
        <f t="shared" si="1"/>
        <v>36.3525</v>
      </c>
      <c r="F569" s="20" t="s">
        <v>127</v>
      </c>
      <c r="G569" s="20" t="s">
        <v>128</v>
      </c>
    </row>
    <row r="570" ht="15.75" customHeight="1">
      <c r="A570" s="20" t="s">
        <v>1246</v>
      </c>
      <c r="B570" s="20" t="s">
        <v>1247</v>
      </c>
      <c r="C570" s="89">
        <v>105.02</v>
      </c>
      <c r="D570" s="90">
        <v>0.25</v>
      </c>
      <c r="E570" s="89">
        <f t="shared" si="1"/>
        <v>78.765</v>
      </c>
      <c r="F570" s="20" t="s">
        <v>127</v>
      </c>
      <c r="G570" s="20" t="s">
        <v>128</v>
      </c>
    </row>
    <row r="571" ht="15.75" customHeight="1">
      <c r="A571" s="20" t="s">
        <v>1248</v>
      </c>
      <c r="B571" s="20" t="s">
        <v>1249</v>
      </c>
      <c r="C571" s="89">
        <v>50.18</v>
      </c>
      <c r="D571" s="90">
        <v>0.25</v>
      </c>
      <c r="E571" s="89">
        <f t="shared" si="1"/>
        <v>37.635</v>
      </c>
      <c r="F571" s="20" t="s">
        <v>127</v>
      </c>
      <c r="G571" s="20" t="s">
        <v>128</v>
      </c>
    </row>
    <row r="572" ht="15.75" customHeight="1">
      <c r="A572" s="20" t="s">
        <v>1250</v>
      </c>
      <c r="B572" s="20" t="s">
        <v>1251</v>
      </c>
      <c r="C572" s="89">
        <v>108.72</v>
      </c>
      <c r="D572" s="90">
        <v>0.25</v>
      </c>
      <c r="E572" s="89">
        <f t="shared" si="1"/>
        <v>81.54</v>
      </c>
      <c r="F572" s="20" t="s">
        <v>127</v>
      </c>
      <c r="G572" s="20" t="s">
        <v>128</v>
      </c>
    </row>
    <row r="573" ht="15.75" customHeight="1">
      <c r="A573" s="20" t="s">
        <v>1252</v>
      </c>
      <c r="B573" s="20" t="s">
        <v>1253</v>
      </c>
      <c r="C573" s="89">
        <v>50.18</v>
      </c>
      <c r="D573" s="90">
        <v>0.25</v>
      </c>
      <c r="E573" s="89">
        <f t="shared" si="1"/>
        <v>37.635</v>
      </c>
      <c r="F573" s="20" t="s">
        <v>127</v>
      </c>
      <c r="G573" s="20" t="s">
        <v>128</v>
      </c>
    </row>
    <row r="574" ht="15.75" customHeight="1">
      <c r="A574" s="20" t="s">
        <v>1254</v>
      </c>
      <c r="B574" s="20" t="s">
        <v>1255</v>
      </c>
      <c r="C574" s="89">
        <v>108.72</v>
      </c>
      <c r="D574" s="90">
        <v>0.25</v>
      </c>
      <c r="E574" s="89">
        <f t="shared" si="1"/>
        <v>81.54</v>
      </c>
      <c r="F574" s="20" t="s">
        <v>127</v>
      </c>
      <c r="G574" s="20" t="s">
        <v>128</v>
      </c>
    </row>
    <row r="575" ht="15.75" customHeight="1">
      <c r="A575" s="20" t="s">
        <v>1256</v>
      </c>
      <c r="B575" s="20" t="s">
        <v>1257</v>
      </c>
      <c r="C575" s="89">
        <v>106.07</v>
      </c>
      <c r="D575" s="90">
        <v>0.25</v>
      </c>
      <c r="E575" s="89">
        <f t="shared" si="1"/>
        <v>79.5525</v>
      </c>
      <c r="F575" s="20" t="s">
        <v>127</v>
      </c>
      <c r="G575" s="20" t="s">
        <v>128</v>
      </c>
    </row>
    <row r="576" ht="15.75" customHeight="1">
      <c r="A576" s="20" t="s">
        <v>34</v>
      </c>
      <c r="B576" s="20" t="s">
        <v>1258</v>
      </c>
      <c r="C576" s="89">
        <v>48.96</v>
      </c>
      <c r="D576" s="90">
        <v>0.25</v>
      </c>
      <c r="E576" s="89">
        <f t="shared" si="1"/>
        <v>36.72</v>
      </c>
      <c r="F576" s="20" t="s">
        <v>127</v>
      </c>
      <c r="G576" s="20" t="s">
        <v>128</v>
      </c>
    </row>
    <row r="577" ht="15.75" customHeight="1">
      <c r="A577" s="20" t="s">
        <v>1259</v>
      </c>
      <c r="B577" s="20" t="s">
        <v>1260</v>
      </c>
      <c r="C577" s="89">
        <v>106.07</v>
      </c>
      <c r="D577" s="90">
        <v>0.25</v>
      </c>
      <c r="E577" s="89">
        <f t="shared" si="1"/>
        <v>79.5525</v>
      </c>
      <c r="F577" s="20" t="s">
        <v>127</v>
      </c>
      <c r="G577" s="20" t="s">
        <v>128</v>
      </c>
    </row>
    <row r="578" ht="15.75" customHeight="1">
      <c r="A578" s="20" t="s">
        <v>1261</v>
      </c>
      <c r="B578" s="20" t="s">
        <v>1262</v>
      </c>
      <c r="C578" s="89">
        <v>108.72</v>
      </c>
      <c r="D578" s="90">
        <v>0.25</v>
      </c>
      <c r="E578" s="89">
        <f t="shared" si="1"/>
        <v>81.54</v>
      </c>
      <c r="F578" s="20" t="s">
        <v>127</v>
      </c>
      <c r="G578" s="20" t="s">
        <v>128</v>
      </c>
    </row>
    <row r="579" ht="15.75" customHeight="1">
      <c r="A579" s="20" t="s">
        <v>1263</v>
      </c>
      <c r="B579" s="20" t="s">
        <v>1264</v>
      </c>
      <c r="C579" s="89">
        <v>36.95</v>
      </c>
      <c r="D579" s="90">
        <v>0.25</v>
      </c>
      <c r="E579" s="89">
        <f t="shared" si="1"/>
        <v>27.7125</v>
      </c>
      <c r="F579" s="20" t="s">
        <v>127</v>
      </c>
      <c r="G579" s="20" t="s">
        <v>128</v>
      </c>
    </row>
    <row r="580" ht="15.75" customHeight="1">
      <c r="A580" s="20" t="s">
        <v>1265</v>
      </c>
      <c r="B580" s="20" t="s">
        <v>1266</v>
      </c>
      <c r="C580" s="89">
        <v>80.06</v>
      </c>
      <c r="D580" s="90">
        <v>0.25</v>
      </c>
      <c r="E580" s="89">
        <f t="shared" si="1"/>
        <v>60.045</v>
      </c>
      <c r="F580" s="20" t="s">
        <v>127</v>
      </c>
      <c r="G580" s="20" t="s">
        <v>128</v>
      </c>
    </row>
    <row r="581" ht="15.75" customHeight="1">
      <c r="A581" s="20" t="s">
        <v>1267</v>
      </c>
      <c r="B581" s="20" t="s">
        <v>1268</v>
      </c>
      <c r="C581" s="89">
        <v>29.66</v>
      </c>
      <c r="D581" s="90">
        <v>0.25</v>
      </c>
      <c r="E581" s="89">
        <f t="shared" si="1"/>
        <v>22.245</v>
      </c>
      <c r="F581" s="20" t="s">
        <v>127</v>
      </c>
      <c r="G581" s="20" t="s">
        <v>128</v>
      </c>
    </row>
    <row r="582" ht="15.75" customHeight="1">
      <c r="A582" s="20" t="s">
        <v>1269</v>
      </c>
      <c r="B582" s="20" t="s">
        <v>1270</v>
      </c>
      <c r="C582" s="89">
        <v>64.24</v>
      </c>
      <c r="D582" s="90">
        <v>0.25</v>
      </c>
      <c r="E582" s="89">
        <f t="shared" si="1"/>
        <v>48.18</v>
      </c>
      <c r="F582" s="20" t="s">
        <v>127</v>
      </c>
      <c r="G582" s="20" t="s">
        <v>128</v>
      </c>
    </row>
    <row r="583" ht="15.75" customHeight="1">
      <c r="A583" s="20" t="s">
        <v>1271</v>
      </c>
      <c r="B583" s="20" t="s">
        <v>1272</v>
      </c>
      <c r="C583" s="89">
        <v>0.0</v>
      </c>
      <c r="D583" s="90">
        <v>0.25</v>
      </c>
      <c r="E583" s="89">
        <f t="shared" si="1"/>
        <v>0</v>
      </c>
      <c r="F583" s="20" t="s">
        <v>127</v>
      </c>
      <c r="G583" s="20" t="s">
        <v>128</v>
      </c>
    </row>
    <row r="584" ht="15.75" customHeight="1">
      <c r="A584" s="20" t="s">
        <v>1273</v>
      </c>
      <c r="B584" s="20" t="s">
        <v>1272</v>
      </c>
      <c r="C584" s="89">
        <v>39.99</v>
      </c>
      <c r="D584" s="90">
        <v>0.25</v>
      </c>
      <c r="E584" s="89">
        <f t="shared" si="1"/>
        <v>29.9925</v>
      </c>
      <c r="F584" s="20" t="s">
        <v>127</v>
      </c>
      <c r="G584" s="20" t="s">
        <v>128</v>
      </c>
    </row>
    <row r="585" ht="15.75" customHeight="1">
      <c r="A585" s="20" t="s">
        <v>1274</v>
      </c>
      <c r="B585" s="20" t="s">
        <v>1275</v>
      </c>
      <c r="C585" s="89">
        <v>86.65</v>
      </c>
      <c r="D585" s="90">
        <v>0.25</v>
      </c>
      <c r="E585" s="89">
        <f t="shared" si="1"/>
        <v>64.9875</v>
      </c>
      <c r="F585" s="20" t="s">
        <v>127</v>
      </c>
      <c r="G585" s="20" t="s">
        <v>128</v>
      </c>
    </row>
    <row r="586" ht="15.75" customHeight="1">
      <c r="A586" s="20" t="s">
        <v>1276</v>
      </c>
      <c r="B586" s="20" t="s">
        <v>1277</v>
      </c>
      <c r="C586" s="89">
        <v>55.75</v>
      </c>
      <c r="D586" s="90">
        <v>0.25</v>
      </c>
      <c r="E586" s="89">
        <f t="shared" si="1"/>
        <v>41.8125</v>
      </c>
      <c r="F586" s="20" t="s">
        <v>127</v>
      </c>
      <c r="G586" s="20" t="s">
        <v>128</v>
      </c>
    </row>
    <row r="587" ht="15.75" customHeight="1">
      <c r="A587" s="20" t="s">
        <v>1278</v>
      </c>
      <c r="B587" s="20" t="s">
        <v>1279</v>
      </c>
      <c r="C587" s="89">
        <v>120.79</v>
      </c>
      <c r="D587" s="90">
        <v>0.25</v>
      </c>
      <c r="E587" s="89">
        <f t="shared" si="1"/>
        <v>90.5925</v>
      </c>
      <c r="F587" s="20" t="s">
        <v>127</v>
      </c>
      <c r="G587" s="20" t="s">
        <v>128</v>
      </c>
    </row>
    <row r="588" ht="15.75" customHeight="1">
      <c r="A588" s="20" t="s">
        <v>1280</v>
      </c>
      <c r="B588" s="20" t="s">
        <v>1281</v>
      </c>
      <c r="C588" s="89">
        <v>36.27</v>
      </c>
      <c r="D588" s="90">
        <v>0.25</v>
      </c>
      <c r="E588" s="89">
        <f t="shared" si="1"/>
        <v>27.2025</v>
      </c>
      <c r="F588" s="20" t="s">
        <v>127</v>
      </c>
      <c r="G588" s="20" t="s">
        <v>128</v>
      </c>
    </row>
    <row r="589" ht="15.75" customHeight="1">
      <c r="A589" s="20" t="s">
        <v>1282</v>
      </c>
      <c r="B589" s="20" t="s">
        <v>1283</v>
      </c>
      <c r="C589" s="89">
        <v>78.58</v>
      </c>
      <c r="D589" s="90">
        <v>0.25</v>
      </c>
      <c r="E589" s="89">
        <f t="shared" si="1"/>
        <v>58.935</v>
      </c>
      <c r="F589" s="20" t="s">
        <v>127</v>
      </c>
      <c r="G589" s="20" t="s">
        <v>128</v>
      </c>
    </row>
    <row r="590" ht="15.75" customHeight="1">
      <c r="A590" s="20" t="s">
        <v>1284</v>
      </c>
      <c r="B590" s="20" t="s">
        <v>1285</v>
      </c>
      <c r="C590" s="89">
        <v>38.64</v>
      </c>
      <c r="D590" s="90">
        <v>0.25</v>
      </c>
      <c r="E590" s="89">
        <f t="shared" si="1"/>
        <v>28.98</v>
      </c>
      <c r="F590" s="20" t="s">
        <v>127</v>
      </c>
      <c r="G590" s="20" t="s">
        <v>128</v>
      </c>
    </row>
    <row r="591" ht="15.75" customHeight="1">
      <c r="A591" s="20" t="s">
        <v>1286</v>
      </c>
      <c r="B591" s="20" t="s">
        <v>1287</v>
      </c>
      <c r="C591" s="89">
        <v>83.73</v>
      </c>
      <c r="D591" s="90">
        <v>0.25</v>
      </c>
      <c r="E591" s="89">
        <f t="shared" si="1"/>
        <v>62.7975</v>
      </c>
      <c r="F591" s="20" t="s">
        <v>127</v>
      </c>
      <c r="G591" s="20" t="s">
        <v>128</v>
      </c>
    </row>
    <row r="592" ht="15.75" customHeight="1">
      <c r="A592" s="20" t="s">
        <v>1288</v>
      </c>
      <c r="B592" s="20" t="s">
        <v>1289</v>
      </c>
      <c r="C592" s="89">
        <v>38.64</v>
      </c>
      <c r="D592" s="90">
        <v>0.25</v>
      </c>
      <c r="E592" s="89">
        <f t="shared" si="1"/>
        <v>28.98</v>
      </c>
      <c r="F592" s="20" t="s">
        <v>127</v>
      </c>
      <c r="G592" s="20" t="s">
        <v>128</v>
      </c>
    </row>
    <row r="593" ht="15.75" customHeight="1">
      <c r="A593" s="20" t="s">
        <v>1290</v>
      </c>
      <c r="B593" s="20" t="s">
        <v>1291</v>
      </c>
      <c r="C593" s="89">
        <v>83.73</v>
      </c>
      <c r="D593" s="90">
        <v>0.25</v>
      </c>
      <c r="E593" s="89">
        <f t="shared" si="1"/>
        <v>62.7975</v>
      </c>
      <c r="F593" s="20" t="s">
        <v>127</v>
      </c>
      <c r="G593" s="20" t="s">
        <v>128</v>
      </c>
    </row>
    <row r="594" ht="15.75" customHeight="1">
      <c r="A594" s="20" t="s">
        <v>1292</v>
      </c>
      <c r="B594" s="20" t="s">
        <v>1293</v>
      </c>
      <c r="C594" s="89">
        <v>80.06</v>
      </c>
      <c r="D594" s="90">
        <v>0.25</v>
      </c>
      <c r="E594" s="89">
        <f t="shared" si="1"/>
        <v>60.045</v>
      </c>
      <c r="F594" s="20" t="s">
        <v>127</v>
      </c>
      <c r="G594" s="20" t="s">
        <v>128</v>
      </c>
    </row>
    <row r="595" ht="15.75" customHeight="1">
      <c r="A595" s="20" t="s">
        <v>1294</v>
      </c>
      <c r="B595" s="20" t="s">
        <v>1295</v>
      </c>
      <c r="C595" s="89">
        <v>36.95</v>
      </c>
      <c r="D595" s="90">
        <v>0.25</v>
      </c>
      <c r="E595" s="89">
        <f t="shared" si="1"/>
        <v>27.7125</v>
      </c>
      <c r="F595" s="20" t="s">
        <v>127</v>
      </c>
      <c r="G595" s="20" t="s">
        <v>128</v>
      </c>
    </row>
    <row r="596" ht="15.75" customHeight="1">
      <c r="A596" s="20" t="s">
        <v>1450</v>
      </c>
      <c r="B596" s="20" t="s">
        <v>1451</v>
      </c>
      <c r="C596" s="89">
        <v>79.61</v>
      </c>
      <c r="D596" s="90">
        <v>0.25</v>
      </c>
      <c r="E596" s="89">
        <f t="shared" si="1"/>
        <v>59.7075</v>
      </c>
      <c r="F596" s="20" t="s">
        <v>127</v>
      </c>
      <c r="G596" s="20" t="s">
        <v>128</v>
      </c>
    </row>
    <row r="597" ht="15.75" customHeight="1">
      <c r="A597" s="20" t="s">
        <v>31</v>
      </c>
      <c r="B597" s="20" t="s">
        <v>1296</v>
      </c>
      <c r="C597" s="89">
        <v>80.06</v>
      </c>
      <c r="D597" s="90">
        <v>0.25</v>
      </c>
      <c r="E597" s="89">
        <f t="shared" si="1"/>
        <v>60.045</v>
      </c>
      <c r="F597" s="20" t="s">
        <v>127</v>
      </c>
      <c r="G597" s="20" t="s">
        <v>128</v>
      </c>
    </row>
    <row r="598" ht="15.75" customHeight="1">
      <c r="A598" s="20" t="s">
        <v>1297</v>
      </c>
      <c r="B598" s="20" t="s">
        <v>1298</v>
      </c>
      <c r="C598" s="89">
        <v>12.87</v>
      </c>
      <c r="D598" s="90">
        <v>0.25</v>
      </c>
      <c r="E598" s="89">
        <f t="shared" si="1"/>
        <v>9.6525</v>
      </c>
      <c r="F598" s="20" t="s">
        <v>127</v>
      </c>
      <c r="G598" s="20" t="s">
        <v>128</v>
      </c>
    </row>
    <row r="599" ht="15.75" customHeight="1">
      <c r="A599" s="20" t="s">
        <v>1299</v>
      </c>
      <c r="B599" s="20" t="s">
        <v>1300</v>
      </c>
      <c r="C599" s="89">
        <v>27.87</v>
      </c>
      <c r="D599" s="90">
        <v>0.25</v>
      </c>
      <c r="E599" s="89">
        <f t="shared" si="1"/>
        <v>20.9025</v>
      </c>
      <c r="F599" s="20" t="s">
        <v>127</v>
      </c>
      <c r="G599" s="20" t="s">
        <v>128</v>
      </c>
    </row>
    <row r="600" ht="15.75" customHeight="1">
      <c r="A600" s="20" t="s">
        <v>1301</v>
      </c>
      <c r="B600" s="20" t="s">
        <v>1302</v>
      </c>
      <c r="C600" s="89">
        <v>9.8</v>
      </c>
      <c r="D600" s="90">
        <v>0.25</v>
      </c>
      <c r="E600" s="89">
        <f t="shared" si="1"/>
        <v>7.35</v>
      </c>
      <c r="F600" s="20" t="s">
        <v>127</v>
      </c>
      <c r="G600" s="20" t="s">
        <v>128</v>
      </c>
    </row>
    <row r="601" ht="15.75" customHeight="1">
      <c r="A601" s="20" t="s">
        <v>1303</v>
      </c>
      <c r="B601" s="20" t="s">
        <v>1304</v>
      </c>
      <c r="C601" s="89">
        <v>21.24</v>
      </c>
      <c r="D601" s="90">
        <v>0.25</v>
      </c>
      <c r="E601" s="89">
        <f t="shared" si="1"/>
        <v>15.93</v>
      </c>
      <c r="F601" s="20" t="s">
        <v>127</v>
      </c>
      <c r="G601" s="20" t="s">
        <v>128</v>
      </c>
    </row>
    <row r="602" ht="15.75" customHeight="1">
      <c r="A602" s="20" t="s">
        <v>1305</v>
      </c>
      <c r="B602" s="20" t="s">
        <v>1306</v>
      </c>
      <c r="C602" s="89">
        <v>12.58</v>
      </c>
      <c r="D602" s="90">
        <v>0.25</v>
      </c>
      <c r="E602" s="89">
        <f t="shared" si="1"/>
        <v>9.435</v>
      </c>
      <c r="F602" s="20" t="s">
        <v>127</v>
      </c>
      <c r="G602" s="20" t="s">
        <v>128</v>
      </c>
    </row>
    <row r="603" ht="15.75" customHeight="1">
      <c r="A603" s="20" t="s">
        <v>1307</v>
      </c>
      <c r="B603" s="20" t="s">
        <v>1308</v>
      </c>
      <c r="C603" s="89">
        <v>27.26</v>
      </c>
      <c r="D603" s="90">
        <v>0.25</v>
      </c>
      <c r="E603" s="89">
        <f t="shared" si="1"/>
        <v>20.445</v>
      </c>
      <c r="F603" s="20" t="s">
        <v>127</v>
      </c>
      <c r="G603" s="20" t="s">
        <v>128</v>
      </c>
    </row>
    <row r="604" ht="15.75" customHeight="1">
      <c r="A604" s="20" t="s">
        <v>1309</v>
      </c>
      <c r="B604" s="20" t="s">
        <v>1310</v>
      </c>
      <c r="C604" s="89">
        <v>13.59</v>
      </c>
      <c r="D604" s="90">
        <v>0.25</v>
      </c>
      <c r="E604" s="89">
        <f t="shared" si="1"/>
        <v>10.1925</v>
      </c>
      <c r="F604" s="20" t="s">
        <v>127</v>
      </c>
      <c r="G604" s="20" t="s">
        <v>128</v>
      </c>
    </row>
    <row r="605" ht="15.75" customHeight="1">
      <c r="A605" s="20" t="s">
        <v>1311</v>
      </c>
      <c r="B605" s="20" t="s">
        <v>1312</v>
      </c>
      <c r="C605" s="89">
        <v>29.43</v>
      </c>
      <c r="D605" s="90">
        <v>0.25</v>
      </c>
      <c r="E605" s="89">
        <f t="shared" si="1"/>
        <v>22.0725</v>
      </c>
      <c r="F605" s="20" t="s">
        <v>127</v>
      </c>
      <c r="G605" s="20" t="s">
        <v>128</v>
      </c>
    </row>
    <row r="606" ht="15.75" customHeight="1">
      <c r="A606" s="20" t="s">
        <v>1313</v>
      </c>
      <c r="B606" s="20" t="s">
        <v>1314</v>
      </c>
      <c r="C606" s="89">
        <v>13.59</v>
      </c>
      <c r="D606" s="90">
        <v>0.25</v>
      </c>
      <c r="E606" s="89">
        <f t="shared" si="1"/>
        <v>10.1925</v>
      </c>
      <c r="F606" s="20" t="s">
        <v>127</v>
      </c>
      <c r="G606" s="20" t="s">
        <v>128</v>
      </c>
    </row>
    <row r="607" ht="15.75" customHeight="1">
      <c r="A607" s="20" t="s">
        <v>1315</v>
      </c>
      <c r="B607" s="20" t="s">
        <v>1316</v>
      </c>
      <c r="C607" s="89">
        <v>29.43</v>
      </c>
      <c r="D607" s="90">
        <v>0.25</v>
      </c>
      <c r="E607" s="89">
        <f t="shared" si="1"/>
        <v>22.0725</v>
      </c>
      <c r="F607" s="20" t="s">
        <v>127</v>
      </c>
      <c r="G607" s="20" t="s">
        <v>128</v>
      </c>
    </row>
    <row r="608" ht="15.75" customHeight="1">
      <c r="A608" s="20" t="s">
        <v>1317</v>
      </c>
      <c r="B608" s="20" t="s">
        <v>1318</v>
      </c>
      <c r="C608" s="89">
        <v>12.87</v>
      </c>
      <c r="D608" s="90">
        <v>0.25</v>
      </c>
      <c r="E608" s="89">
        <f t="shared" si="1"/>
        <v>9.6525</v>
      </c>
      <c r="F608" s="20" t="s">
        <v>127</v>
      </c>
      <c r="G608" s="20" t="s">
        <v>128</v>
      </c>
    </row>
    <row r="609" ht="15.75" customHeight="1">
      <c r="A609" s="20" t="s">
        <v>1319</v>
      </c>
      <c r="B609" s="20" t="s">
        <v>1320</v>
      </c>
      <c r="C609" s="89">
        <v>27.87</v>
      </c>
      <c r="D609" s="90">
        <v>0.25</v>
      </c>
      <c r="E609" s="89">
        <f t="shared" si="1"/>
        <v>20.9025</v>
      </c>
      <c r="F609" s="20" t="s">
        <v>127</v>
      </c>
      <c r="G609" s="20" t="s">
        <v>128</v>
      </c>
    </row>
    <row r="610" ht="15.75" customHeight="1">
      <c r="A610" s="20" t="s">
        <v>1321</v>
      </c>
      <c r="B610" s="20" t="s">
        <v>1322</v>
      </c>
      <c r="C610" s="89">
        <v>32.0</v>
      </c>
      <c r="D610" s="90">
        <v>0.25</v>
      </c>
      <c r="E610" s="89">
        <f t="shared" si="1"/>
        <v>24</v>
      </c>
      <c r="F610" s="20" t="s">
        <v>127</v>
      </c>
      <c r="G610" s="20" t="s">
        <v>128</v>
      </c>
    </row>
    <row r="611" ht="15.75" customHeight="1">
      <c r="A611" s="20" t="s">
        <v>1323</v>
      </c>
      <c r="B611" s="20" t="s">
        <v>1324</v>
      </c>
      <c r="C611" s="89">
        <v>15.07</v>
      </c>
      <c r="D611" s="90">
        <v>0.25</v>
      </c>
      <c r="E611" s="89">
        <f t="shared" si="1"/>
        <v>11.3025</v>
      </c>
      <c r="F611" s="20" t="s">
        <v>127</v>
      </c>
      <c r="G611" s="20" t="s">
        <v>128</v>
      </c>
    </row>
    <row r="612" ht="15.75" customHeight="1">
      <c r="A612" s="20" t="s">
        <v>1325</v>
      </c>
      <c r="B612" s="20" t="s">
        <v>1326</v>
      </c>
      <c r="C612" s="89">
        <v>32.65</v>
      </c>
      <c r="D612" s="90">
        <v>0.25</v>
      </c>
      <c r="E612" s="89">
        <f t="shared" si="1"/>
        <v>24.4875</v>
      </c>
      <c r="F612" s="20" t="s">
        <v>127</v>
      </c>
      <c r="G612" s="20" t="s">
        <v>128</v>
      </c>
    </row>
    <row r="613" ht="15.75" customHeight="1">
      <c r="A613" s="20" t="s">
        <v>1327</v>
      </c>
      <c r="B613" s="20" t="s">
        <v>1328</v>
      </c>
      <c r="C613" s="89">
        <v>11.84</v>
      </c>
      <c r="D613" s="90">
        <v>0.25</v>
      </c>
      <c r="E613" s="89">
        <f t="shared" si="1"/>
        <v>8.88</v>
      </c>
      <c r="F613" s="20" t="s">
        <v>127</v>
      </c>
      <c r="G613" s="20" t="s">
        <v>128</v>
      </c>
    </row>
    <row r="614" ht="15.75" customHeight="1">
      <c r="A614" s="20" t="s">
        <v>1329</v>
      </c>
      <c r="B614" s="20" t="s">
        <v>1330</v>
      </c>
      <c r="C614" s="89">
        <v>25.63</v>
      </c>
      <c r="D614" s="90">
        <v>0.25</v>
      </c>
      <c r="E614" s="89">
        <f t="shared" si="1"/>
        <v>19.2225</v>
      </c>
      <c r="F614" s="20" t="s">
        <v>127</v>
      </c>
      <c r="G614" s="20" t="s">
        <v>128</v>
      </c>
    </row>
    <row r="615" ht="15.75" customHeight="1">
      <c r="A615" s="20" t="s">
        <v>1331</v>
      </c>
      <c r="B615" s="20" t="s">
        <v>1332</v>
      </c>
      <c r="C615" s="89">
        <v>16.41</v>
      </c>
      <c r="D615" s="90">
        <v>0.25</v>
      </c>
      <c r="E615" s="89">
        <f t="shared" si="1"/>
        <v>12.3075</v>
      </c>
      <c r="F615" s="20" t="s">
        <v>127</v>
      </c>
      <c r="G615" s="20" t="s">
        <v>128</v>
      </c>
    </row>
    <row r="616" ht="15.75" customHeight="1">
      <c r="A616" s="20" t="s">
        <v>1333</v>
      </c>
      <c r="B616" s="20" t="s">
        <v>1334</v>
      </c>
      <c r="C616" s="89">
        <v>35.57</v>
      </c>
      <c r="D616" s="90">
        <v>0.25</v>
      </c>
      <c r="E616" s="89">
        <f t="shared" si="1"/>
        <v>26.6775</v>
      </c>
      <c r="F616" s="20" t="s">
        <v>127</v>
      </c>
      <c r="G616" s="20" t="s">
        <v>128</v>
      </c>
    </row>
    <row r="617" ht="15.75" customHeight="1">
      <c r="A617" s="20" t="s">
        <v>1335</v>
      </c>
      <c r="B617" s="20" t="s">
        <v>1336</v>
      </c>
      <c r="C617" s="89">
        <v>23.41</v>
      </c>
      <c r="D617" s="90">
        <v>0.25</v>
      </c>
      <c r="E617" s="89">
        <f t="shared" si="1"/>
        <v>17.5575</v>
      </c>
      <c r="F617" s="20" t="s">
        <v>127</v>
      </c>
      <c r="G617" s="20" t="s">
        <v>128</v>
      </c>
    </row>
    <row r="618" ht="15.75" customHeight="1">
      <c r="A618" s="20" t="s">
        <v>1337</v>
      </c>
      <c r="B618" s="20" t="s">
        <v>1338</v>
      </c>
      <c r="C618" s="89">
        <v>50.72</v>
      </c>
      <c r="D618" s="90">
        <v>0.25</v>
      </c>
      <c r="E618" s="89">
        <f t="shared" si="1"/>
        <v>38.04</v>
      </c>
      <c r="F618" s="20" t="s">
        <v>127</v>
      </c>
      <c r="G618" s="20" t="s">
        <v>128</v>
      </c>
    </row>
    <row r="619" ht="15.75" customHeight="1">
      <c r="A619" s="20" t="s">
        <v>1339</v>
      </c>
      <c r="B619" s="20" t="s">
        <v>1340</v>
      </c>
      <c r="C619" s="89">
        <v>17.15</v>
      </c>
      <c r="D619" s="90">
        <v>0.25</v>
      </c>
      <c r="E619" s="89">
        <f t="shared" si="1"/>
        <v>12.8625</v>
      </c>
      <c r="F619" s="20" t="s">
        <v>127</v>
      </c>
      <c r="G619" s="20" t="s">
        <v>128</v>
      </c>
    </row>
    <row r="620" ht="15.75" customHeight="1">
      <c r="A620" s="20" t="s">
        <v>1341</v>
      </c>
      <c r="B620" s="20" t="s">
        <v>1342</v>
      </c>
      <c r="C620" s="89">
        <v>37.16</v>
      </c>
      <c r="D620" s="90">
        <v>0.25</v>
      </c>
      <c r="E620" s="89">
        <f t="shared" si="1"/>
        <v>27.87</v>
      </c>
      <c r="F620" s="20" t="s">
        <v>127</v>
      </c>
      <c r="G620" s="20" t="s">
        <v>128</v>
      </c>
    </row>
    <row r="621" ht="15.75" customHeight="1">
      <c r="A621" s="20" t="s">
        <v>1343</v>
      </c>
      <c r="B621" s="20" t="s">
        <v>1344</v>
      </c>
      <c r="C621" s="89">
        <v>14.76</v>
      </c>
      <c r="D621" s="90">
        <v>0.25</v>
      </c>
      <c r="E621" s="89">
        <f t="shared" si="1"/>
        <v>11.07</v>
      </c>
      <c r="F621" s="20" t="s">
        <v>127</v>
      </c>
      <c r="G621" s="20" t="s">
        <v>128</v>
      </c>
    </row>
    <row r="622" ht="15.75" customHeight="1">
      <c r="A622" s="20" t="s">
        <v>1345</v>
      </c>
      <c r="B622" s="20" t="s">
        <v>1346</v>
      </c>
      <c r="C622" s="89">
        <v>32.0</v>
      </c>
      <c r="D622" s="90">
        <v>0.25</v>
      </c>
      <c r="E622" s="89">
        <f t="shared" si="1"/>
        <v>24</v>
      </c>
      <c r="F622" s="20" t="s">
        <v>127</v>
      </c>
      <c r="G622" s="20" t="s">
        <v>128</v>
      </c>
    </row>
    <row r="623" ht="15.75" customHeight="1">
      <c r="A623" s="20" t="s">
        <v>1347</v>
      </c>
      <c r="B623" s="20" t="s">
        <v>1348</v>
      </c>
      <c r="C623" s="89">
        <v>15.82</v>
      </c>
      <c r="D623" s="90">
        <v>0.25</v>
      </c>
      <c r="E623" s="89">
        <f t="shared" si="1"/>
        <v>11.865</v>
      </c>
      <c r="F623" s="20" t="s">
        <v>127</v>
      </c>
      <c r="G623" s="20" t="s">
        <v>128</v>
      </c>
    </row>
    <row r="624" ht="15.75" customHeight="1">
      <c r="A624" s="20" t="s">
        <v>1349</v>
      </c>
      <c r="B624" s="20" t="s">
        <v>1350</v>
      </c>
      <c r="C624" s="89">
        <v>34.28</v>
      </c>
      <c r="D624" s="90">
        <v>0.25</v>
      </c>
      <c r="E624" s="89">
        <f t="shared" si="1"/>
        <v>25.71</v>
      </c>
      <c r="F624" s="20" t="s">
        <v>127</v>
      </c>
      <c r="G624" s="20" t="s">
        <v>128</v>
      </c>
    </row>
    <row r="625" ht="15.75" customHeight="1">
      <c r="A625" s="20" t="s">
        <v>1351</v>
      </c>
      <c r="B625" s="20" t="s">
        <v>1352</v>
      </c>
      <c r="C625" s="89">
        <v>15.82</v>
      </c>
      <c r="D625" s="90">
        <v>0.25</v>
      </c>
      <c r="E625" s="89">
        <f t="shared" si="1"/>
        <v>11.865</v>
      </c>
      <c r="F625" s="20" t="s">
        <v>127</v>
      </c>
      <c r="G625" s="20" t="s">
        <v>128</v>
      </c>
    </row>
    <row r="626" ht="15.75" customHeight="1">
      <c r="A626" s="20" t="s">
        <v>1353</v>
      </c>
      <c r="B626" s="20" t="s">
        <v>1354</v>
      </c>
      <c r="C626" s="89">
        <v>34.28</v>
      </c>
      <c r="D626" s="90">
        <v>0.25</v>
      </c>
      <c r="E626" s="89">
        <f t="shared" si="1"/>
        <v>25.71</v>
      </c>
      <c r="F626" s="20" t="s">
        <v>127</v>
      </c>
      <c r="G626" s="20" t="s">
        <v>128</v>
      </c>
    </row>
    <row r="627" ht="15.75" customHeight="1">
      <c r="A627" s="20" t="s">
        <v>1355</v>
      </c>
      <c r="B627" s="20" t="s">
        <v>1356</v>
      </c>
      <c r="C627" s="89">
        <v>15.07</v>
      </c>
      <c r="D627" s="90">
        <v>0.25</v>
      </c>
      <c r="E627" s="89">
        <f t="shared" si="1"/>
        <v>11.3025</v>
      </c>
      <c r="F627" s="20" t="s">
        <v>127</v>
      </c>
      <c r="G627" s="20" t="s">
        <v>128</v>
      </c>
    </row>
    <row r="628" ht="15.75" customHeight="1">
      <c r="A628" s="20" t="s">
        <v>1357</v>
      </c>
      <c r="B628" s="20" t="s">
        <v>1358</v>
      </c>
      <c r="C628" s="89">
        <v>32.65</v>
      </c>
      <c r="D628" s="90">
        <v>0.25</v>
      </c>
      <c r="E628" s="89">
        <f t="shared" si="1"/>
        <v>24.4875</v>
      </c>
      <c r="F628" s="20" t="s">
        <v>127</v>
      </c>
      <c r="G628" s="20" t="s">
        <v>128</v>
      </c>
    </row>
    <row r="629" ht="15.75" customHeight="1">
      <c r="A629" s="20" t="s">
        <v>1359</v>
      </c>
      <c r="B629" s="20" t="s">
        <v>1360</v>
      </c>
      <c r="C629" s="89">
        <v>15.07</v>
      </c>
      <c r="D629" s="90">
        <v>0.25</v>
      </c>
      <c r="E629" s="89">
        <f t="shared" si="1"/>
        <v>11.3025</v>
      </c>
      <c r="F629" s="20" t="s">
        <v>127</v>
      </c>
      <c r="G629" s="20" t="s">
        <v>128</v>
      </c>
    </row>
    <row r="630" ht="15.75" customHeight="1">
      <c r="A630" s="20" t="s">
        <v>33</v>
      </c>
      <c r="B630" s="20" t="s">
        <v>1361</v>
      </c>
      <c r="C630" s="89">
        <v>32.65</v>
      </c>
      <c r="D630" s="90">
        <v>0.25</v>
      </c>
      <c r="E630" s="89">
        <f t="shared" si="1"/>
        <v>24.4875</v>
      </c>
      <c r="F630" s="20" t="s">
        <v>127</v>
      </c>
      <c r="G630" s="20" t="s">
        <v>128</v>
      </c>
    </row>
    <row r="631" ht="15.75" customHeight="1">
      <c r="A631" s="20" t="s">
        <v>1362</v>
      </c>
      <c r="B631" s="20" t="s">
        <v>1363</v>
      </c>
      <c r="C631" s="89">
        <v>15.07</v>
      </c>
      <c r="D631" s="90">
        <v>0.25</v>
      </c>
      <c r="E631" s="89">
        <f t="shared" si="1"/>
        <v>11.3025</v>
      </c>
      <c r="F631" s="20" t="s">
        <v>127</v>
      </c>
      <c r="G631" s="20" t="s">
        <v>128</v>
      </c>
    </row>
    <row r="632" ht="15.75" customHeight="1">
      <c r="A632" s="20" t="s">
        <v>1364</v>
      </c>
      <c r="B632" s="20" t="s">
        <v>1365</v>
      </c>
      <c r="C632" s="89">
        <v>32.65</v>
      </c>
      <c r="D632" s="90">
        <v>0.25</v>
      </c>
      <c r="E632" s="89">
        <f t="shared" si="1"/>
        <v>24.4875</v>
      </c>
      <c r="F632" s="20" t="s">
        <v>127</v>
      </c>
      <c r="G632" s="20" t="s">
        <v>128</v>
      </c>
    </row>
    <row r="633" ht="15.75" customHeight="1">
      <c r="A633" s="20" t="s">
        <v>1366</v>
      </c>
      <c r="B633" s="20" t="s">
        <v>1367</v>
      </c>
      <c r="C633" s="89">
        <v>28.55</v>
      </c>
      <c r="D633" s="90">
        <v>0.25</v>
      </c>
      <c r="E633" s="89">
        <f t="shared" si="1"/>
        <v>21.4125</v>
      </c>
      <c r="F633" s="20" t="s">
        <v>127</v>
      </c>
      <c r="G633" s="20" t="s">
        <v>128</v>
      </c>
    </row>
    <row r="634" ht="15.75" customHeight="1">
      <c r="A634" s="20" t="s">
        <v>1368</v>
      </c>
      <c r="B634" s="20" t="s">
        <v>1369</v>
      </c>
      <c r="C634" s="89">
        <v>61.85</v>
      </c>
      <c r="D634" s="90">
        <v>0.25</v>
      </c>
      <c r="E634" s="89">
        <f t="shared" si="1"/>
        <v>46.3875</v>
      </c>
      <c r="F634" s="20" t="s">
        <v>127</v>
      </c>
      <c r="G634" s="20" t="s">
        <v>128</v>
      </c>
    </row>
    <row r="635" ht="15.75" customHeight="1">
      <c r="A635" s="20" t="s">
        <v>1370</v>
      </c>
      <c r="B635" s="20" t="s">
        <v>1371</v>
      </c>
      <c r="C635" s="89">
        <v>22.92</v>
      </c>
      <c r="D635" s="90">
        <v>0.25</v>
      </c>
      <c r="E635" s="89">
        <f t="shared" si="1"/>
        <v>17.19</v>
      </c>
      <c r="F635" s="20" t="s">
        <v>127</v>
      </c>
      <c r="G635" s="20" t="s">
        <v>128</v>
      </c>
    </row>
    <row r="636" ht="15.75" customHeight="1">
      <c r="A636" s="20" t="s">
        <v>1372</v>
      </c>
      <c r="B636" s="20" t="s">
        <v>1373</v>
      </c>
      <c r="C636" s="89">
        <v>49.65</v>
      </c>
      <c r="D636" s="90">
        <v>0.25</v>
      </c>
      <c r="E636" s="89">
        <f t="shared" si="1"/>
        <v>37.2375</v>
      </c>
      <c r="F636" s="20" t="s">
        <v>127</v>
      </c>
      <c r="G636" s="20" t="s">
        <v>128</v>
      </c>
    </row>
    <row r="637" ht="15.75" customHeight="1">
      <c r="A637" s="20" t="s">
        <v>1374</v>
      </c>
      <c r="B637" s="20" t="s">
        <v>1375</v>
      </c>
      <c r="C637" s="89">
        <v>28.03</v>
      </c>
      <c r="D637" s="90">
        <v>0.25</v>
      </c>
      <c r="E637" s="89">
        <f t="shared" si="1"/>
        <v>21.0225</v>
      </c>
      <c r="F637" s="20" t="s">
        <v>127</v>
      </c>
      <c r="G637" s="20" t="s">
        <v>128</v>
      </c>
    </row>
    <row r="638" ht="15.75" customHeight="1">
      <c r="A638" s="20" t="s">
        <v>1376</v>
      </c>
      <c r="B638" s="20" t="s">
        <v>1377</v>
      </c>
      <c r="C638" s="89">
        <v>60.72</v>
      </c>
      <c r="D638" s="90">
        <v>0.25</v>
      </c>
      <c r="E638" s="89">
        <f t="shared" si="1"/>
        <v>45.54</v>
      </c>
      <c r="F638" s="20" t="s">
        <v>127</v>
      </c>
      <c r="G638" s="20" t="s">
        <v>128</v>
      </c>
    </row>
    <row r="639" ht="15.75" customHeight="1">
      <c r="A639" s="20" t="s">
        <v>1378</v>
      </c>
      <c r="B639" s="20" t="s">
        <v>1379</v>
      </c>
      <c r="C639" s="89">
        <v>29.87</v>
      </c>
      <c r="D639" s="90">
        <v>0.25</v>
      </c>
      <c r="E639" s="89">
        <f t="shared" si="1"/>
        <v>22.4025</v>
      </c>
      <c r="F639" s="20" t="s">
        <v>127</v>
      </c>
      <c r="G639" s="20" t="s">
        <v>128</v>
      </c>
    </row>
    <row r="640" ht="15.75" customHeight="1">
      <c r="A640" s="20" t="s">
        <v>1380</v>
      </c>
      <c r="B640" s="20" t="s">
        <v>1381</v>
      </c>
      <c r="C640" s="89">
        <v>64.7</v>
      </c>
      <c r="D640" s="90">
        <v>0.25</v>
      </c>
      <c r="E640" s="89">
        <f t="shared" si="1"/>
        <v>48.525</v>
      </c>
      <c r="F640" s="20" t="s">
        <v>127</v>
      </c>
      <c r="G640" s="20" t="s">
        <v>128</v>
      </c>
    </row>
    <row r="641" ht="15.75" customHeight="1">
      <c r="A641" s="20" t="s">
        <v>1382</v>
      </c>
      <c r="B641" s="20" t="s">
        <v>1383</v>
      </c>
      <c r="C641" s="89">
        <v>29.87</v>
      </c>
      <c r="D641" s="90">
        <v>0.25</v>
      </c>
      <c r="E641" s="89">
        <f t="shared" si="1"/>
        <v>22.4025</v>
      </c>
      <c r="F641" s="20" t="s">
        <v>127</v>
      </c>
      <c r="G641" s="20" t="s">
        <v>128</v>
      </c>
    </row>
    <row r="642" ht="15.75" customHeight="1">
      <c r="A642" s="20" t="s">
        <v>1384</v>
      </c>
      <c r="B642" s="20" t="s">
        <v>1385</v>
      </c>
      <c r="C642" s="89">
        <v>64.7</v>
      </c>
      <c r="D642" s="90">
        <v>0.25</v>
      </c>
      <c r="E642" s="89">
        <f t="shared" si="1"/>
        <v>48.525</v>
      </c>
      <c r="F642" s="20" t="s">
        <v>127</v>
      </c>
      <c r="G642" s="20" t="s">
        <v>128</v>
      </c>
    </row>
    <row r="643" ht="15.75" customHeight="1">
      <c r="A643" s="20" t="s">
        <v>1386</v>
      </c>
      <c r="B643" s="20" t="s">
        <v>1387</v>
      </c>
      <c r="C643" s="89">
        <v>28.55</v>
      </c>
      <c r="D643" s="90">
        <v>0.25</v>
      </c>
      <c r="E643" s="89">
        <f t="shared" si="1"/>
        <v>21.4125</v>
      </c>
      <c r="F643" s="20" t="s">
        <v>127</v>
      </c>
      <c r="G643" s="20" t="s">
        <v>128</v>
      </c>
    </row>
    <row r="644" ht="15.75" customHeight="1">
      <c r="A644" s="20" t="s">
        <v>1388</v>
      </c>
      <c r="B644" s="20" t="s">
        <v>1389</v>
      </c>
      <c r="C644" s="89">
        <v>28.55</v>
      </c>
      <c r="D644" s="90">
        <v>0.25</v>
      </c>
      <c r="E644" s="89">
        <f t="shared" si="1"/>
        <v>21.4125</v>
      </c>
      <c r="F644" s="20" t="s">
        <v>127</v>
      </c>
      <c r="G644" s="20" t="s">
        <v>128</v>
      </c>
    </row>
    <row r="645" ht="15.75" customHeight="1">
      <c r="A645" s="20" t="s">
        <v>1390</v>
      </c>
      <c r="B645" s="20" t="s">
        <v>1391</v>
      </c>
      <c r="C645" s="89">
        <v>61.85</v>
      </c>
      <c r="D645" s="90">
        <v>0.25</v>
      </c>
      <c r="E645" s="89">
        <f t="shared" si="1"/>
        <v>46.3875</v>
      </c>
      <c r="F645" s="20" t="s">
        <v>127</v>
      </c>
      <c r="G645" s="20" t="s">
        <v>128</v>
      </c>
    </row>
    <row r="646" ht="15.75" customHeight="1">
      <c r="A646" s="20" t="s">
        <v>1392</v>
      </c>
      <c r="B646" s="20" t="s">
        <v>1393</v>
      </c>
      <c r="C646" s="89">
        <v>14.01</v>
      </c>
      <c r="D646" s="90">
        <v>0.25</v>
      </c>
      <c r="E646" s="89">
        <f t="shared" si="1"/>
        <v>10.5075</v>
      </c>
      <c r="F646" s="20" t="s">
        <v>127</v>
      </c>
      <c r="G646" s="20" t="s">
        <v>128</v>
      </c>
    </row>
    <row r="647" ht="15.75" customHeight="1">
      <c r="A647" s="20" t="s">
        <v>1394</v>
      </c>
      <c r="B647" s="20" t="s">
        <v>1395</v>
      </c>
      <c r="C647" s="89">
        <v>30.35</v>
      </c>
      <c r="D647" s="90">
        <v>0.25</v>
      </c>
      <c r="E647" s="89">
        <f t="shared" si="1"/>
        <v>22.7625</v>
      </c>
      <c r="F647" s="20" t="s">
        <v>127</v>
      </c>
      <c r="G647" s="20" t="s">
        <v>128</v>
      </c>
    </row>
    <row r="648" ht="15.75" customHeight="1">
      <c r="A648" s="20" t="s">
        <v>1396</v>
      </c>
      <c r="B648" s="20" t="s">
        <v>1397</v>
      </c>
      <c r="C648" s="89">
        <v>10.85</v>
      </c>
      <c r="D648" s="90">
        <v>0.25</v>
      </c>
      <c r="E648" s="89">
        <f t="shared" si="1"/>
        <v>8.1375</v>
      </c>
      <c r="F648" s="20" t="s">
        <v>127</v>
      </c>
      <c r="G648" s="20" t="s">
        <v>128</v>
      </c>
    </row>
    <row r="649" ht="15.75" customHeight="1">
      <c r="A649" s="20" t="s">
        <v>1398</v>
      </c>
      <c r="B649" s="20" t="s">
        <v>1399</v>
      </c>
      <c r="C649" s="89">
        <v>23.49</v>
      </c>
      <c r="D649" s="90">
        <v>0.25</v>
      </c>
      <c r="E649" s="89">
        <f t="shared" si="1"/>
        <v>17.6175</v>
      </c>
      <c r="F649" s="20" t="s">
        <v>127</v>
      </c>
      <c r="G649" s="20" t="s">
        <v>128</v>
      </c>
    </row>
    <row r="650" ht="15.75" customHeight="1">
      <c r="A650" s="20" t="s">
        <v>1400</v>
      </c>
      <c r="B650" s="20" t="s">
        <v>1401</v>
      </c>
      <c r="C650" s="89">
        <v>22.18</v>
      </c>
      <c r="D650" s="90">
        <v>0.25</v>
      </c>
      <c r="E650" s="89">
        <f t="shared" si="1"/>
        <v>16.635</v>
      </c>
      <c r="F650" s="20" t="s">
        <v>127</v>
      </c>
      <c r="G650" s="20" t="s">
        <v>128</v>
      </c>
    </row>
    <row r="651" ht="15.75" customHeight="1">
      <c r="A651" s="20" t="s">
        <v>1402</v>
      </c>
      <c r="B651" s="20" t="s">
        <v>1403</v>
      </c>
      <c r="C651" s="89">
        <v>48.04</v>
      </c>
      <c r="D651" s="90">
        <v>0.25</v>
      </c>
      <c r="E651" s="89">
        <f t="shared" si="1"/>
        <v>36.03</v>
      </c>
      <c r="F651" s="20" t="s">
        <v>127</v>
      </c>
      <c r="G651" s="20" t="s">
        <v>128</v>
      </c>
    </row>
    <row r="652" ht="15.75" customHeight="1">
      <c r="A652" s="20" t="s">
        <v>1404</v>
      </c>
      <c r="B652" s="20" t="s">
        <v>1405</v>
      </c>
      <c r="C652" s="89">
        <v>13.72</v>
      </c>
      <c r="D652" s="90">
        <v>0.25</v>
      </c>
      <c r="E652" s="89">
        <f t="shared" si="1"/>
        <v>10.29</v>
      </c>
      <c r="F652" s="20" t="s">
        <v>127</v>
      </c>
      <c r="G652" s="20" t="s">
        <v>128</v>
      </c>
    </row>
    <row r="653" ht="15.75" customHeight="1">
      <c r="A653" s="20" t="s">
        <v>1406</v>
      </c>
      <c r="B653" s="20" t="s">
        <v>1407</v>
      </c>
      <c r="C653" s="89">
        <v>29.71</v>
      </c>
      <c r="D653" s="90">
        <v>0.25</v>
      </c>
      <c r="E653" s="89">
        <f t="shared" si="1"/>
        <v>22.2825</v>
      </c>
      <c r="F653" s="20" t="s">
        <v>127</v>
      </c>
      <c r="G653" s="20" t="s">
        <v>128</v>
      </c>
    </row>
    <row r="654" ht="15.75" customHeight="1">
      <c r="A654" s="20" t="s">
        <v>1408</v>
      </c>
      <c r="B654" s="20" t="s">
        <v>1409</v>
      </c>
      <c r="C654" s="89">
        <v>14.75</v>
      </c>
      <c r="D654" s="90">
        <v>0.25</v>
      </c>
      <c r="E654" s="89">
        <f t="shared" si="1"/>
        <v>11.0625</v>
      </c>
      <c r="F654" s="20" t="s">
        <v>127</v>
      </c>
      <c r="G654" s="20" t="s">
        <v>128</v>
      </c>
    </row>
    <row r="655" ht="15.75" customHeight="1">
      <c r="A655" s="20" t="s">
        <v>1410</v>
      </c>
      <c r="B655" s="20" t="s">
        <v>1411</v>
      </c>
      <c r="C655" s="89">
        <v>31.96</v>
      </c>
      <c r="D655" s="90">
        <v>0.25</v>
      </c>
      <c r="E655" s="89">
        <f t="shared" si="1"/>
        <v>23.97</v>
      </c>
      <c r="F655" s="20" t="s">
        <v>127</v>
      </c>
      <c r="G655" s="20" t="s">
        <v>128</v>
      </c>
    </row>
    <row r="656" ht="15.75" customHeight="1">
      <c r="A656" s="20" t="s">
        <v>1412</v>
      </c>
      <c r="B656" s="20" t="s">
        <v>1413</v>
      </c>
      <c r="C656" s="89">
        <v>14.75</v>
      </c>
      <c r="D656" s="90">
        <v>0.25</v>
      </c>
      <c r="E656" s="89">
        <f t="shared" si="1"/>
        <v>11.0625</v>
      </c>
      <c r="F656" s="20" t="s">
        <v>127</v>
      </c>
      <c r="G656" s="20" t="s">
        <v>128</v>
      </c>
    </row>
    <row r="657" ht="15.75" customHeight="1">
      <c r="A657" s="20" t="s">
        <v>1414</v>
      </c>
      <c r="B657" s="20" t="s">
        <v>1415</v>
      </c>
      <c r="C657" s="89">
        <v>31.96</v>
      </c>
      <c r="D657" s="90">
        <v>0.25</v>
      </c>
      <c r="E657" s="89">
        <f t="shared" si="1"/>
        <v>23.97</v>
      </c>
      <c r="F657" s="20" t="s">
        <v>127</v>
      </c>
      <c r="G657" s="20" t="s">
        <v>128</v>
      </c>
    </row>
    <row r="658" ht="15.75" customHeight="1">
      <c r="A658" s="20" t="s">
        <v>1416</v>
      </c>
      <c r="B658" s="20" t="s">
        <v>1417</v>
      </c>
      <c r="C658" s="89">
        <v>30.35</v>
      </c>
      <c r="D658" s="90">
        <v>0.25</v>
      </c>
      <c r="E658" s="89">
        <f t="shared" si="1"/>
        <v>22.7625</v>
      </c>
      <c r="F658" s="20" t="s">
        <v>127</v>
      </c>
      <c r="G658" s="20" t="s">
        <v>128</v>
      </c>
    </row>
    <row r="659" ht="15.75" customHeight="1">
      <c r="A659" s="20" t="s">
        <v>1418</v>
      </c>
      <c r="B659" s="20" t="s">
        <v>1419</v>
      </c>
      <c r="C659" s="89">
        <v>14.01</v>
      </c>
      <c r="D659" s="90">
        <v>0.25</v>
      </c>
      <c r="E659" s="89">
        <f t="shared" si="1"/>
        <v>10.5075</v>
      </c>
      <c r="F659" s="20" t="s">
        <v>127</v>
      </c>
      <c r="G659" s="20" t="s">
        <v>128</v>
      </c>
    </row>
    <row r="660" ht="15.75" customHeight="1">
      <c r="A660" s="20" t="s">
        <v>1420</v>
      </c>
      <c r="B660" s="20" t="s">
        <v>1421</v>
      </c>
      <c r="C660" s="89">
        <v>30.35</v>
      </c>
      <c r="D660" s="90">
        <v>0.25</v>
      </c>
      <c r="E660" s="89">
        <f t="shared" si="1"/>
        <v>22.7625</v>
      </c>
      <c r="F660" s="20" t="s">
        <v>127</v>
      </c>
      <c r="G660" s="20" t="s">
        <v>128</v>
      </c>
    </row>
    <row r="661" ht="15.75" customHeight="1">
      <c r="C661" s="11"/>
      <c r="D661" s="11"/>
      <c r="E661" s="11"/>
    </row>
    <row r="662" ht="15.75" customHeight="1">
      <c r="C662" s="11"/>
      <c r="D662" s="11"/>
      <c r="E662" s="11"/>
    </row>
    <row r="663" ht="15.75" customHeight="1">
      <c r="C663" s="11"/>
      <c r="D663" s="11"/>
      <c r="E663" s="11"/>
    </row>
    <row r="664" ht="15.75" customHeight="1">
      <c r="C664" s="11"/>
      <c r="D664" s="11"/>
      <c r="E664" s="11"/>
    </row>
    <row r="665" ht="15.75" customHeight="1">
      <c r="C665" s="11"/>
      <c r="D665" s="11"/>
      <c r="E665" s="11"/>
    </row>
    <row r="666" ht="15.75" customHeight="1">
      <c r="C666" s="11"/>
      <c r="D666" s="11"/>
      <c r="E666" s="11"/>
    </row>
    <row r="667" ht="15.75" customHeight="1">
      <c r="C667" s="11"/>
      <c r="D667" s="11"/>
      <c r="E667" s="11"/>
    </row>
    <row r="668" ht="15.75" customHeight="1">
      <c r="C668" s="11"/>
      <c r="D668" s="11"/>
      <c r="E668" s="11"/>
    </row>
    <row r="669" ht="15.75" customHeight="1">
      <c r="C669" s="11"/>
      <c r="D669" s="11"/>
      <c r="E669" s="11"/>
    </row>
    <row r="670" ht="15.75" customHeight="1">
      <c r="C670" s="11"/>
      <c r="D670" s="11"/>
      <c r="E670" s="11"/>
    </row>
    <row r="671" ht="15.75" customHeight="1">
      <c r="C671" s="11"/>
      <c r="D671" s="11"/>
      <c r="E671" s="11"/>
    </row>
    <row r="672" ht="15.75" customHeight="1">
      <c r="C672" s="11"/>
      <c r="D672" s="11"/>
      <c r="E672" s="11"/>
    </row>
    <row r="673" ht="15.75" customHeight="1">
      <c r="C673" s="11"/>
      <c r="D673" s="11"/>
      <c r="E673" s="11"/>
    </row>
    <row r="674" ht="15.75" customHeight="1">
      <c r="C674" s="11"/>
      <c r="D674" s="11"/>
      <c r="E674" s="11"/>
    </row>
    <row r="675" ht="15.75" customHeight="1">
      <c r="C675" s="11"/>
      <c r="D675" s="11"/>
      <c r="E675" s="11"/>
    </row>
    <row r="676" ht="15.75" customHeight="1">
      <c r="C676" s="11"/>
      <c r="D676" s="11"/>
      <c r="E676" s="11"/>
    </row>
    <row r="677" ht="15.75" customHeight="1">
      <c r="C677" s="11"/>
      <c r="D677" s="11"/>
      <c r="E677" s="11"/>
    </row>
    <row r="678" ht="15.75" customHeight="1">
      <c r="C678" s="11"/>
      <c r="D678" s="11"/>
      <c r="E678" s="11"/>
    </row>
    <row r="679" ht="15.75" customHeight="1">
      <c r="C679" s="11"/>
      <c r="D679" s="11"/>
      <c r="E679" s="11"/>
    </row>
    <row r="680" ht="15.75" customHeight="1">
      <c r="C680" s="11"/>
      <c r="D680" s="11"/>
      <c r="E680" s="11"/>
    </row>
    <row r="681" ht="15.75" customHeight="1">
      <c r="C681" s="11"/>
      <c r="D681" s="11"/>
      <c r="E681" s="11"/>
    </row>
    <row r="682" ht="15.75" customHeight="1">
      <c r="C682" s="11"/>
      <c r="D682" s="11"/>
      <c r="E682" s="11"/>
    </row>
    <row r="683" ht="15.75" customHeight="1">
      <c r="C683" s="11"/>
      <c r="D683" s="11"/>
      <c r="E683" s="11"/>
    </row>
    <row r="684" ht="15.75" customHeight="1">
      <c r="C684" s="11"/>
      <c r="D684" s="11"/>
      <c r="E684" s="11"/>
    </row>
    <row r="685" ht="15.75" customHeight="1">
      <c r="C685" s="11"/>
      <c r="D685" s="11"/>
      <c r="E685" s="11"/>
    </row>
    <row r="686" ht="15.75" customHeight="1">
      <c r="C686" s="11"/>
      <c r="D686" s="11"/>
      <c r="E686" s="11"/>
    </row>
    <row r="687" ht="15.75" customHeight="1">
      <c r="C687" s="11"/>
      <c r="D687" s="11"/>
      <c r="E687" s="11"/>
    </row>
    <row r="688" ht="15.75" customHeight="1">
      <c r="C688" s="11"/>
      <c r="D688" s="11"/>
      <c r="E688" s="11"/>
    </row>
    <row r="689" ht="15.75" customHeight="1">
      <c r="C689" s="11"/>
      <c r="D689" s="11"/>
      <c r="E689" s="11"/>
    </row>
    <row r="690" ht="15.75" customHeight="1">
      <c r="C690" s="11"/>
      <c r="D690" s="11"/>
      <c r="E690" s="11"/>
    </row>
    <row r="691" ht="15.75" customHeight="1">
      <c r="C691" s="11"/>
      <c r="D691" s="11"/>
      <c r="E691" s="11"/>
    </row>
    <row r="692" ht="15.75" customHeight="1">
      <c r="C692" s="11"/>
      <c r="D692" s="11"/>
      <c r="E692" s="11"/>
    </row>
    <row r="693" ht="15.75" customHeight="1">
      <c r="C693" s="11"/>
      <c r="D693" s="11"/>
      <c r="E693" s="11"/>
    </row>
    <row r="694" ht="15.75" customHeight="1">
      <c r="C694" s="11"/>
      <c r="D694" s="11"/>
      <c r="E694" s="11"/>
    </row>
    <row r="695" ht="15.75" customHeight="1">
      <c r="C695" s="11"/>
      <c r="D695" s="11"/>
      <c r="E695" s="11"/>
    </row>
    <row r="696" ht="15.75" customHeight="1">
      <c r="C696" s="11"/>
      <c r="D696" s="11"/>
      <c r="E696" s="11"/>
    </row>
    <row r="697" ht="15.75" customHeight="1">
      <c r="C697" s="11"/>
      <c r="D697" s="11"/>
      <c r="E697" s="11"/>
    </row>
    <row r="698" ht="15.75" customHeight="1">
      <c r="C698" s="11"/>
      <c r="D698" s="11"/>
      <c r="E698" s="11"/>
    </row>
    <row r="699" ht="15.75" customHeight="1">
      <c r="C699" s="11"/>
      <c r="D699" s="11"/>
      <c r="E699" s="11"/>
    </row>
    <row r="700" ht="15.75" customHeight="1">
      <c r="C700" s="11"/>
      <c r="D700" s="11"/>
      <c r="E700" s="11"/>
    </row>
    <row r="701" ht="15.75" customHeight="1">
      <c r="C701" s="11"/>
      <c r="D701" s="11"/>
      <c r="E701" s="11"/>
    </row>
    <row r="702" ht="15.75" customHeight="1">
      <c r="C702" s="11"/>
      <c r="D702" s="11"/>
      <c r="E702" s="11"/>
    </row>
    <row r="703" ht="15.75" customHeight="1">
      <c r="C703" s="11"/>
      <c r="D703" s="11"/>
      <c r="E703" s="11"/>
    </row>
    <row r="704" ht="15.75" customHeight="1">
      <c r="C704" s="11"/>
      <c r="D704" s="11"/>
      <c r="E704" s="11"/>
    </row>
    <row r="705" ht="15.75" customHeight="1">
      <c r="C705" s="11"/>
      <c r="D705" s="11"/>
      <c r="E705" s="11"/>
    </row>
    <row r="706" ht="15.75" customHeight="1">
      <c r="C706" s="11"/>
      <c r="D706" s="11"/>
      <c r="E706" s="11"/>
    </row>
    <row r="707" ht="15.75" customHeight="1">
      <c r="C707" s="11"/>
      <c r="D707" s="11"/>
      <c r="E707" s="11"/>
    </row>
    <row r="708" ht="15.75" customHeight="1">
      <c r="C708" s="11"/>
      <c r="D708" s="11"/>
      <c r="E708" s="11"/>
    </row>
    <row r="709" ht="15.75" customHeight="1">
      <c r="C709" s="11"/>
      <c r="D709" s="11"/>
      <c r="E709" s="11"/>
    </row>
    <row r="710" ht="15.75" customHeight="1">
      <c r="C710" s="11"/>
      <c r="D710" s="11"/>
      <c r="E710" s="11"/>
    </row>
    <row r="711" ht="15.75" customHeight="1">
      <c r="C711" s="11"/>
      <c r="D711" s="11"/>
      <c r="E711" s="11"/>
    </row>
    <row r="712" ht="15.75" customHeight="1">
      <c r="C712" s="11"/>
      <c r="D712" s="11"/>
      <c r="E712" s="11"/>
    </row>
    <row r="713" ht="15.75" customHeight="1">
      <c r="C713" s="11"/>
      <c r="D713" s="11"/>
      <c r="E713" s="11"/>
    </row>
    <row r="714" ht="15.75" customHeight="1">
      <c r="C714" s="11"/>
      <c r="D714" s="11"/>
      <c r="E714" s="11"/>
    </row>
    <row r="715" ht="15.75" customHeight="1">
      <c r="C715" s="11"/>
      <c r="D715" s="11"/>
      <c r="E715" s="11"/>
    </row>
    <row r="716" ht="15.75" customHeight="1">
      <c r="C716" s="11"/>
      <c r="D716" s="11"/>
      <c r="E716" s="11"/>
    </row>
    <row r="717" ht="15.75" customHeight="1">
      <c r="C717" s="11"/>
      <c r="D717" s="11"/>
      <c r="E717" s="11"/>
    </row>
    <row r="718" ht="15.75" customHeight="1">
      <c r="C718" s="11"/>
      <c r="D718" s="11"/>
      <c r="E718" s="11"/>
    </row>
    <row r="719" ht="15.75" customHeight="1">
      <c r="C719" s="11"/>
      <c r="D719" s="11"/>
      <c r="E719" s="11"/>
    </row>
    <row r="720" ht="15.75" customHeight="1">
      <c r="C720" s="11"/>
      <c r="D720" s="11"/>
      <c r="E720" s="11"/>
    </row>
    <row r="721" ht="15.75" customHeight="1">
      <c r="C721" s="11"/>
      <c r="D721" s="11"/>
      <c r="E721" s="11"/>
    </row>
    <row r="722" ht="15.75" customHeight="1">
      <c r="C722" s="11"/>
      <c r="D722" s="11"/>
      <c r="E722" s="11"/>
    </row>
    <row r="723" ht="15.75" customHeight="1">
      <c r="C723" s="11"/>
      <c r="D723" s="11"/>
      <c r="E723" s="11"/>
    </row>
    <row r="724" ht="15.75" customHeight="1">
      <c r="C724" s="11"/>
      <c r="D724" s="11"/>
      <c r="E724" s="11"/>
    </row>
    <row r="725" ht="15.75" customHeight="1">
      <c r="C725" s="11"/>
      <c r="D725" s="11"/>
      <c r="E725" s="11"/>
    </row>
    <row r="726" ht="15.75" customHeight="1">
      <c r="C726" s="11"/>
      <c r="D726" s="11"/>
      <c r="E726" s="11"/>
    </row>
    <row r="727" ht="15.75" customHeight="1">
      <c r="C727" s="11"/>
      <c r="D727" s="11"/>
      <c r="E727" s="11"/>
    </row>
    <row r="728" ht="15.75" customHeight="1">
      <c r="C728" s="11"/>
      <c r="D728" s="11"/>
      <c r="E728" s="11"/>
    </row>
    <row r="729" ht="15.75" customHeight="1">
      <c r="C729" s="11"/>
      <c r="D729" s="11"/>
      <c r="E729" s="11"/>
    </row>
    <row r="730" ht="15.75" customHeight="1">
      <c r="C730" s="11"/>
      <c r="D730" s="11"/>
      <c r="E730" s="11"/>
    </row>
    <row r="731" ht="15.75" customHeight="1">
      <c r="C731" s="11"/>
      <c r="D731" s="11"/>
      <c r="E731" s="11"/>
    </row>
    <row r="732" ht="15.75" customHeight="1">
      <c r="C732" s="11"/>
      <c r="D732" s="11"/>
      <c r="E732" s="11"/>
    </row>
    <row r="733" ht="15.75" customHeight="1">
      <c r="C733" s="11"/>
      <c r="D733" s="11"/>
      <c r="E733" s="11"/>
    </row>
    <row r="734" ht="15.75" customHeight="1">
      <c r="C734" s="11"/>
      <c r="D734" s="11"/>
      <c r="E734" s="11"/>
    </row>
    <row r="735" ht="15.75" customHeight="1">
      <c r="C735" s="11"/>
      <c r="D735" s="11"/>
      <c r="E735" s="11"/>
    </row>
    <row r="736" ht="15.75" customHeight="1">
      <c r="C736" s="11"/>
      <c r="D736" s="11"/>
      <c r="E736" s="11"/>
    </row>
    <row r="737" ht="15.75" customHeight="1">
      <c r="C737" s="11"/>
      <c r="D737" s="11"/>
      <c r="E737" s="11"/>
    </row>
    <row r="738" ht="15.75" customHeight="1">
      <c r="C738" s="11"/>
      <c r="D738" s="11"/>
      <c r="E738" s="11"/>
    </row>
    <row r="739" ht="15.75" customHeight="1">
      <c r="C739" s="11"/>
      <c r="D739" s="11"/>
      <c r="E739" s="11"/>
    </row>
    <row r="740" ht="15.75" customHeight="1">
      <c r="C740" s="11"/>
      <c r="D740" s="11"/>
      <c r="E740" s="11"/>
    </row>
    <row r="741" ht="15.75" customHeight="1">
      <c r="C741" s="11"/>
      <c r="D741" s="11"/>
      <c r="E741" s="11"/>
    </row>
    <row r="742" ht="15.75" customHeight="1">
      <c r="C742" s="11"/>
      <c r="D742" s="11"/>
      <c r="E742" s="11"/>
    </row>
    <row r="743" ht="15.75" customHeight="1">
      <c r="C743" s="11"/>
      <c r="D743" s="11"/>
      <c r="E743" s="11"/>
    </row>
    <row r="744" ht="15.75" customHeight="1">
      <c r="C744" s="11"/>
      <c r="D744" s="11"/>
      <c r="E744" s="11"/>
    </row>
    <row r="745" ht="15.75" customHeight="1">
      <c r="C745" s="11"/>
      <c r="D745" s="11"/>
      <c r="E745" s="11"/>
    </row>
    <row r="746" ht="15.75" customHeight="1">
      <c r="C746" s="11"/>
      <c r="D746" s="11"/>
      <c r="E746" s="11"/>
    </row>
    <row r="747" ht="15.75" customHeight="1">
      <c r="C747" s="11"/>
      <c r="D747" s="11"/>
      <c r="E747" s="11"/>
    </row>
    <row r="748" ht="15.75" customHeight="1">
      <c r="C748" s="11"/>
      <c r="D748" s="11"/>
      <c r="E748" s="11"/>
    </row>
    <row r="749" ht="15.75" customHeight="1">
      <c r="C749" s="11"/>
      <c r="D749" s="11"/>
      <c r="E749" s="11"/>
    </row>
    <row r="750" ht="15.75" customHeight="1">
      <c r="C750" s="11"/>
      <c r="D750" s="11"/>
      <c r="E750" s="11"/>
    </row>
    <row r="751" ht="15.75" customHeight="1">
      <c r="C751" s="11"/>
      <c r="D751" s="11"/>
      <c r="E751" s="11"/>
    </row>
    <row r="752" ht="15.75" customHeight="1">
      <c r="C752" s="11"/>
      <c r="D752" s="11"/>
      <c r="E752" s="11"/>
    </row>
    <row r="753" ht="15.75" customHeight="1">
      <c r="C753" s="11"/>
      <c r="D753" s="11"/>
      <c r="E753" s="11"/>
    </row>
    <row r="754" ht="15.75" customHeight="1">
      <c r="C754" s="11"/>
      <c r="D754" s="11"/>
      <c r="E754" s="11"/>
    </row>
    <row r="755" ht="15.75" customHeight="1">
      <c r="C755" s="11"/>
      <c r="D755" s="11"/>
      <c r="E755" s="11"/>
    </row>
    <row r="756" ht="15.75" customHeight="1">
      <c r="C756" s="11"/>
      <c r="D756" s="11"/>
      <c r="E756" s="11"/>
    </row>
    <row r="757" ht="15.75" customHeight="1">
      <c r="C757" s="11"/>
      <c r="D757" s="11"/>
      <c r="E757" s="11"/>
    </row>
    <row r="758" ht="15.75" customHeight="1">
      <c r="C758" s="11"/>
      <c r="D758" s="11"/>
      <c r="E758" s="11"/>
    </row>
    <row r="759" ht="15.75" customHeight="1">
      <c r="C759" s="11"/>
      <c r="D759" s="11"/>
      <c r="E759" s="11"/>
    </row>
    <row r="760" ht="15.75" customHeight="1">
      <c r="C760" s="11"/>
      <c r="D760" s="11"/>
      <c r="E760" s="11"/>
    </row>
    <row r="761" ht="15.75" customHeight="1">
      <c r="C761" s="11"/>
      <c r="D761" s="11"/>
      <c r="E761" s="11"/>
    </row>
    <row r="762" ht="15.75" customHeight="1">
      <c r="C762" s="11"/>
      <c r="D762" s="11"/>
      <c r="E762" s="11"/>
    </row>
    <row r="763" ht="15.75" customHeight="1">
      <c r="C763" s="11"/>
      <c r="D763" s="11"/>
      <c r="E763" s="11"/>
    </row>
    <row r="764" ht="15.75" customHeight="1">
      <c r="C764" s="11"/>
      <c r="D764" s="11"/>
      <c r="E764" s="11"/>
    </row>
    <row r="765" ht="15.75" customHeight="1">
      <c r="C765" s="11"/>
      <c r="D765" s="11"/>
      <c r="E765" s="11"/>
    </row>
    <row r="766" ht="15.75" customHeight="1">
      <c r="C766" s="11"/>
      <c r="D766" s="11"/>
      <c r="E766" s="11"/>
    </row>
    <row r="767" ht="15.75" customHeight="1">
      <c r="C767" s="11"/>
      <c r="D767" s="11"/>
      <c r="E767" s="11"/>
    </row>
    <row r="768" ht="15.75" customHeight="1">
      <c r="C768" s="11"/>
      <c r="D768" s="11"/>
      <c r="E768" s="11"/>
    </row>
    <row r="769" ht="15.75" customHeight="1">
      <c r="C769" s="11"/>
      <c r="D769" s="11"/>
      <c r="E769" s="11"/>
    </row>
    <row r="770" ht="15.75" customHeight="1">
      <c r="C770" s="11"/>
      <c r="D770" s="11"/>
      <c r="E770" s="11"/>
    </row>
    <row r="771" ht="15.75" customHeight="1">
      <c r="C771" s="11"/>
      <c r="D771" s="11"/>
      <c r="E771" s="11"/>
    </row>
    <row r="772" ht="15.75" customHeight="1">
      <c r="C772" s="11"/>
      <c r="D772" s="11"/>
      <c r="E772" s="11"/>
    </row>
    <row r="773" ht="15.75" customHeight="1">
      <c r="C773" s="11"/>
      <c r="D773" s="11"/>
      <c r="E773" s="11"/>
    </row>
    <row r="774" ht="15.75" customHeight="1">
      <c r="C774" s="11"/>
      <c r="D774" s="11"/>
      <c r="E774" s="11"/>
    </row>
    <row r="775" ht="15.75" customHeight="1">
      <c r="C775" s="11"/>
      <c r="D775" s="11"/>
      <c r="E775" s="11"/>
    </row>
    <row r="776" ht="15.75" customHeight="1">
      <c r="C776" s="11"/>
      <c r="D776" s="11"/>
      <c r="E776" s="11"/>
    </row>
    <row r="777" ht="15.75" customHeight="1">
      <c r="C777" s="11"/>
      <c r="D777" s="11"/>
      <c r="E777" s="11"/>
    </row>
    <row r="778" ht="15.75" customHeight="1">
      <c r="C778" s="11"/>
      <c r="D778" s="11"/>
      <c r="E778" s="11"/>
    </row>
    <row r="779" ht="15.75" customHeight="1">
      <c r="C779" s="11"/>
      <c r="D779" s="11"/>
      <c r="E779" s="11"/>
    </row>
    <row r="780" ht="15.75" customHeight="1">
      <c r="C780" s="11"/>
      <c r="D780" s="11"/>
      <c r="E780" s="11"/>
    </row>
    <row r="781" ht="15.75" customHeight="1">
      <c r="C781" s="11"/>
      <c r="D781" s="11"/>
      <c r="E781" s="11"/>
    </row>
    <row r="782" ht="15.75" customHeight="1">
      <c r="C782" s="11"/>
      <c r="D782" s="11"/>
      <c r="E782" s="11"/>
    </row>
    <row r="783" ht="15.75" customHeight="1">
      <c r="C783" s="11"/>
      <c r="D783" s="11"/>
      <c r="E783" s="11"/>
    </row>
    <row r="784" ht="15.75" customHeight="1">
      <c r="C784" s="11"/>
      <c r="D784" s="11"/>
      <c r="E784" s="11"/>
    </row>
    <row r="785" ht="15.75" customHeight="1">
      <c r="C785" s="11"/>
      <c r="D785" s="11"/>
      <c r="E785" s="11"/>
    </row>
    <row r="786" ht="15.75" customHeight="1">
      <c r="C786" s="11"/>
      <c r="D786" s="11"/>
      <c r="E786" s="11"/>
    </row>
    <row r="787" ht="15.75" customHeight="1">
      <c r="C787" s="11"/>
      <c r="D787" s="11"/>
      <c r="E787" s="11"/>
    </row>
    <row r="788" ht="15.75" customHeight="1">
      <c r="C788" s="11"/>
      <c r="D788" s="11"/>
      <c r="E788" s="11"/>
    </row>
    <row r="789" ht="15.75" customHeight="1">
      <c r="C789" s="11"/>
      <c r="D789" s="11"/>
      <c r="E789" s="11"/>
    </row>
    <row r="790" ht="15.75" customHeight="1">
      <c r="C790" s="11"/>
      <c r="D790" s="11"/>
      <c r="E790" s="11"/>
    </row>
    <row r="791" ht="15.75" customHeight="1">
      <c r="C791" s="11"/>
      <c r="D791" s="11"/>
      <c r="E791" s="11"/>
    </row>
    <row r="792" ht="15.75" customHeight="1">
      <c r="C792" s="11"/>
      <c r="D792" s="11"/>
      <c r="E792" s="11"/>
    </row>
    <row r="793" ht="15.75" customHeight="1">
      <c r="C793" s="11"/>
      <c r="D793" s="11"/>
      <c r="E793" s="11"/>
    </row>
    <row r="794" ht="15.75" customHeight="1">
      <c r="C794" s="11"/>
      <c r="D794" s="11"/>
      <c r="E794" s="11"/>
    </row>
    <row r="795" ht="15.75" customHeight="1">
      <c r="C795" s="11"/>
      <c r="D795" s="11"/>
      <c r="E795" s="11"/>
    </row>
    <row r="796" ht="15.75" customHeight="1">
      <c r="C796" s="11"/>
      <c r="D796" s="11"/>
      <c r="E796" s="11"/>
    </row>
    <row r="797" ht="15.75" customHeight="1">
      <c r="C797" s="11"/>
      <c r="D797" s="11"/>
      <c r="E797" s="11"/>
    </row>
    <row r="798" ht="15.75" customHeight="1">
      <c r="C798" s="11"/>
      <c r="D798" s="11"/>
      <c r="E798" s="11"/>
    </row>
    <row r="799" ht="15.75" customHeight="1">
      <c r="C799" s="11"/>
      <c r="D799" s="11"/>
      <c r="E799" s="11"/>
    </row>
    <row r="800" ht="15.75" customHeight="1">
      <c r="C800" s="11"/>
      <c r="D800" s="11"/>
      <c r="E800" s="11"/>
    </row>
    <row r="801" ht="15.75" customHeight="1">
      <c r="C801" s="11"/>
      <c r="D801" s="11"/>
      <c r="E801" s="11"/>
    </row>
    <row r="802" ht="15.75" customHeight="1">
      <c r="C802" s="11"/>
      <c r="D802" s="11"/>
      <c r="E802" s="11"/>
    </row>
    <row r="803" ht="15.75" customHeight="1">
      <c r="C803" s="11"/>
      <c r="D803" s="11"/>
      <c r="E803" s="11"/>
    </row>
    <row r="804" ht="15.75" customHeight="1">
      <c r="C804" s="11"/>
      <c r="D804" s="11"/>
      <c r="E804" s="11"/>
    </row>
    <row r="805" ht="15.75" customHeight="1">
      <c r="C805" s="11"/>
      <c r="D805" s="11"/>
      <c r="E805" s="11"/>
    </row>
    <row r="806" ht="15.75" customHeight="1">
      <c r="C806" s="11"/>
      <c r="D806" s="11"/>
      <c r="E806" s="11"/>
    </row>
    <row r="807" ht="15.75" customHeight="1">
      <c r="C807" s="11"/>
      <c r="D807" s="11"/>
      <c r="E807" s="11"/>
    </row>
    <row r="808" ht="15.75" customHeight="1">
      <c r="C808" s="11"/>
      <c r="D808" s="11"/>
      <c r="E808" s="11"/>
    </row>
    <row r="809" ht="15.75" customHeight="1">
      <c r="C809" s="11"/>
      <c r="D809" s="11"/>
      <c r="E809" s="11"/>
    </row>
    <row r="810" ht="15.75" customHeight="1">
      <c r="C810" s="11"/>
      <c r="D810" s="11"/>
      <c r="E810" s="11"/>
    </row>
    <row r="811" ht="15.75" customHeight="1">
      <c r="C811" s="11"/>
      <c r="D811" s="11"/>
      <c r="E811" s="11"/>
    </row>
    <row r="812" ht="15.75" customHeight="1">
      <c r="C812" s="11"/>
      <c r="D812" s="11"/>
      <c r="E812" s="11"/>
    </row>
    <row r="813" ht="15.75" customHeight="1">
      <c r="C813" s="11"/>
      <c r="D813" s="11"/>
      <c r="E813" s="11"/>
    </row>
    <row r="814" ht="15.75" customHeight="1">
      <c r="C814" s="11"/>
      <c r="D814" s="11"/>
      <c r="E814" s="11"/>
    </row>
    <row r="815" ht="15.75" customHeight="1">
      <c r="C815" s="11"/>
      <c r="D815" s="11"/>
      <c r="E815" s="11"/>
    </row>
    <row r="816" ht="15.75" customHeight="1">
      <c r="C816" s="11"/>
      <c r="D816" s="11"/>
      <c r="E816" s="11"/>
    </row>
    <row r="817" ht="15.75" customHeight="1">
      <c r="C817" s="11"/>
      <c r="D817" s="11"/>
      <c r="E817" s="11"/>
    </row>
    <row r="818" ht="15.75" customHeight="1">
      <c r="C818" s="11"/>
      <c r="D818" s="11"/>
      <c r="E818" s="11"/>
    </row>
    <row r="819" ht="15.75" customHeight="1">
      <c r="C819" s="11"/>
      <c r="D819" s="11"/>
      <c r="E819" s="11"/>
    </row>
    <row r="820" ht="15.75" customHeight="1">
      <c r="C820" s="11"/>
      <c r="D820" s="11"/>
      <c r="E820" s="11"/>
    </row>
    <row r="821" ht="15.75" customHeight="1">
      <c r="C821" s="11"/>
      <c r="D821" s="11"/>
      <c r="E821" s="11"/>
    </row>
    <row r="822" ht="15.75" customHeight="1">
      <c r="C822" s="11"/>
      <c r="D822" s="11"/>
      <c r="E822" s="11"/>
    </row>
    <row r="823" ht="15.75" customHeight="1">
      <c r="C823" s="11"/>
      <c r="D823" s="11"/>
      <c r="E823" s="11"/>
    </row>
    <row r="824" ht="15.75" customHeight="1">
      <c r="C824" s="11"/>
      <c r="D824" s="11"/>
      <c r="E824" s="11"/>
    </row>
    <row r="825" ht="15.75" customHeight="1">
      <c r="C825" s="11"/>
      <c r="D825" s="11"/>
      <c r="E825" s="11"/>
    </row>
    <row r="826" ht="15.75" customHeight="1">
      <c r="C826" s="11"/>
      <c r="D826" s="11"/>
      <c r="E826" s="11"/>
    </row>
    <row r="827" ht="15.75" customHeight="1">
      <c r="C827" s="11"/>
      <c r="D827" s="11"/>
      <c r="E827" s="11"/>
    </row>
    <row r="828" ht="15.75" customHeight="1">
      <c r="C828" s="11"/>
      <c r="D828" s="11"/>
      <c r="E828" s="11"/>
    </row>
    <row r="829" ht="15.75" customHeight="1">
      <c r="C829" s="11"/>
      <c r="D829" s="11"/>
      <c r="E829" s="11"/>
    </row>
    <row r="830" ht="15.75" customHeight="1">
      <c r="C830" s="11"/>
      <c r="D830" s="11"/>
      <c r="E830" s="11"/>
    </row>
    <row r="831" ht="15.75" customHeight="1">
      <c r="C831" s="11"/>
      <c r="D831" s="11"/>
      <c r="E831" s="11"/>
    </row>
    <row r="832" ht="15.75" customHeight="1">
      <c r="C832" s="11"/>
      <c r="D832" s="11"/>
      <c r="E832" s="11"/>
    </row>
    <row r="833" ht="15.75" customHeight="1">
      <c r="C833" s="11"/>
      <c r="D833" s="11"/>
      <c r="E833" s="11"/>
    </row>
    <row r="834" ht="15.75" customHeight="1">
      <c r="C834" s="11"/>
      <c r="D834" s="11"/>
      <c r="E834" s="11"/>
    </row>
    <row r="835" ht="15.75" customHeight="1">
      <c r="C835" s="11"/>
      <c r="D835" s="11"/>
      <c r="E835" s="11"/>
    </row>
    <row r="836" ht="15.75" customHeight="1">
      <c r="C836" s="11"/>
      <c r="D836" s="11"/>
      <c r="E836" s="11"/>
    </row>
    <row r="837" ht="15.75" customHeight="1">
      <c r="C837" s="11"/>
      <c r="D837" s="11"/>
      <c r="E837" s="11"/>
    </row>
    <row r="838" ht="15.75" customHeight="1">
      <c r="C838" s="11"/>
      <c r="D838" s="11"/>
      <c r="E838" s="11"/>
    </row>
    <row r="839" ht="15.75" customHeight="1">
      <c r="C839" s="11"/>
      <c r="D839" s="11"/>
      <c r="E839" s="11"/>
    </row>
    <row r="840" ht="15.75" customHeight="1">
      <c r="C840" s="11"/>
      <c r="D840" s="11"/>
      <c r="E840" s="11"/>
    </row>
    <row r="841" ht="15.75" customHeight="1">
      <c r="C841" s="11"/>
      <c r="D841" s="11"/>
      <c r="E841" s="11"/>
    </row>
    <row r="842" ht="15.75" customHeight="1">
      <c r="C842" s="11"/>
      <c r="D842" s="11"/>
      <c r="E842" s="11"/>
    </row>
    <row r="843" ht="15.75" customHeight="1">
      <c r="C843" s="11"/>
      <c r="D843" s="11"/>
      <c r="E843" s="11"/>
    </row>
    <row r="844" ht="15.75" customHeight="1">
      <c r="C844" s="11"/>
      <c r="D844" s="11"/>
      <c r="E844" s="11"/>
    </row>
    <row r="845" ht="15.75" customHeight="1">
      <c r="C845" s="11"/>
      <c r="D845" s="11"/>
      <c r="E845" s="11"/>
    </row>
    <row r="846" ht="15.75" customHeight="1">
      <c r="C846" s="11"/>
      <c r="D846" s="11"/>
      <c r="E846" s="11"/>
    </row>
    <row r="847" ht="15.75" customHeight="1">
      <c r="C847" s="11"/>
      <c r="D847" s="11"/>
      <c r="E847" s="11"/>
    </row>
    <row r="848" ht="15.75" customHeight="1">
      <c r="C848" s="11"/>
      <c r="D848" s="11"/>
      <c r="E848" s="11"/>
    </row>
    <row r="849" ht="15.75" customHeight="1">
      <c r="C849" s="11"/>
      <c r="D849" s="11"/>
      <c r="E849" s="11"/>
    </row>
    <row r="850" ht="15.75" customHeight="1">
      <c r="C850" s="11"/>
      <c r="D850" s="11"/>
      <c r="E850" s="11"/>
    </row>
    <row r="851" ht="15.75" customHeight="1">
      <c r="C851" s="11"/>
      <c r="D851" s="11"/>
      <c r="E851" s="11"/>
    </row>
    <row r="852" ht="15.75" customHeight="1">
      <c r="C852" s="11"/>
      <c r="D852" s="11"/>
      <c r="E852" s="11"/>
    </row>
    <row r="853" ht="15.75" customHeight="1">
      <c r="C853" s="11"/>
      <c r="D853" s="11"/>
      <c r="E853" s="11"/>
    </row>
    <row r="854" ht="15.75" customHeight="1">
      <c r="C854" s="11"/>
      <c r="D854" s="11"/>
      <c r="E854" s="11"/>
    </row>
    <row r="855" ht="15.75" customHeight="1">
      <c r="C855" s="11"/>
      <c r="D855" s="11"/>
      <c r="E855" s="11"/>
    </row>
    <row r="856" ht="15.75" customHeight="1">
      <c r="C856" s="11"/>
      <c r="D856" s="11"/>
      <c r="E856" s="11"/>
    </row>
    <row r="857" ht="15.75" customHeight="1">
      <c r="C857" s="11"/>
      <c r="D857" s="11"/>
      <c r="E857" s="11"/>
    </row>
    <row r="858" ht="15.75" customHeight="1">
      <c r="C858" s="11"/>
      <c r="D858" s="11"/>
      <c r="E858" s="11"/>
    </row>
    <row r="859" ht="15.75" customHeight="1">
      <c r="C859" s="11"/>
      <c r="D859" s="11"/>
      <c r="E859" s="11"/>
    </row>
    <row r="860" ht="15.75" customHeight="1">
      <c r="C860" s="11"/>
      <c r="D860" s="11"/>
      <c r="E860" s="11"/>
    </row>
    <row r="861" ht="15.75" customHeight="1">
      <c r="C861" s="11"/>
      <c r="D861" s="11"/>
      <c r="E861" s="11"/>
    </row>
    <row r="862" ht="15.75" customHeight="1">
      <c r="C862" s="11"/>
      <c r="D862" s="11"/>
      <c r="E862" s="11"/>
    </row>
    <row r="863" ht="15.75" customHeight="1">
      <c r="C863" s="11"/>
      <c r="D863" s="11"/>
      <c r="E863" s="11"/>
    </row>
    <row r="864" ht="15.75" customHeight="1">
      <c r="C864" s="11"/>
      <c r="D864" s="11"/>
      <c r="E864" s="11"/>
    </row>
    <row r="865" ht="15.75" customHeight="1">
      <c r="C865" s="11"/>
      <c r="D865" s="11"/>
      <c r="E865" s="11"/>
    </row>
    <row r="866" ht="15.75" customHeight="1">
      <c r="C866" s="11"/>
      <c r="D866" s="11"/>
      <c r="E866" s="11"/>
    </row>
    <row r="867" ht="15.75" customHeight="1">
      <c r="C867" s="11"/>
      <c r="D867" s="11"/>
      <c r="E867" s="11"/>
    </row>
    <row r="868" ht="15.75" customHeight="1">
      <c r="C868" s="11"/>
      <c r="D868" s="11"/>
      <c r="E868" s="11"/>
    </row>
    <row r="869" ht="15.75" customHeight="1">
      <c r="C869" s="11"/>
      <c r="D869" s="11"/>
      <c r="E869" s="11"/>
    </row>
    <row r="870" ht="15.75" customHeight="1">
      <c r="C870" s="11"/>
      <c r="D870" s="11"/>
      <c r="E870" s="11"/>
    </row>
    <row r="871" ht="15.75" customHeight="1">
      <c r="C871" s="11"/>
      <c r="D871" s="11"/>
      <c r="E871" s="11"/>
    </row>
    <row r="872" ht="15.75" customHeight="1">
      <c r="C872" s="11"/>
      <c r="D872" s="11"/>
      <c r="E872" s="11"/>
    </row>
    <row r="873" ht="15.75" customHeight="1">
      <c r="C873" s="11"/>
      <c r="D873" s="11"/>
      <c r="E873" s="11"/>
    </row>
    <row r="874" ht="15.75" customHeight="1">
      <c r="C874" s="11"/>
      <c r="D874" s="11"/>
      <c r="E874" s="11"/>
    </row>
    <row r="875" ht="15.75" customHeight="1">
      <c r="C875" s="11"/>
      <c r="D875" s="11"/>
      <c r="E875" s="11"/>
    </row>
    <row r="876" ht="15.75" customHeight="1">
      <c r="C876" s="11"/>
      <c r="D876" s="11"/>
      <c r="E876" s="11"/>
    </row>
    <row r="877" ht="15.75" customHeight="1">
      <c r="C877" s="11"/>
      <c r="D877" s="11"/>
      <c r="E877" s="11"/>
    </row>
    <row r="878" ht="15.75" customHeight="1">
      <c r="C878" s="11"/>
      <c r="D878" s="11"/>
      <c r="E878" s="11"/>
    </row>
    <row r="879" ht="15.75" customHeight="1">
      <c r="C879" s="11"/>
      <c r="D879" s="11"/>
      <c r="E879" s="11"/>
    </row>
    <row r="880" ht="15.75" customHeight="1">
      <c r="C880" s="11"/>
      <c r="D880" s="11"/>
      <c r="E880" s="11"/>
    </row>
    <row r="881" ht="15.75" customHeight="1">
      <c r="C881" s="11"/>
      <c r="D881" s="11"/>
      <c r="E881" s="11"/>
    </row>
    <row r="882" ht="15.75" customHeight="1">
      <c r="C882" s="11"/>
      <c r="D882" s="11"/>
      <c r="E882" s="11"/>
    </row>
    <row r="883" ht="15.75" customHeight="1">
      <c r="C883" s="11"/>
      <c r="D883" s="11"/>
      <c r="E883" s="11"/>
    </row>
    <row r="884" ht="15.75" customHeight="1">
      <c r="C884" s="11"/>
      <c r="D884" s="11"/>
      <c r="E884" s="11"/>
    </row>
    <row r="885" ht="15.75" customHeight="1">
      <c r="C885" s="11"/>
      <c r="D885" s="11"/>
      <c r="E885" s="11"/>
    </row>
    <row r="886" ht="15.75" customHeight="1">
      <c r="C886" s="11"/>
      <c r="D886" s="11"/>
      <c r="E886" s="11"/>
    </row>
    <row r="887" ht="15.75" customHeight="1">
      <c r="C887" s="11"/>
      <c r="D887" s="11"/>
      <c r="E887" s="11"/>
    </row>
    <row r="888" ht="15.75" customHeight="1">
      <c r="C888" s="11"/>
      <c r="D888" s="11"/>
      <c r="E888" s="11"/>
    </row>
    <row r="889" ht="15.75" customHeight="1">
      <c r="C889" s="11"/>
      <c r="D889" s="11"/>
      <c r="E889" s="11"/>
    </row>
    <row r="890" ht="15.75" customHeight="1">
      <c r="C890" s="11"/>
      <c r="D890" s="11"/>
      <c r="E890" s="11"/>
    </row>
    <row r="891" ht="15.75" customHeight="1">
      <c r="C891" s="11"/>
      <c r="D891" s="11"/>
      <c r="E891" s="11"/>
    </row>
    <row r="892" ht="15.75" customHeight="1">
      <c r="C892" s="11"/>
      <c r="D892" s="11"/>
      <c r="E892" s="11"/>
    </row>
    <row r="893" ht="15.75" customHeight="1">
      <c r="C893" s="11"/>
      <c r="D893" s="11"/>
      <c r="E893" s="11"/>
    </row>
    <row r="894" ht="15.75" customHeight="1">
      <c r="C894" s="11"/>
      <c r="D894" s="11"/>
      <c r="E894" s="11"/>
    </row>
    <row r="895" ht="15.75" customHeight="1">
      <c r="C895" s="11"/>
      <c r="D895" s="11"/>
      <c r="E895" s="11"/>
    </row>
    <row r="896" ht="15.75" customHeight="1">
      <c r="C896" s="11"/>
      <c r="D896" s="11"/>
      <c r="E896" s="11"/>
    </row>
    <row r="897" ht="15.75" customHeight="1">
      <c r="C897" s="11"/>
      <c r="D897" s="11"/>
      <c r="E897" s="11"/>
    </row>
    <row r="898" ht="15.75" customHeight="1">
      <c r="C898" s="11"/>
      <c r="D898" s="11"/>
      <c r="E898" s="11"/>
    </row>
    <row r="899" ht="15.75" customHeight="1">
      <c r="C899" s="11"/>
      <c r="D899" s="11"/>
      <c r="E899" s="11"/>
    </row>
    <row r="900" ht="15.75" customHeight="1">
      <c r="C900" s="11"/>
      <c r="D900" s="11"/>
      <c r="E900" s="11"/>
    </row>
    <row r="901" ht="15.75" customHeight="1">
      <c r="C901" s="11"/>
      <c r="D901" s="11"/>
      <c r="E901" s="11"/>
    </row>
    <row r="902" ht="15.75" customHeight="1">
      <c r="C902" s="11"/>
      <c r="D902" s="11"/>
      <c r="E902" s="11"/>
    </row>
    <row r="903" ht="15.75" customHeight="1">
      <c r="C903" s="11"/>
      <c r="D903" s="11"/>
      <c r="E903" s="11"/>
    </row>
    <row r="904" ht="15.75" customHeight="1">
      <c r="C904" s="11"/>
      <c r="D904" s="11"/>
      <c r="E904" s="11"/>
    </row>
    <row r="905" ht="15.75" customHeight="1">
      <c r="C905" s="11"/>
      <c r="D905" s="11"/>
      <c r="E905" s="11"/>
    </row>
    <row r="906" ht="15.75" customHeight="1">
      <c r="C906" s="11"/>
      <c r="D906" s="11"/>
      <c r="E906" s="11"/>
    </row>
    <row r="907" ht="15.75" customHeight="1">
      <c r="C907" s="11"/>
      <c r="D907" s="11"/>
      <c r="E907" s="11"/>
    </row>
    <row r="908" ht="15.75" customHeight="1">
      <c r="C908" s="11"/>
      <c r="D908" s="11"/>
      <c r="E908" s="11"/>
    </row>
    <row r="909" ht="15.75" customHeight="1">
      <c r="C909" s="11"/>
      <c r="D909" s="11"/>
      <c r="E909" s="11"/>
    </row>
    <row r="910" ht="15.75" customHeight="1">
      <c r="C910" s="11"/>
      <c r="D910" s="11"/>
      <c r="E910" s="11"/>
    </row>
    <row r="911" ht="15.75" customHeight="1">
      <c r="C911" s="11"/>
      <c r="D911" s="11"/>
      <c r="E911" s="11"/>
    </row>
    <row r="912" ht="15.75" customHeight="1">
      <c r="C912" s="11"/>
      <c r="D912" s="11"/>
      <c r="E912" s="11"/>
    </row>
    <row r="913" ht="15.75" customHeight="1">
      <c r="C913" s="11"/>
      <c r="D913" s="11"/>
      <c r="E913" s="11"/>
    </row>
    <row r="914" ht="15.75" customHeight="1">
      <c r="C914" s="11"/>
      <c r="D914" s="11"/>
      <c r="E914" s="11"/>
    </row>
    <row r="915" ht="15.75" customHeight="1">
      <c r="C915" s="11"/>
      <c r="D915" s="11"/>
      <c r="E915" s="11"/>
    </row>
    <row r="916" ht="15.75" customHeight="1">
      <c r="C916" s="11"/>
      <c r="D916" s="11"/>
      <c r="E916" s="11"/>
    </row>
    <row r="917" ht="15.75" customHeight="1">
      <c r="C917" s="11"/>
      <c r="D917" s="11"/>
      <c r="E917" s="11"/>
    </row>
    <row r="918" ht="15.75" customHeight="1">
      <c r="C918" s="11"/>
      <c r="D918" s="11"/>
      <c r="E918" s="11"/>
    </row>
    <row r="919" ht="15.75" customHeight="1">
      <c r="C919" s="11"/>
      <c r="D919" s="11"/>
      <c r="E919" s="11"/>
    </row>
    <row r="920" ht="15.75" customHeight="1">
      <c r="C920" s="11"/>
      <c r="D920" s="11"/>
      <c r="E920" s="11"/>
    </row>
    <row r="921" ht="15.75" customHeight="1">
      <c r="C921" s="11"/>
      <c r="D921" s="11"/>
      <c r="E921" s="11"/>
    </row>
    <row r="922" ht="15.75" customHeight="1">
      <c r="C922" s="11"/>
      <c r="D922" s="11"/>
      <c r="E922" s="11"/>
    </row>
    <row r="923" ht="15.75" customHeight="1">
      <c r="C923" s="11"/>
      <c r="D923" s="11"/>
      <c r="E923" s="11"/>
    </row>
    <row r="924" ht="15.75" customHeight="1">
      <c r="C924" s="11"/>
      <c r="D924" s="11"/>
      <c r="E924" s="11"/>
    </row>
    <row r="925" ht="15.75" customHeight="1">
      <c r="C925" s="11"/>
      <c r="D925" s="11"/>
      <c r="E925" s="11"/>
    </row>
    <row r="926" ht="15.75" customHeight="1">
      <c r="C926" s="11"/>
      <c r="D926" s="11"/>
      <c r="E926" s="11"/>
    </row>
    <row r="927" ht="15.75" customHeight="1">
      <c r="C927" s="11"/>
      <c r="D927" s="11"/>
      <c r="E927" s="11"/>
    </row>
    <row r="928" ht="15.75" customHeight="1">
      <c r="C928" s="11"/>
      <c r="D928" s="11"/>
      <c r="E928" s="11"/>
    </row>
    <row r="929" ht="15.75" customHeight="1">
      <c r="C929" s="11"/>
      <c r="D929" s="11"/>
      <c r="E929" s="11"/>
    </row>
    <row r="930" ht="15.75" customHeight="1">
      <c r="C930" s="11"/>
      <c r="D930" s="11"/>
      <c r="E930" s="11"/>
    </row>
    <row r="931" ht="15.75" customHeight="1">
      <c r="C931" s="11"/>
      <c r="D931" s="11"/>
      <c r="E931" s="11"/>
    </row>
    <row r="932" ht="15.75" customHeight="1">
      <c r="C932" s="11"/>
      <c r="D932" s="11"/>
      <c r="E932" s="11"/>
    </row>
    <row r="933" ht="15.75" customHeight="1">
      <c r="C933" s="11"/>
      <c r="D933" s="11"/>
      <c r="E933" s="11"/>
    </row>
    <row r="934" ht="15.75" customHeight="1">
      <c r="C934" s="11"/>
      <c r="D934" s="11"/>
      <c r="E934" s="11"/>
    </row>
    <row r="935" ht="15.75" customHeight="1">
      <c r="C935" s="11"/>
      <c r="D935" s="11"/>
      <c r="E935" s="11"/>
    </row>
    <row r="936" ht="15.75" customHeight="1">
      <c r="C936" s="11"/>
      <c r="D936" s="11"/>
      <c r="E936" s="11"/>
    </row>
    <row r="937" ht="15.75" customHeight="1">
      <c r="C937" s="11"/>
      <c r="D937" s="11"/>
      <c r="E937" s="11"/>
    </row>
    <row r="938" ht="15.75" customHeight="1">
      <c r="C938" s="11"/>
      <c r="D938" s="11"/>
      <c r="E938" s="11"/>
    </row>
    <row r="939" ht="15.75" customHeight="1">
      <c r="C939" s="11"/>
      <c r="D939" s="11"/>
      <c r="E939" s="11"/>
    </row>
    <row r="940" ht="15.75" customHeight="1">
      <c r="C940" s="11"/>
      <c r="D940" s="11"/>
      <c r="E940" s="11"/>
    </row>
    <row r="941" ht="15.75" customHeight="1">
      <c r="C941" s="11"/>
      <c r="D941" s="11"/>
      <c r="E941" s="11"/>
    </row>
    <row r="942" ht="15.75" customHeight="1">
      <c r="C942" s="11"/>
      <c r="D942" s="11"/>
      <c r="E942" s="11"/>
    </row>
    <row r="943" ht="15.75" customHeight="1">
      <c r="C943" s="11"/>
      <c r="D943" s="11"/>
      <c r="E943" s="11"/>
    </row>
    <row r="944" ht="15.75" customHeight="1">
      <c r="C944" s="11"/>
      <c r="D944" s="11"/>
      <c r="E944" s="11"/>
    </row>
    <row r="945" ht="15.75" customHeight="1">
      <c r="C945" s="11"/>
      <c r="D945" s="11"/>
      <c r="E945" s="11"/>
    </row>
    <row r="946" ht="15.75" customHeight="1">
      <c r="C946" s="11"/>
      <c r="D946" s="11"/>
      <c r="E946" s="11"/>
    </row>
    <row r="947" ht="15.75" customHeight="1">
      <c r="C947" s="11"/>
      <c r="D947" s="11"/>
      <c r="E947" s="11"/>
    </row>
    <row r="948" ht="15.75" customHeight="1">
      <c r="C948" s="11"/>
      <c r="D948" s="11"/>
      <c r="E948" s="11"/>
    </row>
    <row r="949" ht="15.75" customHeight="1">
      <c r="C949" s="11"/>
      <c r="D949" s="11"/>
      <c r="E949" s="11"/>
    </row>
    <row r="950" ht="15.75" customHeight="1">
      <c r="C950" s="11"/>
      <c r="D950" s="11"/>
      <c r="E950" s="11"/>
    </row>
    <row r="951" ht="15.75" customHeight="1">
      <c r="C951" s="11"/>
      <c r="D951" s="11"/>
      <c r="E951" s="11"/>
    </row>
    <row r="952" ht="15.75" customHeight="1">
      <c r="C952" s="11"/>
      <c r="D952" s="11"/>
      <c r="E952" s="11"/>
    </row>
    <row r="953" ht="15.75" customHeight="1">
      <c r="C953" s="11"/>
      <c r="D953" s="11"/>
      <c r="E953" s="11"/>
    </row>
    <row r="954" ht="15.75" customHeight="1">
      <c r="C954" s="11"/>
      <c r="D954" s="11"/>
      <c r="E954" s="11"/>
    </row>
    <row r="955" ht="15.75" customHeight="1">
      <c r="C955" s="11"/>
      <c r="D955" s="11"/>
      <c r="E955" s="11"/>
    </row>
    <row r="956" ht="15.75" customHeight="1">
      <c r="C956" s="11"/>
      <c r="D956" s="11"/>
      <c r="E956" s="11"/>
    </row>
    <row r="957" ht="15.75" customHeight="1">
      <c r="C957" s="11"/>
      <c r="D957" s="11"/>
      <c r="E957" s="11"/>
    </row>
    <row r="958" ht="15.75" customHeight="1">
      <c r="C958" s="11"/>
      <c r="D958" s="11"/>
      <c r="E958" s="11"/>
    </row>
    <row r="959" ht="15.75" customHeight="1">
      <c r="C959" s="11"/>
      <c r="D959" s="11"/>
      <c r="E959" s="11"/>
    </row>
    <row r="960" ht="15.75" customHeight="1">
      <c r="C960" s="11"/>
      <c r="D960" s="11"/>
      <c r="E960" s="11"/>
    </row>
    <row r="961" ht="15.75" customHeight="1">
      <c r="C961" s="11"/>
      <c r="D961" s="11"/>
      <c r="E961" s="11"/>
    </row>
    <row r="962" ht="15.75" customHeight="1">
      <c r="C962" s="11"/>
      <c r="D962" s="11"/>
      <c r="E962" s="11"/>
    </row>
    <row r="963" ht="15.75" customHeight="1">
      <c r="C963" s="11"/>
      <c r="D963" s="11"/>
      <c r="E963" s="11"/>
    </row>
    <row r="964" ht="15.75" customHeight="1">
      <c r="C964" s="11"/>
      <c r="D964" s="11"/>
      <c r="E964" s="11"/>
    </row>
    <row r="965" ht="15.75" customHeight="1">
      <c r="C965" s="11"/>
      <c r="D965" s="11"/>
      <c r="E965" s="11"/>
    </row>
    <row r="966" ht="15.75" customHeight="1">
      <c r="C966" s="11"/>
      <c r="D966" s="11"/>
      <c r="E966" s="11"/>
    </row>
    <row r="967" ht="15.75" customHeight="1">
      <c r="C967" s="11"/>
      <c r="D967" s="11"/>
      <c r="E967" s="11"/>
    </row>
    <row r="968" ht="15.75" customHeight="1">
      <c r="C968" s="11"/>
      <c r="D968" s="11"/>
      <c r="E968" s="11"/>
    </row>
    <row r="969" ht="15.75" customHeight="1">
      <c r="C969" s="11"/>
      <c r="D969" s="11"/>
      <c r="E969" s="11"/>
    </row>
    <row r="970" ht="15.75" customHeight="1">
      <c r="C970" s="11"/>
      <c r="D970" s="11"/>
      <c r="E970" s="11"/>
    </row>
    <row r="971" ht="15.75" customHeight="1">
      <c r="C971" s="11"/>
      <c r="D971" s="11"/>
      <c r="E971" s="11"/>
    </row>
    <row r="972" ht="15.75" customHeight="1">
      <c r="C972" s="11"/>
      <c r="D972" s="11"/>
      <c r="E972" s="11"/>
    </row>
    <row r="973" ht="15.75" customHeight="1">
      <c r="C973" s="11"/>
      <c r="D973" s="11"/>
      <c r="E973" s="11"/>
    </row>
    <row r="974" ht="15.75" customHeight="1">
      <c r="C974" s="11"/>
      <c r="D974" s="11"/>
      <c r="E974" s="11"/>
    </row>
    <row r="975" ht="15.75" customHeight="1">
      <c r="C975" s="11"/>
      <c r="D975" s="11"/>
      <c r="E975" s="11"/>
    </row>
    <row r="976" ht="15.75" customHeight="1">
      <c r="C976" s="11"/>
      <c r="D976" s="11"/>
      <c r="E976" s="11"/>
    </row>
    <row r="977" ht="15.75" customHeight="1">
      <c r="C977" s="11"/>
      <c r="D977" s="11"/>
      <c r="E977" s="11"/>
    </row>
    <row r="978" ht="15.75" customHeight="1">
      <c r="C978" s="11"/>
      <c r="D978" s="11"/>
      <c r="E978" s="11"/>
    </row>
    <row r="979" ht="15.75" customHeight="1">
      <c r="C979" s="11"/>
      <c r="D979" s="11"/>
      <c r="E979" s="11"/>
    </row>
    <row r="980" ht="15.75" customHeight="1">
      <c r="C980" s="11"/>
      <c r="D980" s="11"/>
      <c r="E980" s="11"/>
    </row>
    <row r="981" ht="15.75" customHeight="1">
      <c r="C981" s="11"/>
      <c r="D981" s="11"/>
      <c r="E981" s="11"/>
    </row>
    <row r="982" ht="15.75" customHeight="1">
      <c r="C982" s="11"/>
      <c r="D982" s="11"/>
      <c r="E982" s="11"/>
    </row>
    <row r="983" ht="15.75" customHeight="1">
      <c r="C983" s="11"/>
      <c r="D983" s="11"/>
      <c r="E983" s="11"/>
    </row>
    <row r="984" ht="15.75" customHeight="1">
      <c r="C984" s="11"/>
      <c r="D984" s="11"/>
      <c r="E984" s="11"/>
    </row>
    <row r="985" ht="15.75" customHeight="1">
      <c r="C985" s="11"/>
      <c r="D985" s="11"/>
      <c r="E985" s="11"/>
    </row>
    <row r="986" ht="15.75" customHeight="1">
      <c r="C986" s="11"/>
      <c r="D986" s="11"/>
      <c r="E986" s="11"/>
    </row>
    <row r="987" ht="15.75" customHeight="1">
      <c r="C987" s="11"/>
      <c r="D987" s="11"/>
      <c r="E987" s="11"/>
    </row>
    <row r="988" ht="15.75" customHeight="1">
      <c r="C988" s="11"/>
      <c r="D988" s="11"/>
      <c r="E988" s="11"/>
    </row>
    <row r="989" ht="15.75" customHeight="1">
      <c r="C989" s="11"/>
      <c r="D989" s="11"/>
      <c r="E989" s="11"/>
    </row>
    <row r="990" ht="15.75" customHeight="1">
      <c r="C990" s="11"/>
      <c r="D990" s="11"/>
      <c r="E990" s="11"/>
    </row>
    <row r="991" ht="15.75" customHeight="1">
      <c r="C991" s="11"/>
      <c r="D991" s="11"/>
      <c r="E991" s="11"/>
    </row>
    <row r="992" ht="15.75" customHeight="1">
      <c r="C992" s="11"/>
      <c r="D992" s="11"/>
      <c r="E992" s="11"/>
    </row>
    <row r="993" ht="15.75" customHeight="1">
      <c r="C993" s="11"/>
      <c r="D993" s="11"/>
      <c r="E993" s="11"/>
    </row>
    <row r="994" ht="15.75" customHeight="1">
      <c r="C994" s="11"/>
      <c r="D994" s="11"/>
      <c r="E994" s="11"/>
    </row>
    <row r="995" ht="15.75" customHeight="1">
      <c r="C995" s="11"/>
      <c r="D995" s="11"/>
      <c r="E995" s="11"/>
    </row>
    <row r="996" ht="15.75" customHeight="1">
      <c r="C996" s="11"/>
      <c r="D996" s="11"/>
      <c r="E996" s="11"/>
    </row>
    <row r="997" ht="15.75" customHeight="1">
      <c r="C997" s="11"/>
      <c r="D997" s="11"/>
      <c r="E997" s="11"/>
    </row>
    <row r="998" ht="15.75" customHeight="1">
      <c r="C998" s="11"/>
      <c r="D998" s="11"/>
      <c r="E998" s="11"/>
    </row>
    <row r="999" ht="15.75" customHeight="1">
      <c r="C999" s="11"/>
      <c r="D999" s="11"/>
      <c r="E999" s="11"/>
    </row>
    <row r="1000" ht="15.75" customHeight="1">
      <c r="C1000" s="11"/>
      <c r="D1000" s="11"/>
      <c r="E1000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2024-04-15T12:43:19Z</dcterms:created>
  <dc:creator>Jose Manuel Gomez Ribas</dc:creator>
</cp:coreProperties>
</file>