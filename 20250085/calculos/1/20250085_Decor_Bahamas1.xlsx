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esktop\"/>
    </mc:Choice>
  </mc:AlternateContent>
  <xr:revisionPtr revIDLastSave="0" documentId="8_{100031F2-F8A5-4609-9617-E33F7C7D5018}" xr6:coauthVersionLast="47" xr6:coauthVersionMax="47" xr10:uidLastSave="{00000000-0000-0000-0000-000000000000}"/>
  <bookViews>
    <workbookView xWindow="-20370" yWindow="270" windowWidth="19305" windowHeight="1449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<sst xmlns="http://schemas.openxmlformats.org/spreadsheetml/2006/main" count="5407" uniqueCount="1453">
  <si>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</si>
  <si>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</si>
  <si>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</si>
  <si>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</si>
  <si>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</si>
  <si>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</si>
  <si>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</si>
  <si>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</si>
  <si>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</si>
  <si>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</si>
  <si>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</si>
  <si>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</si>
  <si>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</si>
  <si>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</si>
  <si>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</si>
  <si>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</si>
  <si>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</si>
  <si>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</si>
  <si>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</si>
  <si>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</si>
  <si>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</si>
  <si>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</si>
  <si>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</si>
  <si>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</si>
  <si>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</si>
  <si>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</si>
  <si>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</si>
  <si>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</si>
  <si>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</si>
  <si>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</si>
  <si>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</si>
  <si>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</si>
  <si>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</si>
  <si>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</si>
  <si>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</si>
  <si>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</si>
  <si>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</si>
  <si>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</si>
  <si>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</si>
  <si>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</si>
  <si>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</si>
  <si>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</si>
  <si>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</si>
  <si>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</si>
  <si>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</si>
  <si>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</si>
  <si>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</si>
  <si>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</si>
  <si>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</si>
  <si>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</si>
  <si>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</si>
  <si>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</si>
  <si>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</si>
  <si>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</si>
  <si>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</si>
  <si>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</si>
  <si>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</si>
  <si>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</si>
  <si>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</si>
  <si>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</si>
  <si>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</si>
  <si>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</si>
  <si>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</si>
  <si>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</si>
  <si>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</si>
  <si>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</si>
  <si>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</si>
  <si>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</si>
  <si>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</si>
  <si>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</si>
  <si>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</si>
  <si>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</si>
  <si>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</si>
  <si>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</si>
  <si>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</si>
  <si>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</si>
  <si>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</si>
  <si>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</si>
  <si>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</si>
  <si>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</si>
  <si>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</si>
  <si>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</si>
  <si>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</si>
  <si>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</si>
  <si>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</si>
  <si>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</si>
  <si>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</si>
  <si>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</si>
  <si>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</si>
  <si>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</si>
  <si>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</si>
  <si>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</si>
  <si>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</si>
  <si>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</si>
  <si>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</si>
  <si>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</si>
  <si>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</si>
  <si>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</si>
  <si>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</si>
  <si>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</si>
  <si>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</si>
  <si>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</si>
  <si>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</si>
  <si>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</si>
  <si>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</si>
  <si>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</si>
  <si>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</si>
  <si>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</si>
  <si>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</si>
  <si>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</si>
  <si>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</si>
  <si>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</si>
  <si>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</si>
  <si>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</si>
  <si>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</si>
  <si>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</si>
  <si>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</si>
  <si>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</si>
  <si>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</si>
  <si>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</si>
  <si>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</si>
  <si>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</si>
  <si>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</si>
  <si>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</si>
  <si>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</si>
  <si>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</si>
  <si>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</si>
  <si>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</si>
  <si>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</si>
  <si>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</si>
  <si>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</si>
  <si>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</si>
  <si>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</si>
  <si>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</si>
  <si>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</si>
  <si>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</si>
  <si>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</si>
  <si>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</si>
  <si>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</si>
  <si>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</si>
  <si>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</si>
  <si>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</si>
  <si>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</si>
  <si>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</si>
  <si>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</si>
  <si>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</si>
  <si>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</si>
  <si>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</si>
  <si>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</si>
  <si>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</si>
  <si>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</si>
  <si>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</si>
  <si>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</si>
  <si>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</si>
  <si>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</si>
  <si>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</si>
  <si>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</si>
  <si>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</si>
  <si>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</si>
  <si>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</si>
  <si>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</si>
  <si>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</si>
  <si>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</si>
  <si>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</si>
  <si>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</si>
  <si>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</si>
  <si>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</si>
  <si>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</si>
  <si>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</si>
  <si>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</si>
  <si>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</si>
  <si>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</si>
  <si>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</si>
  <si>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</si>
  <si>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</si>
  <si>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</si>
  <si>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</si>
  <si>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</si>
  <si>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</si>
  <si>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</si>
  <si>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</si>
  <si>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</si>
  <si>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</si>
  <si>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</si>
  <si>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</si>
  <si>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</si>
  <si>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</si>
  <si>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</si>
  <si>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</si>
  <si>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</si>
  <si>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</si>
  <si>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</si>
  <si>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</si>
  <si>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</si>
  <si>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</si>
  <si>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</si>
  <si>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</si>
  <si>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</si>
  <si>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</si>
  <si>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</si>
  <si>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</si>
  <si>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</si>
  <si>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</si>
  <si>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</si>
  <si>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</si>
  <si>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</si>
  <si>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</si>
  <si>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</si>
  <si>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</si>
  <si>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</si>
  <si>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</si>
  <si>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</si>
  <si>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</si>
  <si>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</si>
  <si>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</si>
  <si>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</si>
  <si>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</si>
  <si>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</si>
  <si>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</si>
  <si>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</si>
  <si>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</si>
  <si>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</si>
  <si>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</si>
  <si>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</si>
  <si>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</si>
  <si>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</si>
  <si>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</si>
  <si>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</si>
  <si>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</si>
  <si>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</si>
  <si>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</si>
  <si>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</si>
  <si>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</si>
  <si>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</si>
  <si>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</si>
  <si>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</si>
  <si>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</si>
  <si>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</si>
  <si>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</si>
  <si>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</si>
  <si>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</si>
  <si>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</si>
  <si>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</si>
  <si>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</si>
  <si>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</si>
  <si>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</si>
  <si>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</si>
  <si>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</si>
  <si>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</si>
  <si>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</si>
  <si>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</si>
  <si>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</si>
  <si>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</si>
  <si>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</si>
  <si>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</si>
  <si>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</si>
  <si>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</si>
  <si>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</si>
  <si>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</si>
  <si>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</si>
  <si>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</si>
  <si>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</si>
  <si>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</si>
  <si>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</si>
  <si>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</si>
  <si>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</si>
  <si>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</si>
  <si>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</si>
  <si>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</si>
  <si>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</si>
  <si>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</si>
  <si>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</si>
  <si>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</si>
  <si>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</si>
  <si>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</si>
  <si>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</si>
  <si>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</si>
  <si>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</si>
  <si>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</si>
  <si>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</si>
  <si>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</si>
  <si>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</si>
  <si>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</si>
  <si>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</si>
  <si>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</si>
  <si>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</si>
  <si>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</si>
  <si>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</si>
  <si>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</si>
  <si>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</si>
  <si>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</si>
  <si>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</si>
  <si>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</si>
  <si>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</si>
  <si>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</si>
  <si>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</si>
  <si>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</si>
  <si>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</si>
  <si>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</si>
  <si>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</si>
  <si>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</si>
  <si>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</si>
  <si>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</si>
  <si>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</si>
  <si>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</si>
  <si>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</si>
  <si>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</si>
  <si>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</si>
  <si>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</si>
  <si>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</si>
  <si>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</si>
  <si>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</si>
  <si>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</si>
  <si>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</si>
  <si>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</si>
  <si>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</si>
  <si>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</si>
  <si>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</si>
  <si>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</si>
  <si>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</si>
  <si>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</si>
  <si>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</si>
  <si>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</si>
  <si>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</si>
  <si>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</si>
  <si>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</si>
  <si>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</si>
  <si>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</si>
  <si>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</si>
  <si>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</si>
  <si>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</si>
  <si>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</si>
  <si>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</si>
  <si>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</si>
  <si>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</si>
  <si>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</si>
  <si>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</si>
  <si>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</si>
  <si>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</si>
  <si>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</si>
  <si>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</si>
  <si>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</si>
  <si>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</si>
  <si>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</si>
  <si>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</si>
  <si>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</si>
  <si>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</si>
  <si>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</si>
  <si>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</si>
  <si>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</si>
  <si>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</si>
  <si>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</si>
  <si>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</si>
  <si>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</si>
  <si>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</si>
  <si>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</si>
  <si>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</si>
  <si>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</si>
  <si>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</si>
  <si>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</si>
  <si>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</si>
  <si>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</si>
  <si>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</si>
  <si>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</si>
  <si>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</si>
  <si>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</si>
  <si>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</si>
  <si>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</si>
  <si>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</si>
  <si>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</si>
  <si>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</si>
  <si>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</si>
  <si>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</si>
  <si>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</si>
  <si>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</si>
  <si>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</si>
  <si>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</si>
  <si>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</si>
  <si>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</si>
  <si>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</si>
  <si>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</si>
  <si>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</si>
  <si>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</si>
  <si>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</si>
  <si>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</si>
  <si>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</si>
  <si>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</si>
  <si>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</si>
  <si>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</si>
  <si>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</si>
  <si>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</si>
  <si>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</si>
  <si>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</si>
  <si>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</si>
  <si>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</si>
  <si>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</si>
  <si>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</si>
  <si>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</si>
  <si>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</si>
  <si>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</si>
  <si>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</si>
  <si>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</si>
  <si>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</si>
  <si>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</si>
  <si>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</si>
  <si>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</si>
  <si>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</si>
  <si>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</si>
  <si>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</si>
  <si>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</si>
  <si>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</si>
  <si>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</si>
  <si>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</si>
  <si>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</si>
  <si>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</si>
  <si>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</si>
  <si>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</si>
  <si>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</si>
  <si>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</si>
  <si>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</si>
  <si>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</si>
  <si>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</si>
  <si>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</si>
  <si>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</si>
  <si>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</si>
  <si>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</si>
  <si>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</si>
  <si>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</si>
  <si>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</si>
  <si>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</si>
  <si>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</si>
  <si>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</si>
  <si>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</si>
  <si>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</si>
  <si>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</si>
  <si>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</si>
  <si>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</si>
  <si>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</si>
  <si>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</si>
  <si>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</si>
  <si>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</si>
  <si>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</si>
  <si>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</si>
  <si>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</si>
  <si>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</si>
  <si>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</si>
  <si>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</si>
  <si>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</si>
  <si>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</si>
  <si>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</si>
  <si>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</si>
  <si>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</si>
  <si>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</si>
  <si>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</si>
  <si>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</si>
  <si>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</si>
  <si>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</si>
  <si>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</si>
  <si>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</si>
  <si>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</si>
  <si>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</si>
  <si>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</si>
  <si>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</si>
  <si>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</si>
  <si>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</si>
  <si>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</si>
  <si>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</si>
  <si>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</si>
  <si>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</si>
  <si>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</si>
  <si>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</si>
  <si>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</si>
  <si>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</si>
  <si>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</si>
  <si>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</si>
  <si>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</si>
  <si>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</si>
  <si>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</si>
  <si>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</si>
  <si>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</si>
  <si>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</si>
  <si>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</si>
  <si>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</si>
  <si>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</si>
  <si>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</si>
  <si>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</si>
  <si>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</si>
  <si>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</si>
  <si>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</si>
  <si>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</si>
  <si>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</si>
  <si>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</si>
  <si>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</si>
  <si>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</si>
  <si>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</si>
  <si>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</si>
  <si>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</si>
  <si>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</si>
  <si>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</si>
  <si>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</si>
  <si>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</si>
  <si>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</si>
  <si>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</si>
  <si>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</si>
  <si>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</si>
  <si>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</si>
  <si>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</si>
  <si>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</si>
  <si>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</si>
  <si>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</si>
  <si>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</si>
  <si>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</si>
  <si>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</si>
  <si>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</si>
  <si>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</si>
  <si>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</si>
  <si>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</si>
  <si>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</si>
  <si>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</si>
  <si>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</si>
  <si>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</si>
  <si>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</si>
  <si>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</si>
  <si>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</si>
  <si>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</si>
  <si>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</si>
  <si>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</si>
  <si>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</si>
  <si>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</si>
  <si>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</si>
  <si>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</si>
  <si>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</si>
  <si>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</si>
  <si>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</si>
  <si>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</si>
  <si>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</si>
  <si>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</si>
  <si>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</si>
  <si>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</si>
  <si>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</si>
  <si>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</si>
  <si>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</si>
  <si>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</si>
  <si>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</si>
  <si>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</si>
  <si>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</si>
  <si>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</si>
  <si>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</si>
  <si>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</si>
  <si>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</si>
  <si>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</si>
  <si>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</si>
  <si>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</si>
  <si>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</si>
  <si>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</si>
  <si>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</si>
  <si>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</si>
  <si>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</si>
  <si>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</si>
  <si>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</si>
  <si>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</si>
  <si>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</si>
  <si>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</si>
  <si>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</si>
  <si>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</si>
  <si>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</si>
  <si>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</si>
  <si>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</si>
  <si>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</si>
  <si>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</si>
  <si>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</si>
  <si>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</si>
  <si>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</si>
  <si>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</si>
  <si>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</si>
  <si>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</si>
  <si>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</si>
  <si>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</si>
  <si>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</si>
  <si>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</si>
  <si>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</si>
  <si>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</si>
  <si>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</si>
  <si>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</si>
  <si>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</si>
  <si>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</si>
  <si>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</si>
  <si>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</si>
  <si>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</si>
  <si>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</si>
  <si>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</si>
  <si>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</si>
  <si>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</si>
  <si>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</si>
  <si>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</si>
  <si>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</si>
  <si>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</si>
  <si>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</si>
  <si>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</si>
  <si>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</si>
  <si>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</si>
  <si>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</si>
  <si>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</si>
  <si>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</si>
  <si>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</si>
  <si>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</si>
  <si>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</si>
  <si>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</si>
  <si>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</si>
  <si>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</si>
  <si>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</si>
  <si>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</si>
  <si>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</si>
  <si>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</si>
  <si>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</si>
  <si>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</si>
  <si>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</si>
  <si>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</si>
  <si>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</si>
  <si>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</si>
  <si>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</si>
  <si>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</si>
  <si>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</si>
  <si>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</si>
  <si>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</si>
  <si>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</si>
  <si>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</si>
  <si>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</si>
  <si>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</si>
  <si>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</si>
  <si>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</si>
  <si>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</si>
  <si>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</si>
  <si>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</si>
  <si>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</si>
  <si>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</si>
  <si>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</si>
  <si>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</si>
  <si>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</si>
  <si>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</si>
  <si>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</si>
  <si>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</si>
  <si>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</si>
  <si>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</si>
  <si>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</si>
  <si>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</si>
  <si>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</si>
  <si>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</si>
  <si>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</si>
  <si>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</si>
  <si>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</si>
  <si>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</si>
  <si>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</si>
  <si>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</si>
  <si>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</si>
  <si>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</si>
  <si>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</si>
  <si>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</si>
  <si>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</si>
  <si>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</si>
  <si>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</si>
  <si>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</si>
  <si>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</si>
  <si>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</si>
  <si>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</si>
  <si>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</si>
  <si>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</si>
  <si>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</si>
  <si>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</si>
  <si>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</si>
  <si>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</si>
  <si>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</si>
  <si>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</si>
  <si>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</si>
  <si>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</si>
  <si>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</si>
  <si>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</si>
  <si>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</si>
  <si>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</si>
  <si>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</si>
  <si>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</si>
  <si>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</si>
  <si>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</si>
  <si>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</si>
  <si>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</si>
  <si>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</si>
  <si>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</si>
  <si>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</si>
  <si>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</si>
  <si>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</si>
  <si>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</si>
  <si>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</si>
  <si>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</si>
  <si>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</si>
  <si>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</si>
  <si>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</si>
  <si>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</si>
  <si>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</si>
  <si>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</si>
  <si>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</si>
  <si>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</si>
  <si>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</si>
  <si>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</si>
  <si>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</si>
  <si>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</si>
  <si>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</si>
  <si>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</si>
  <si>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</si>
  <si>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</si>
  <si>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</si>
  <si>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</si>
  <si>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</si>
  <si>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</si>
  <si>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</si>
  <si>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</si>
  <si>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</si>
  <si>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</si>
  <si>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</si>
  <si>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</si>
  <si>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</si>
  <si>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</si>
  <si>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</si>
  <si>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</si>
  <si>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</si>
  <si>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</si>
  <si>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</si>
  <si>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</si>
  <si>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</si>
  <si>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</si>
  <si>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</si>
  <si>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</si>
  <si>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</si>
  <si>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</si>
  <si>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</si>
  <si>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</si>
  <si>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</si>
  <si>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</si>
  <si>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</si>
  <si>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</si>
  <si>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</si>
  <si>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</si>
  <si>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</si>
  <si>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</si>
  <si>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</si>
  <si>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</si>
  <si>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</si>
  <si>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</si>
  <si>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</si>
  <si>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</si>
  <si>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</si>
  <si>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</si>
  <si>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</si>
  <si>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</si>
  <si>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</si>
  <si>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</si>
  <si>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</si>
  <si>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</si>
  <si>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</si>
  <si>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</si>
  <si>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</si>
  <si>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</si>
  <si>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</si>
  <si>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</si>
  <si>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</si>
  <si>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</si>
  <si>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</si>
  <si>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</si>
  <si>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</si>
  <si>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</si>
  <si>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</si>
  <si>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</si>
  <si>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</si>
  <si>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</si>
  <si>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</si>
  <si>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</si>
  <si>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</si>
  <si>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</si>
  <si>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</si>
  <si>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</si>
  <si>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</si>
  <si>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</si>
  <si>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</si>
  <si>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</si>
  <si>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</si>
  <si>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</si>
  <si>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</si>
  <si>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</si>
  <si>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</si>
  <si>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</si>
  <si>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</si>
  <si>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</si>
  <si>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</si>
  <si>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</si>
  <si>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</si>
  <si>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</si>
  <si>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</si>
  <si>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</si>
  <si>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</si>
  <si>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</si>
  <si>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</si>
  <si>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</si>
  <si>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</si>
  <si>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</si>
  <si>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</si>
  <si>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</si>
  <si>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</si>
  <si>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</si>
  <si>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</si>
  <si>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</si>
  <si>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</si>
  <si>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</si>
  <si>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</si>
  <si>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</si>
  <si>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</si>
  <si>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</si>
  <si>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</si>
  <si>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</si>
  <si>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</si>
  <si>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</si>
  <si>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</si>
  <si>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</si>
  <si>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</si>
  <si>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</si>
  <si>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</si>
  <si>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</si>
  <si>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</si>
  <si>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</si>
  <si>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</si>
  <si>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</si>
  <si>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</si>
  <si>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</si>
  <si>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</si>
  <si>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</si>
  <si>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</si>
  <si>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</si>
  <si>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</si>
  <si>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</si>
  <si>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</si>
  <si>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</si>
  <si>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</si>
  <si>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</si>
  <si>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</si>
  <si>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</si>
  <si>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</si>
  <si>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</si>
  <si>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</si>
  <si>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</si>
  <si>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</si>
  <si>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</si>
  <si>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</si>
  <si>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</si>
  <si>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</si>
  <si>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</si>
  <si>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</si>
  <si>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</si>
  <si>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</si>
  <si>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</si>
  <si>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</si>
  <si>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</si>
  <si>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</si>
  <si>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</si>
  <si>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</si>
  <si>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</si>
  <si>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</si>
  <si>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</si>
  <si>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</si>
  <si>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</si>
  <si>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</si>
  <si>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</si>
  <si>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</si>
  <si>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</si>
  <si>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</si>
  <si>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</si>
  <si>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</si>
  <si>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</si>
  <si>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</si>
  <si>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</si>
  <si>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</si>
  <si>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</si>
  <si>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</si>
  <si>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</si>
  <si>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</si>
  <si>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</si>
  <si>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</si>
  <si>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</si>
  <si>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</si>
  <si>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</si>
  <si>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</si>
  <si>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</si>
  <si>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</si>
  <si>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</si>
  <si>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</si>
  <si>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</si>
  <si>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</si>
  <si>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</si>
  <si>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</si>
  <si>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</si>
  <si>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</si>
  <si>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</si>
  <si>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</si>
  <si>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</si>
  <si>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</si>
  <si>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</si>
  <si>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</si>
  <si>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</si>
  <si>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</si>
  <si>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</si>
  <si>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</si>
  <si>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</si>
  <si>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</si>
  <si>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</si>
  <si>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</si>
  <si>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</si>
  <si>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</si>
  <si>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</si>
  <si>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</si>
  <si>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</si>
  <si>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</si>
  <si>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</si>
  <si>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</si>
  <si>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</si>
  <si>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</si>
  <si>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</si>
  <si>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</si>
  <si>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</si>
  <si>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</si>
  <si>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</si>
  <si>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</si>
  <si>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</si>
  <si>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</si>
  <si>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</si>
  <si>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</si>
  <si>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</si>
  <si>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</si>
  <si>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</si>
  <si>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</si>
  <si>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</si>
  <si>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</si>
  <si>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</si>
  <si>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</si>
  <si>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</si>
  <si>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</si>
  <si>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</si>
  <si>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</si>
  <si>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</si>
  <si>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</si>
  <si>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</si>
  <si>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</si>
  <si>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</si>
  <si>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</si>
  <si>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</si>
  <si>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</si>
  <si>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</si>
  <si>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</si>
  <si>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</si>
  <si>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</si>
  <si>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</si>
  <si>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</si>
  <si>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</si>
  <si>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</si>
  <si>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</si>
  <si>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</si>
  <si>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</si>
  <si>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</si>
  <si>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</si>
  <si>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</si>
  <si>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</si>
  <si>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</si>
  <si>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</si>
  <si>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</si>
  <si>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</si>
  <si>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</si>
  <si>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</si>
  <si>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</si>
  <si>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</si>
  <si>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</si>
  <si>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</si>
  <si>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</si>
  <si>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</si>
  <si>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</si>
  <si>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</si>
  <si>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</si>
  <si>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</si>
  <si>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</si>
  <si>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</si>
  <si>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</si>
  <si>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</si>
  <si>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</si>
  <si>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</si>
  <si>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</si>
  <si>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</si>
  <si>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</si>
  <si>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</si>
  <si>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</si>
  <si>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</si>
  <si>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</si>
  <si>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</si>
  <si>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</si>
  <si>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</si>
  <si>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</si>
  <si>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</si>
  <si>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</si>
  <si>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</si>
  <si>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</si>
  <si>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</si>
  <si>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</si>
  <si>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</si>
  <si>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</si>
  <si>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</si>
  <si>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</si>
  <si>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</si>
  <si>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</si>
  <si>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</si>
  <si>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</si>
  <si>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</si>
  <si>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</si>
  <si>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</si>
  <si>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</si>
  <si>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</si>
  <si>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</si>
  <si>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</si>
  <si>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</si>
  <si>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</si>
  <si>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</si>
  <si>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</si>
  <si>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</si>
  <si>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</si>
  <si>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</si>
  <si>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</si>
  <si>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</si>
  <si>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</si>
  <si>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</si>
  <si>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</si>
  <si>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</si>
  <si>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</si>
  <si>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</si>
  <si>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</si>
  <si>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</si>
  <si>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</si>
  <si>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</si>
  <si>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</si>
  <si>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</si>
  <si>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</si>
  <si>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</si>
  <si>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</si>
  <si>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</si>
  <si>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</si>
  <si>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</si>
  <si>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</si>
  <si>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</si>
  <si>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</si>
  <si>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</si>
  <si>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</si>
  <si>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</si>
  <si>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</si>
  <si>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</si>
  <si>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</si>
  <si>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</si>
  <si>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</si>
  <si>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</si>
  <si>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</si>
  <si>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</si>
  <si>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</si>
  <si>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</si>
  <si>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</si>
  <si>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</si>
  <si>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</si>
  <si>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</si>
  <si>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</si>
  <si>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</si>
  <si>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</si>
  <si>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</si>
  <si>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</si>
  <si>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</si>
  <si>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</si>
  <si>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</si>
  <si>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</si>
  <si>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</si>
  <si>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</si>
  <si>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</si>
  <si>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</si>
  <si>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</si>
  <si>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</si>
  <si>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</si>
  <si>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</si>
  <si>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</si>
  <si>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</si>
  <si>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</si>
  <si>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</si>
  <si>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</si>
  <si>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</si>
  <si>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</si>
  <si>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</si>
  <si>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</si>
  <si>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</si>
  <si>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</si>
  <si>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</si>
  <si>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</si>
  <si>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</si>
  <si>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</si>
  <si>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</si>
  <si>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</si>
  <si>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</si>
  <si>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</si>
  <si>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</si>
  <si>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</si>
  <si>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</si>
  <si>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</si>
  <si>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</si>
  <si>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</si>
  <si>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</si>
  <si>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</si>
  <si>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</si>
  <si>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</si>
  <si>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</si>
  <si>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</si>
  <si>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</si>
  <si>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</si>
  <si>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</si>
  <si>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</si>
  <si>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</si>
  <si>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</si>
  <si>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</si>
  <si>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</si>
  <si>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</si>
  <si>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</si>
  <si>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</si>
  <si>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</si>
  <si>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</si>
  <si>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</si>
  <si>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</si>
  <si>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</si>
  <si>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</si>
  <si>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</si>
  <si>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</si>
  <si>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</si>
  <si>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</si>
  <si>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</si>
  <si>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</si>
  <si>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</si>
  <si>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</si>
  <si>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</si>
  <si>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</si>
  <si>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</si>
  <si>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</si>
  <si>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</si>
  <si>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</si>
  <si>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</si>
  <si>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</si>
  <si>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</si>
  <si>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</si>
  <si>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</si>
  <si>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</si>
  <si>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</si>
  <si>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</si>
  <si>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</si>
  <si>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</si>
  <si>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</si>
  <si>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</si>
  <si>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</si>
  <si>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</si>
  <si>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</si>
  <si>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</si>
  <si>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</si>
  <si>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</si>
  <si>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</si>
  <si>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</si>
  <si>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</si>
  <si>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</si>
  <si>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</si>
  <si>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</si>
  <si>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</si>
  <si>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</si>
  <si>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</si>
  <si>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</si>
  <si>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</si>
  <si>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</si>
  <si>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</si>
  <si>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</si>
  <si>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</si>
  <si>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</si>
  <si>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</si>
  <si>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</si>
  <si>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</si>
  <si>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</si>
  <si>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</si>
  <si>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</si>
  <si>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</si>
  <si>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</si>
  <si>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</si>
  <si>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</si>
  <si>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</si>
  <si>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</si>
  <si>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</si>
  <si>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</si>
  <si>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</si>
  <si>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</si>
  <si>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</si>
  <si>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</si>
  <si>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</si>
  <si>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</si>
  <si>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</si>
  <si>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</si>
  <si>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</si>
  <si>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</si>
  <si>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</si>
  <si>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</si>
  <si>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</si>
  <si>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</si>
  <si>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</si>
  <si>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</si>
  <si>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</si>
  <si>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</si>
  <si>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</si>
  <si>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</si>
  <si>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</si>
  <si>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</si>
  <si>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</si>
  <si>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</si>
  <si>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</si>
  <si>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</si>
  <si>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</si>
  <si>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</si>
  <si>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</si>
  <si>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</si>
  <si>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</si>
  <si>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</si>
  <si>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</si>
  <si>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</si>
  <si>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</si>
  <si>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</si>
  <si>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</si>
  <si>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</si>
  <si>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</si>
  <si>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</si>
  <si>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</si>
  <si>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</si>
  <si>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</si>
  <si>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</si>
  <si>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</si>
  <si>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</si>
  <si>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</si>
  <si>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</si>
  <si>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</si>
  <si>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</si>
  <si>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</si>
  <si>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</si>
  <si>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</si>
  <si>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</si>
  <si>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</si>
  <si>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</si>
  <si>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</si>
  <si>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</si>
  <si>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</si>
  <si>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</si>
  <si>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</si>
  <si>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</si>
  <si>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</si>
  <si>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</si>
  <si>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</si>
  <si>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</si>
  <si>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</si>
  <si>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</si>
  <si>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</si>
  <si>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</si>
  <si>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</si>
  <si>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</si>
  <si>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</si>
  <si>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</si>
  <si>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</si>
  <si>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</si>
  <si>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</si>
  <si>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</si>
  <si>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</si>
  <si>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</si>
  <si>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</si>
  <si>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</si>
  <si>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</si>
  <si>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</si>
  <si>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</si>
  <si>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</si>
  <si>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</si>
  <si>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</si>
  <si>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</si>
  <si>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</si>
  <si>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</si>
  <si>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</si>
  <si>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</si>
  <si>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</si>
  <si>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</si>
  <si>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</si>
  <si>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</si>
  <si>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</si>
  <si>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</si>
  <si>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</si>
  <si>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</si>
  <si>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</si>
  <si>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</si>
  <si>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</si>
  <si>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</si>
  <si>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</si>
  <si>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</si>
  <si>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</si>
  <si>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</si>
  <si>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</si>
  <si>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</si>
  <si>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</si>
  <si>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</si>
  <si>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</si>
  <si>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</si>
  <si>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</si>
  <si>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</si>
  <si>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</si>
  <si>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</si>
  <si>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</si>
  <si>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</si>
  <si>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</si>
  <si>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</si>
  <si>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</si>
  <si>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</si>
  <si>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</si>
  <si>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</si>
  <si>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</si>
  <si>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</si>
  <si>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</si>
  <si>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</si>
  <si>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</si>
  <si>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</si>
  <si>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</si>
  <si>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</si>
  <si>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</si>
  <si>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</si>
  <si>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</si>
  <si>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</si>
  <si>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</si>
  <si>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</si>
  <si>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</si>
  <si>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</si>
  <si>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</si>
  <si>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</si>
  <si>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</si>
  <si>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</si>
  <si>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</si>
  <si>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</si>
  <si>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</si>
  <si>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</si>
  <si>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</si>
  <si>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</si>
  <si>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</si>
  <si>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</si>
  <si>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</si>
  <si>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</si>
  <si>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</si>
  <si>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</si>
  <si>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</si>
  <si>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</si>
  <si>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</si>
  <si>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</si>
  <si>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</si>
  <si>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</si>
  <si>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</si>
  <si>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</si>
  <si>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</si>
  <si>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</si>
  <si>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</si>
  <si>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</si>
  <si>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</si>
  <si>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</si>
  <si>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</si>
  <si>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</si>
  <si>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</si>
  <si>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</si>
  <si>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</si>
  <si>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</si>
  <si>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</si>
  <si>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</si>
  <si>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</si>
  <si>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</si>
  <si>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</si>
  <si>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</si>
  <si>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</si>
  <si>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</si>
  <si>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</si>
  <si>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</si>
  <si>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</si>
  <si>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</si>
  <si>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</si>
  <si>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</si>
  <si>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</si>
  <si>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</si>
  <si>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</si>
  <si>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</si>
  <si>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</si>
  <si>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</si>
  <si>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</si>
  <si>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</si>
  <si>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</si>
  <si>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</si>
  <si>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</si>
  <si>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</si>
  <si>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</si>
  <si>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</si>
  <si>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</si>
  <si>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</si>
  <si>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</si>
  <si>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</si>
  <si>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</si>
  <si>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</si>
  <si>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</si>
  <si>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</si>
  <si>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</si>
  <si>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</si>
  <si>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</si>
  <si>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</si>
  <si>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</si>
  <si>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</si>
  <si>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</si>
  <si>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</si>
  <si>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</si>
  <si>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</si>
  <si>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</si>
  <si>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</si>
  <si>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</si>
  <si>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</si>
  <si>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</si>
  <si>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</si>
  <si>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</si>
  <si>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</si>
  <si>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</si>
  <si>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</si>
  <si>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</si>
  <si>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</si>
  <si>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</si>
  <si>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</si>
  <si>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</si>
  <si>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</si>
  <si>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</si>
  <si>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</si>
  <si>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</si>
  <si>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</si>
  <si>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</si>
  <si>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</si>
  <si>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</si>
  <si>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</si>
  <si>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</si>
  <si>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</si>
  <si>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</si>
  <si>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</si>
  <si>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</si>
  <si>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</si>
  <si>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</si>
  <si>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</si>
  <si>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Bahamas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</si>
</sst>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E28" sqref="E2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20250085</v>
      </c>
      <c r="G7" s="8">
        <f ca="1">TODAY()</f>
        <v>45763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850</v>
      </c>
      <c r="C13" s="77" t="str">
        <f>IFERROR(VLOOKUP($B13,Tarifa_all_20240711!$A$2:$G$660,2,FALSE()),"-")</f>
        <v>GUIA SUP TECHO PLUS LAC.6 ESP.2-3 MTS</v>
      </c>
      <c r="D13" s="77"/>
      <c r="E13" s="17">
        <v>1</v>
      </c>
      <c r="F13" s="18">
        <f>IFERROR(VLOOKUP($B13,Tarifa_all_20240711!$A$2:$G$660,5,FALSE()),"-")</f>
        <v>71.707499999999996</v>
      </c>
      <c r="G13" s="18">
        <f t="shared" ref="G13:G30" si="0">IFERROR(E13*F13,"-")</f>
        <v>71.707499999999996</v>
      </c>
      <c r="H13" s="1"/>
    </row>
    <row r="14" spans="1:12" x14ac:dyDescent="0.25">
      <c r="A14" t="s">
        <v>15</v>
      </c>
      <c r="B14" s="16" t="s">
        <v>1443</v>
      </c>
      <c r="C14" s="77" t="str">
        <f>IFERROR(VLOOKUP($B14,Tarifa_all_20240711!$A$2:$G$660,2,FALSE()),"-")</f>
        <v>TAPETA LAT. GUIA TECHO NEGRO</v>
      </c>
      <c r="D14" s="77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77" t="str">
        <f>IFERROR(VLOOKUP($B15,Tarifa_all_20240711!$A$2:$G$660,2,FALSE()),"-")</f>
        <v>-</v>
      </c>
      <c r="D15" s="77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341</v>
      </c>
      <c r="C16" s="77" t="str">
        <f>IFERROR(VLOOKUP($B16,Tarifa_all_20240711!$A$2:$G$660,2,FALSE()),"-")</f>
        <v>KIT AMORTIGUADOR SKY BIDIRECCIONAL 60KG</v>
      </c>
      <c r="D16" s="77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134</v>
      </c>
      <c r="C17" s="77" t="str">
        <f>IFERROR(VLOOKUP($B17,Tarifa_all_20240711!$A$2:$G$660,2,FALSE()),"-")</f>
        <v>KIT PUERTA PA CORREDERA LAC.NEGRO TEXTURADO</v>
      </c>
      <c r="D17" s="77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335</v>
      </c>
      <c r="C18" s="77" t="str">
        <f>IFERROR(VLOOKUP($B18,Tarifa_all_20240711!$A$2:$G$660,2,FALSE()),"-")</f>
        <v>CARRO SKY MADERA 60KG</v>
      </c>
      <c r="D18" s="77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515</v>
      </c>
      <c r="C19" s="77" t="str">
        <f>IFERROR(VLOOKUP($B19,Tarifa_all_20240711!$A$2:$G$660,2,FALSE()),"-")</f>
        <v>TIRADOR RECT.ADH CAVE LAC.NEGRO TEXTURADO: 2 UDS</v>
      </c>
      <c r="D19" s="77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77" t="str">
        <f>IFERROR(VLOOKUP($B20,Tarifa_all_20240711!$A$2:$G$660,2,FALSE()),"-")</f>
        <v>GUIADOR FIJO PA LAC.NEGRO TEXTURADO</v>
      </c>
      <c r="D20" s="77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 t="s">
        <v>143</v>
      </c>
      <c r="C21" s="77" t="str">
        <f>IFERROR(VLOOKUP($B21,Tarifa_all_20240711!$A$2:$G$660,2,FALSE()),"-")</f>
        <v>PERFIL EMBELL.HORIZ. ADH LAC.NEGRO TEXTURADO</v>
      </c>
      <c r="D21" s="77"/>
      <c r="E21" s="17">
        <v>11</v>
      </c>
      <c r="F21" s="18">
        <f>IFERROR(VLOOKUP($B21,Tarifa_all_20240711!$A$2:$G$660,5,FALSE()),"-")</f>
        <v>21.794999999999998</v>
      </c>
      <c r="G21" s="18">
        <f t="shared" si="0"/>
        <v>239.74499999999998</v>
      </c>
      <c r="H21" s="1"/>
    </row>
    <row r="22" spans="1:8" x14ac:dyDescent="0.25">
      <c r="B22" s="16" t="s">
        <v>460</v>
      </c>
      <c r="C22" s="77" t="str">
        <f>IFERROR(VLOOKUP($B22,Tarifa_all_20240711!$A$2:$G$660,2,FALSE()),"-")</f>
        <v>MARCO FIJOS 35MM D-DECOR FIJO NEGRO TEXT 3 MTS</v>
      </c>
      <c r="D22" s="77"/>
      <c r="E22" s="17">
        <v>3</v>
      </c>
      <c r="F22" s="18">
        <f>IFERROR(VLOOKUP($B22,Tarifa_all_20240711!$A$2:$G$660,5,FALSE()),"-")</f>
        <v>27.712500000000002</v>
      </c>
      <c r="G22" s="18">
        <f t="shared" si="0"/>
        <v>83.137500000000003</v>
      </c>
      <c r="H22" s="1"/>
    </row>
    <row r="23" spans="1:8" x14ac:dyDescent="0.25">
      <c r="B23" s="16" t="s">
        <v>440</v>
      </c>
      <c r="C23" s="77" t="str">
        <f>IFERROR(VLOOKUP($B23,Tarifa_all_20240711!$A$2:$G$660,2,FALSE()),"-")</f>
        <v>ANCLAJE TAPA 35MM D-DECOR FIJO NEGRO TEXT 3 MTS</v>
      </c>
      <c r="D23" s="77"/>
      <c r="E23" s="17">
        <v>3</v>
      </c>
      <c r="F23" s="18">
        <f>IFERROR(VLOOKUP($B23,Tarifa_all_20240711!$A$2:$G$660,5,FALSE()),"-")</f>
        <v>13.4175</v>
      </c>
      <c r="G23" s="18">
        <f t="shared" si="0"/>
        <v>40.252499999999998</v>
      </c>
      <c r="H23" s="1"/>
    </row>
    <row r="24" spans="1:8" x14ac:dyDescent="0.25">
      <c r="B24" s="16" t="s">
        <v>480</v>
      </c>
      <c r="C24" s="77" t="str">
        <f>IFERROR(VLOOKUP($B24,Tarifa_all_20240711!$A$2:$G$660,2,FALSE()),"-")</f>
        <v>TAPA MARCO 35MM D-DECOR FIJO NEGRO TEXT 3 MTS</v>
      </c>
      <c r="D24" s="77"/>
      <c r="E24" s="17">
        <v>3</v>
      </c>
      <c r="F24" s="18">
        <f>IFERROR(VLOOKUP($B24,Tarifa_all_20240711!$A$2:$G$660,5,FALSE()),"-")</f>
        <v>11.3025</v>
      </c>
      <c r="G24" s="18">
        <f t="shared" si="0"/>
        <v>33.907499999999999</v>
      </c>
      <c r="H24" s="1"/>
    </row>
    <row r="25" spans="1:8" x14ac:dyDescent="0.25">
      <c r="B25" s="16" t="s">
        <v>450</v>
      </c>
      <c r="C25" s="77" t="str">
        <f>IFERROR(VLOOKUP($B25,Tarifa_all_20240711!$A$2:$G$660,2,FALSE()),"-")</f>
        <v>PERFIL MINIMALISTA D-DECOR FIJO NEGRO TEXT 3 MTS</v>
      </c>
      <c r="D25" s="77"/>
      <c r="E25" s="17">
        <v>2</v>
      </c>
      <c r="F25" s="18">
        <f>IFERROR(VLOOKUP($B25,Tarifa_all_20240711!$A$2:$G$660,5,FALSE()),"-")</f>
        <v>36.72</v>
      </c>
      <c r="G25" s="18">
        <f t="shared" si="0"/>
        <v>73.44</v>
      </c>
      <c r="H25" s="1"/>
    </row>
    <row r="26" spans="1:8" x14ac:dyDescent="0.25">
      <c r="B26" s="16" t="s">
        <v>298</v>
      </c>
      <c r="C26" s="77" t="str">
        <f>IFERROR(VLOOKUP($B26,Tarifa_all_20240711!$A$2:$G$660,2,FALSE()),"-")</f>
        <v>Tope Domo Decor</v>
      </c>
      <c r="D26" s="77"/>
      <c r="E26" s="17">
        <v>8</v>
      </c>
      <c r="F26" s="18">
        <f>IFERROR(VLOOKUP($B26,Tarifa_all_20240711!$A$2:$G$660,5,FALSE()),"-")</f>
        <v>1.4175</v>
      </c>
      <c r="G26" s="18">
        <f t="shared" si="0"/>
        <v>11.34</v>
      </c>
      <c r="H26" s="1"/>
    </row>
    <row r="27" spans="1:8" x14ac:dyDescent="0.25">
      <c r="B27" s="16" t="s">
        <v>300</v>
      </c>
      <c r="C27" s="77" t="str">
        <f>IFERROR(VLOOKUP($B27,Tarifa_all_20240711!$A$2:$G$660,2,FALSE()),"-")</f>
        <v>PERFIL 3 MTS REDUCTOR PARA VIDRIO 6mm</v>
      </c>
      <c r="D27" s="77"/>
      <c r="E27" s="17">
        <v>5</v>
      </c>
      <c r="F27" s="18">
        <f>IFERROR(VLOOKUP($B27,Tarifa_all_20240711!$A$2:$G$660,5,FALSE()),"-")</f>
        <v>3.4275000000000002</v>
      </c>
      <c r="G27" s="18">
        <f t="shared" si="0"/>
        <v>17.137500000000003</v>
      </c>
      <c r="H27" s="1"/>
    </row>
    <row r="28" spans="1:8" x14ac:dyDescent="0.25">
      <c r="B28" s="16">
        <v>31229</v>
      </c>
      <c r="C28" s="77" t="str">
        <f>IFERROR(VLOOKUP($B28,Tarifa_all_20240711!$A$2:$G$660,2,FALSE()),"-")</f>
        <v>COMPLEMENTO FIJACION DOMO DECOR: BARRAS 3 MTS</v>
      </c>
      <c r="D28" s="77"/>
      <c r="E28" s="17">
        <v>3</v>
      </c>
      <c r="F28" s="18">
        <f>IFERROR(VLOOKUP($B28,Tarifa_all_20240711!$A$2:$G$660,5,FALSE()),"-")</f>
        <v>11.317499999999999</v>
      </c>
      <c r="G28" s="18">
        <f t="shared" si="0"/>
        <v>33.952500000000001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956.21250000000009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8" zoomScaleNormal="100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Cristalum Gandia</v>
      </c>
      <c r="C9" s="86"/>
      <c r="D9" s="86"/>
      <c r="F9" s="3" t="s">
        <v>81</v>
      </c>
      <c r="G9" s="44">
        <f ca="1">TODAY()</f>
        <v>45763</v>
      </c>
    </row>
    <row r="10" spans="1:7" x14ac:dyDescent="0.25">
      <c r="A10" s="3" t="s">
        <v>82</v>
      </c>
      <c r="B10" s="11" t="str">
        <f>'DESPIECE (MATANALYSIS)'!C9</f>
        <v>Bahamas 1</v>
      </c>
      <c r="C10" s="45"/>
      <c r="D10" s="45"/>
      <c r="E10" s="46"/>
      <c r="F10" s="47" t="s">
        <v>83</v>
      </c>
      <c r="G10" s="7">
        <f>'DESPIECE (MATANALYSIS)'!C7</f>
        <v>20250085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956.21250000000009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2025-04-16T08:44:12Z</dcterms:modified>
  <dc:language>es-ES</dc:language>
</cp:coreProperties>
</file>