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22\calculos\1\"/>
    </mc:Choice>
  </mc:AlternateContent>
  <xr:revisionPtr revIDLastSave="0" documentId="13_ncr:1_{1D24B7F0-F431-43BE-94DB-B2ECC9DACCE6}" xr6:coauthVersionLast="47" xr6:coauthVersionMax="47" xr10:uidLastSave="{00000000-0000-0000-0000-000000000000}"/>
  <bookViews>
    <workbookView xWindow="-20760" yWindow="660" windowWidth="19935" windowHeight="1432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<sst xmlns="http://schemas.openxmlformats.org/spreadsheetml/2006/main" count="5403" uniqueCount="1455">
  <si>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</si>
  <si>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</si>
  <si>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</si>
  <si>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</si>
  <si>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</si>
  <si>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</si>
  <si>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</si>
  <si>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</si>
  <si>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</si>
  <si>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</si>
  <si>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</si>
  <si>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</si>
  <si>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</si>
  <si>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</si>
  <si>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</si>
  <si>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</si>
  <si>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</si>
  <si>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</si>
  <si>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</si>
  <si>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</si>
  <si>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</si>
  <si>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</si>
  <si>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</si>
  <si>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</si>
  <si>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</si>
  <si>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</si>
  <si>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</si>
  <si>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</si>
  <si>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</si>
  <si>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</si>
  <si>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</si>
  <si>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</si>
  <si>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</si>
  <si>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</si>
  <si>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</si>
  <si>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</si>
  <si>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</si>
  <si>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</si>
  <si>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</si>
  <si>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</si>
  <si>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</si>
  <si>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</si>
  <si>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</si>
  <si>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</si>
  <si>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</si>
  <si>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</si>
  <si>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</si>
  <si>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</si>
  <si>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</si>
  <si>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</si>
  <si>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</si>
  <si>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</si>
  <si>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</si>
  <si>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</si>
  <si>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</si>
  <si>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</si>
  <si>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</si>
  <si>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</si>
  <si>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</si>
  <si>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</si>
  <si>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</si>
  <si>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</si>
  <si>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</si>
  <si>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</si>
  <si>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</si>
  <si>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</si>
  <si>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</si>
  <si>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</si>
  <si>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</si>
  <si>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</si>
  <si>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</si>
  <si>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</si>
  <si>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</si>
  <si>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</si>
  <si>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</si>
  <si>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</si>
  <si>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</si>
  <si>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</si>
  <si>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</si>
  <si>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</si>
  <si>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</si>
  <si>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</si>
  <si>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</si>
  <si>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</si>
  <si>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</si>
  <si>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</si>
  <si>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</si>
  <si>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</si>
  <si>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</si>
  <si>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</si>
  <si>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</si>
  <si>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</si>
  <si>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</si>
  <si>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</si>
  <si>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</si>
  <si>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</si>
  <si>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</si>
  <si>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</si>
  <si>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</si>
  <si>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</si>
  <si>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</si>
  <si>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</si>
  <si>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</si>
  <si>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</si>
  <si>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</si>
  <si>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</si>
  <si>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</si>
  <si>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</si>
  <si>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</si>
  <si>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</si>
  <si>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</si>
  <si>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</si>
  <si>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</si>
  <si>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</si>
  <si>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</si>
  <si>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</si>
  <si>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</si>
  <si>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</si>
  <si>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</si>
  <si>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</si>
  <si>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</si>
  <si>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</si>
  <si>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</si>
  <si>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</si>
  <si>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</si>
  <si>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</si>
  <si>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</si>
  <si>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</si>
  <si>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</si>
  <si>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</si>
  <si>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</si>
  <si>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</si>
  <si>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</si>
  <si>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</si>
  <si>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</si>
  <si>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</si>
  <si>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</si>
  <si>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</si>
  <si>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</si>
  <si>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</si>
  <si>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</si>
  <si>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</si>
  <si>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</si>
  <si>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</si>
  <si>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</si>
  <si>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</si>
  <si>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</si>
  <si>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</si>
  <si>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</si>
  <si>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</si>
  <si>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</si>
  <si>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</si>
  <si>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</si>
  <si>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</si>
  <si>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</si>
  <si>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</si>
  <si>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</si>
  <si>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</si>
  <si>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</si>
  <si>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</si>
  <si>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</si>
  <si>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</si>
  <si>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</si>
  <si>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</si>
  <si>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</si>
  <si>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</si>
  <si>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</si>
  <si>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</si>
  <si>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</si>
  <si>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</si>
  <si>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</si>
  <si>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</si>
  <si>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</si>
  <si>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</si>
  <si>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</si>
  <si>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</si>
  <si>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</si>
  <si>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</si>
  <si>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</si>
  <si>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</si>
  <si>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</si>
  <si>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</si>
  <si>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</si>
  <si>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</si>
  <si>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</si>
  <si>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</si>
  <si>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</si>
  <si>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</si>
  <si>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</si>
  <si>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</si>
  <si>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</si>
  <si>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</si>
  <si>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</si>
  <si>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</si>
  <si>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</si>
  <si>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</si>
  <si>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</si>
  <si>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</si>
  <si>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</si>
  <si>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</si>
  <si>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</si>
  <si>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</si>
  <si>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</si>
  <si>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</si>
  <si>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</si>
  <si>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</si>
  <si>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</si>
  <si>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</si>
  <si>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</si>
  <si>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</si>
  <si>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</si>
  <si>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</si>
  <si>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</si>
  <si>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</si>
  <si>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</si>
  <si>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</si>
  <si>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</si>
  <si>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</si>
  <si>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</si>
  <si>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</si>
  <si>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</si>
  <si>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</si>
  <si>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</si>
  <si>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</si>
  <si>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</si>
  <si>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</si>
  <si>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</si>
  <si>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</si>
  <si>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</si>
  <si>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</si>
  <si>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</si>
  <si>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</si>
  <si>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</si>
  <si>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</si>
  <si>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</si>
  <si>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</si>
  <si>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</si>
  <si>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</si>
  <si>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</si>
  <si>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</si>
  <si>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</si>
  <si>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</si>
  <si>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</si>
  <si>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</si>
  <si>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</si>
  <si>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</si>
  <si>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</si>
  <si>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</si>
  <si>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</si>
  <si>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</si>
  <si>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</si>
  <si>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</si>
  <si>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</si>
  <si>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</si>
  <si>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</si>
  <si>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</si>
  <si>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</si>
  <si>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</si>
  <si>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</si>
  <si>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</si>
  <si>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</si>
  <si>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</si>
  <si>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</si>
  <si>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</si>
  <si>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</si>
  <si>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</si>
  <si>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</si>
  <si>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</si>
  <si>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</si>
  <si>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</si>
  <si>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</si>
  <si>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</si>
  <si>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</si>
  <si>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</si>
  <si>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</si>
  <si>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</si>
  <si>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</si>
  <si>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</si>
  <si>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</si>
  <si>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</si>
  <si>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</si>
  <si>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</si>
  <si>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</si>
  <si>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</si>
  <si>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</si>
  <si>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</si>
  <si>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</si>
  <si>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</si>
  <si>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</si>
  <si>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</si>
  <si>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</si>
  <si>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</si>
  <si>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</si>
  <si>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</si>
  <si>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</si>
  <si>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</si>
  <si>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</si>
  <si>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</si>
  <si>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</si>
  <si>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</si>
  <si>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</si>
  <si>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</si>
  <si>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</si>
  <si>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</si>
  <si>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</si>
  <si>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</si>
  <si>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</si>
  <si>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</si>
  <si>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</si>
  <si>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</si>
  <si>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</si>
  <si>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</si>
  <si>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</si>
  <si>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</si>
  <si>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</si>
  <si>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</si>
  <si>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</si>
  <si>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</si>
  <si>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</si>
  <si>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</si>
  <si>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</si>
  <si>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</si>
  <si>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</si>
  <si>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</si>
  <si>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</si>
  <si>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</si>
  <si>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</si>
  <si>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</si>
  <si>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</si>
  <si>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</si>
  <si>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</si>
  <si>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</si>
  <si>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</si>
  <si>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</si>
  <si>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</si>
  <si>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</si>
  <si>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</si>
  <si>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</si>
  <si>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</si>
  <si>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</si>
  <si>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</si>
  <si>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</si>
  <si>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</si>
  <si>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</si>
  <si>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</si>
  <si>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</si>
  <si>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</si>
  <si>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</si>
  <si>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</si>
  <si>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</si>
  <si>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</si>
  <si>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</si>
  <si>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</si>
  <si>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</si>
  <si>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</si>
  <si>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</si>
  <si>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</si>
  <si>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</si>
  <si>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</si>
  <si>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</si>
  <si>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</si>
  <si>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</si>
  <si>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</si>
  <si>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</si>
  <si>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</si>
  <si>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</si>
  <si>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</si>
  <si>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</si>
  <si>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</si>
  <si>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</si>
  <si>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</si>
  <si>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</si>
  <si>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</si>
  <si>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</si>
  <si>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</si>
  <si>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</si>
  <si>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</si>
  <si>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</si>
  <si>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</si>
  <si>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</si>
  <si>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</si>
  <si>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</si>
  <si>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</si>
  <si>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</si>
  <si>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</si>
  <si>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</si>
  <si>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</si>
  <si>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</si>
  <si>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</si>
  <si>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</si>
  <si>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</si>
  <si>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</si>
  <si>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</si>
  <si>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</si>
  <si>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</si>
  <si>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</si>
  <si>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</si>
  <si>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</si>
  <si>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</si>
  <si>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</si>
  <si>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</si>
  <si>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</si>
  <si>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</si>
  <si>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</si>
  <si>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</si>
  <si>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</si>
  <si>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</si>
  <si>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</si>
  <si>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</si>
  <si>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</si>
  <si>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</si>
  <si>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</si>
  <si>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</si>
  <si>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</si>
  <si>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</si>
  <si>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</si>
  <si>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</si>
  <si>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</si>
  <si>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</si>
  <si>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</si>
  <si>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</si>
  <si>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</si>
  <si>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</si>
  <si>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</si>
  <si>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</si>
  <si>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</si>
  <si>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</si>
  <si>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</si>
  <si>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</si>
  <si>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</si>
  <si>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</si>
  <si>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</si>
  <si>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</si>
  <si>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</si>
  <si>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</si>
  <si>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</si>
  <si>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</si>
  <si>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</si>
  <si>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</si>
  <si>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</si>
  <si>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</si>
  <si>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</si>
  <si>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</si>
  <si>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</si>
  <si>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</si>
  <si>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</si>
  <si>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</si>
  <si>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</si>
  <si>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</si>
  <si>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</si>
  <si>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</si>
  <si>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</si>
  <si>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</si>
  <si>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</si>
  <si>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</si>
  <si>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</si>
  <si>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</si>
  <si>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</si>
  <si>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</si>
  <si>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</si>
  <si>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</si>
  <si>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</si>
  <si>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</si>
  <si>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</si>
  <si>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</si>
  <si>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</si>
  <si>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</si>
  <si>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</si>
  <si>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</si>
  <si>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</si>
  <si>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</si>
  <si>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</si>
  <si>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</si>
  <si>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</si>
  <si>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</si>
  <si>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</si>
  <si>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</si>
  <si>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</si>
  <si>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</si>
  <si>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</si>
  <si>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</si>
  <si>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</si>
  <si>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</si>
  <si>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</si>
  <si>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</si>
  <si>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</si>
  <si>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</si>
  <si>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</si>
  <si>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</si>
  <si>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</si>
  <si>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</si>
  <si>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</si>
  <si>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</si>
  <si>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</si>
  <si>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</si>
  <si>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</si>
  <si>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</si>
  <si>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</si>
  <si>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</si>
  <si>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</si>
  <si>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</si>
  <si>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</si>
  <si>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</si>
  <si>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</si>
  <si>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</si>
  <si>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</si>
  <si>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</si>
  <si>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</si>
  <si>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</si>
  <si>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</si>
  <si>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</si>
  <si>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</si>
  <si>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</si>
  <si>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</si>
  <si>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</si>
  <si>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</si>
  <si>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</si>
  <si>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</si>
  <si>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</si>
  <si>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</si>
  <si>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</si>
  <si>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</si>
  <si>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</si>
  <si>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</si>
  <si>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</si>
  <si>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</si>
  <si>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</si>
  <si>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</si>
  <si>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</si>
  <si>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</si>
  <si>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</si>
  <si>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</si>
  <si>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</si>
  <si>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</si>
  <si>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</si>
  <si>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</si>
  <si>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</si>
  <si>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</si>
  <si>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</si>
  <si>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</si>
  <si>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</si>
  <si>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</si>
  <si>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</si>
  <si>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</si>
  <si>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</si>
  <si>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</si>
  <si>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</si>
  <si>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</si>
  <si>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</si>
  <si>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</si>
  <si>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</si>
  <si>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</si>
  <si>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</si>
  <si>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</si>
  <si>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</si>
  <si>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</si>
  <si>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</si>
  <si>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</si>
  <si>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</si>
  <si>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</si>
  <si>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</si>
  <si>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</si>
  <si>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</si>
  <si>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</si>
  <si>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</si>
  <si>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</si>
  <si>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</si>
  <si>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</si>
  <si>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</si>
  <si>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</si>
  <si>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</si>
  <si>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</si>
  <si>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</si>
  <si>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</si>
  <si>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</si>
  <si>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</si>
  <si>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</si>
  <si>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</si>
  <si>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</si>
  <si>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</si>
  <si>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</si>
  <si>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</si>
  <si>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</si>
  <si>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</si>
  <si>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</si>
  <si>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</si>
  <si>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</si>
  <si>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</si>
  <si>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</si>
  <si>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</si>
  <si>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</si>
  <si>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</si>
  <si>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</si>
  <si>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</si>
  <si>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</si>
  <si>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</si>
  <si>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</si>
  <si>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</si>
  <si>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</si>
  <si>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</si>
  <si>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</si>
  <si>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</si>
  <si>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</si>
  <si>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</si>
  <si>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</si>
  <si>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</si>
  <si>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</si>
  <si>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</si>
  <si>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</si>
  <si>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</si>
  <si>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</si>
  <si>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</si>
  <si>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</si>
  <si>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</si>
  <si>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</si>
  <si>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</si>
  <si>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</si>
  <si>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</si>
  <si>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</si>
  <si>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</si>
  <si>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</si>
  <si>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</si>
  <si>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</si>
  <si>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</si>
  <si>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</si>
  <si>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</si>
  <si>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</si>
  <si>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</si>
  <si>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</si>
  <si>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</si>
  <si>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</si>
  <si>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</si>
  <si>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</si>
  <si>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</si>
  <si>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</si>
  <si>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</si>
  <si>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</si>
  <si>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</si>
  <si>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</si>
  <si>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</si>
  <si>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</si>
  <si>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</si>
  <si>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</si>
  <si>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</si>
  <si>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</si>
  <si>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</si>
  <si>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</si>
  <si>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</si>
  <si>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</si>
  <si>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</si>
  <si>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</si>
  <si>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</si>
  <si>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</si>
  <si>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</si>
  <si>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</si>
  <si>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</si>
  <si>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</si>
  <si>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</si>
  <si>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</si>
  <si>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</si>
  <si>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</si>
  <si>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</si>
  <si>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</si>
  <si>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</si>
  <si>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</si>
  <si>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</si>
  <si>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</si>
  <si>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</si>
  <si>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</si>
  <si>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</si>
  <si>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</si>
  <si>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</si>
  <si>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</si>
  <si>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</si>
  <si>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</si>
  <si>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</si>
  <si>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</si>
  <si>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</si>
  <si>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</si>
  <si>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</si>
  <si>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</si>
  <si>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</si>
  <si>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</si>
  <si>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</si>
  <si>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</si>
  <si>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</si>
  <si>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</si>
  <si>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</si>
  <si>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</si>
  <si>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</si>
  <si>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</si>
  <si>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</si>
  <si>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</si>
  <si>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</si>
  <si>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</si>
  <si>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</si>
  <si>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</si>
  <si>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</si>
  <si>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</si>
  <si>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</si>
  <si>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</si>
  <si>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</si>
  <si>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</si>
  <si>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</si>
  <si>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</si>
  <si>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</si>
  <si>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</si>
  <si>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</si>
  <si>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</si>
  <si>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</si>
  <si>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</si>
  <si>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</si>
  <si>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</si>
  <si>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</si>
  <si>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</si>
  <si>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</si>
  <si>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</si>
  <si>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</si>
  <si>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</si>
  <si>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</si>
  <si>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</si>
  <si>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</si>
  <si>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</si>
  <si>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</si>
  <si>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</si>
  <si>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</si>
  <si>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</si>
  <si>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</si>
  <si>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</si>
  <si>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</si>
  <si>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</si>
  <si>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</si>
  <si>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</si>
  <si>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</si>
  <si>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</si>
  <si>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</si>
  <si>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</si>
  <si>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</si>
  <si>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</si>
  <si>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</si>
  <si>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</si>
  <si>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</si>
  <si>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</si>
  <si>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</si>
  <si>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</si>
  <si>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</si>
  <si>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</si>
  <si>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</si>
  <si>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</si>
  <si>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</si>
  <si>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</si>
  <si>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</si>
  <si>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</si>
  <si>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</si>
  <si>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</si>
  <si>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</si>
  <si>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</si>
  <si>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</si>
  <si>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</si>
  <si>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</si>
  <si>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</si>
  <si>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</si>
  <si>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</si>
  <si>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</si>
  <si>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</si>
  <si>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</si>
  <si>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</si>
  <si>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</si>
  <si>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</si>
  <si>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</si>
  <si>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</si>
  <si>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</si>
  <si>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</si>
  <si>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</si>
  <si>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</si>
  <si>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</si>
  <si>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</si>
  <si>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</si>
  <si>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</si>
  <si>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</si>
  <si>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</si>
  <si>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</si>
  <si>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</si>
  <si>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</si>
  <si>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</si>
  <si>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</si>
  <si>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</si>
  <si>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</si>
  <si>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</si>
  <si>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</si>
  <si>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</si>
  <si>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</si>
  <si>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</si>
  <si>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</si>
  <si>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</si>
  <si>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</si>
  <si>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</si>
  <si>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</si>
  <si>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</si>
  <si>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</si>
  <si>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</si>
  <si>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</si>
  <si>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</si>
  <si>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</si>
  <si>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</si>
  <si>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</si>
  <si>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</si>
  <si>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</si>
  <si>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</si>
  <si>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</si>
  <si>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</si>
  <si>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</si>
  <si>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</si>
  <si>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</si>
  <si>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</si>
  <si>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</si>
  <si>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</si>
  <si>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</si>
  <si>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</si>
  <si>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</si>
  <si>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</si>
  <si>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</si>
  <si>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</si>
  <si>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</si>
  <si>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</si>
  <si>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</si>
  <si>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</si>
  <si>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</si>
  <si>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</si>
  <si>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</si>
  <si>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</si>
  <si>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</si>
  <si>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</si>
  <si>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</si>
  <si>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</si>
  <si>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</si>
  <si>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</si>
  <si>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</si>
  <si>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</si>
  <si>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</si>
  <si>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</si>
  <si>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</si>
  <si>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</si>
  <si>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</si>
  <si>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</si>
  <si>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</si>
  <si>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</si>
  <si>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</si>
  <si>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</si>
  <si>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</si>
  <si>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</si>
  <si>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</si>
  <si>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</si>
  <si>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</si>
  <si>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</si>
  <si>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</si>
  <si>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</si>
  <si>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</si>
  <si>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</si>
  <si>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</si>
  <si>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</si>
  <si>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</si>
  <si>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</si>
  <si>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</si>
  <si>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</si>
  <si>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</si>
  <si>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</si>
  <si>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</si>
  <si>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</si>
  <si>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</si>
  <si>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</si>
  <si>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</si>
  <si>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</si>
  <si>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</si>
  <si>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</si>
  <si>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</si>
  <si>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</si>
  <si>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</si>
  <si>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</si>
  <si>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</si>
  <si>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</si>
  <si>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</si>
  <si>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</si>
  <si>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</si>
  <si>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</si>
  <si>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</si>
  <si>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</si>
  <si>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</si>
  <si>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</si>
  <si>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</si>
  <si>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</si>
  <si>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</si>
  <si>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</si>
  <si>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</si>
  <si>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</si>
  <si>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</si>
  <si>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</si>
  <si>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</si>
  <si>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</si>
  <si>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</si>
  <si>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</si>
  <si>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</si>
  <si>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</si>
  <si>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</si>
  <si>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</si>
  <si>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</si>
  <si>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</si>
  <si>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</si>
  <si>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</si>
  <si>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</si>
  <si>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</si>
  <si>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</si>
  <si>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</si>
  <si>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</si>
  <si>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</si>
  <si>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</si>
  <si>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</si>
  <si>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</si>
  <si>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</si>
  <si>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</si>
  <si>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</si>
  <si>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</si>
  <si>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</si>
  <si>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</si>
  <si>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</si>
  <si>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</si>
  <si>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</si>
  <si>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</si>
  <si>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</si>
  <si>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</si>
  <si>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</si>
  <si>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</si>
  <si>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</si>
  <si>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</si>
  <si>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</si>
  <si>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</si>
  <si>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</si>
  <si>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</si>
  <si>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</si>
  <si>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</si>
  <si>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</si>
  <si>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</si>
  <si>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</si>
  <si>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</si>
  <si>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</si>
  <si>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</si>
  <si>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</si>
  <si>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</si>
  <si>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</si>
  <si>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</si>
  <si>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</si>
  <si>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</si>
  <si>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</si>
  <si>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</si>
  <si>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</si>
  <si>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</si>
  <si>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</si>
  <si>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</si>
  <si>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</si>
  <si>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</si>
  <si>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</si>
  <si>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</si>
  <si>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</si>
  <si>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</si>
  <si>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</si>
  <si>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</si>
  <si>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</si>
  <si>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</si>
  <si>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</si>
  <si>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</si>
  <si>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</si>
  <si>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</si>
  <si>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</si>
  <si>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</si>
  <si>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</si>
  <si>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</si>
  <si>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</si>
  <si>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</si>
  <si>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</si>
  <si>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</si>
  <si>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</si>
  <si>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</si>
  <si>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</si>
  <si>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</si>
  <si>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</si>
  <si>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</si>
  <si>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</si>
  <si>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</si>
  <si>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</si>
  <si>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</si>
  <si>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</si>
  <si>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</si>
  <si>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</si>
  <si>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</si>
  <si>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</si>
  <si>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</si>
  <si>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</si>
  <si>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</si>
  <si>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</si>
  <si>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</si>
  <si>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</si>
  <si>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</si>
  <si>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</si>
  <si>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</si>
  <si>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</si>
  <si>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</si>
  <si>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</si>
  <si>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</si>
  <si>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</si>
  <si>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</si>
  <si>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</si>
  <si>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</si>
  <si>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</si>
  <si>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</si>
  <si>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</si>
  <si>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</si>
  <si>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</si>
  <si>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</si>
  <si>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</si>
  <si>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</si>
  <si>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</si>
  <si>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</si>
  <si>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</si>
  <si>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</si>
  <si>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</si>
  <si>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</si>
  <si>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</si>
  <si>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</si>
  <si>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</si>
  <si>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</si>
  <si>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</si>
  <si>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</si>
  <si>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</si>
  <si>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</si>
  <si>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</si>
  <si>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</si>
  <si>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</si>
  <si>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</si>
  <si>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</si>
  <si>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</si>
  <si>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</si>
  <si>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</si>
  <si>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</si>
  <si>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</si>
  <si>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</si>
  <si>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</si>
  <si>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</si>
  <si>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</si>
  <si>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</si>
  <si>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</si>
  <si>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</si>
  <si>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</si>
  <si>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</si>
  <si>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</si>
  <si>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</si>
  <si>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</si>
  <si>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</si>
  <si>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</si>
  <si>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</si>
  <si>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</si>
  <si>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</si>
  <si>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</si>
  <si>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</si>
  <si>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</si>
  <si>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</si>
  <si>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</si>
  <si>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</si>
  <si>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</si>
  <si>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</si>
  <si>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</si>
  <si>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</si>
  <si>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</si>
  <si>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</si>
  <si>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</si>
  <si>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</si>
  <si>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</si>
  <si>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</si>
  <si>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</si>
  <si>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</si>
  <si>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</si>
  <si>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</si>
  <si>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</si>
  <si>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</si>
  <si>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</si>
  <si>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</si>
  <si>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</si>
  <si>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</si>
  <si>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</si>
  <si>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</si>
  <si>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</si>
  <si>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</si>
  <si>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</si>
  <si>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</si>
  <si>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</si>
  <si>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</si>
  <si>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</si>
  <si>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</si>
  <si>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</si>
  <si>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</si>
  <si>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</si>
  <si>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</si>
  <si>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</si>
  <si>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</si>
  <si>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</si>
  <si>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</si>
  <si>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</si>
  <si>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</si>
  <si>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</si>
  <si>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</si>
  <si>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</si>
  <si>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</si>
  <si>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</si>
  <si>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</si>
  <si>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</si>
  <si>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</si>
  <si>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</si>
  <si>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</si>
  <si>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</si>
  <si>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</si>
  <si>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</si>
  <si>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</si>
  <si>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</si>
  <si>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</si>
  <si>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</si>
  <si>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</si>
  <si>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</si>
  <si>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</si>
  <si>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</si>
  <si>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</si>
  <si>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</si>
  <si>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</si>
  <si>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</si>
  <si>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</si>
  <si>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</si>
  <si>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</si>
  <si>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</si>
  <si>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</si>
  <si>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</si>
  <si>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</si>
  <si>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</si>
  <si>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</si>
  <si>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</si>
  <si>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</si>
  <si>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</si>
  <si>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</si>
  <si>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</si>
  <si>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</si>
  <si>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</si>
  <si>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</si>
  <si>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</si>
  <si>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</si>
  <si>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</si>
  <si>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</si>
  <si>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</si>
  <si>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</si>
  <si>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</si>
  <si>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</si>
  <si>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</si>
  <si>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</si>
  <si>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</si>
  <si>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</si>
  <si>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</si>
  <si>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</si>
  <si>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</si>
  <si>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</si>
  <si>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</si>
  <si>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</si>
  <si>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</si>
  <si>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</si>
  <si>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</si>
  <si>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</si>
  <si>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</si>
  <si>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</si>
  <si>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</si>
  <si>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</si>
  <si>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</si>
  <si>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</si>
  <si>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</si>
  <si>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</si>
  <si>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</si>
  <si>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</si>
  <si>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</si>
  <si>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</si>
  <si>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</si>
  <si>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</si>
  <si>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</si>
  <si>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</si>
  <si>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</si>
  <si>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</si>
  <si>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</si>
  <si>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</si>
  <si>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</si>
  <si>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</si>
  <si>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</si>
  <si>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</si>
  <si>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</si>
  <si>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</si>
  <si>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</si>
  <si>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</si>
  <si>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</si>
  <si>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</si>
  <si>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</si>
  <si>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</si>
  <si>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</si>
  <si>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</si>
  <si>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</si>
  <si>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</si>
  <si>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</si>
  <si>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</si>
  <si>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</si>
  <si>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</si>
  <si>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</si>
  <si>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</si>
  <si>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</si>
  <si>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</si>
  <si>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</si>
  <si>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</si>
  <si>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</si>
  <si>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</si>
  <si>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</si>
  <si>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</si>
  <si>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</si>
  <si>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</si>
  <si>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</si>
  <si>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</si>
  <si>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</si>
  <si>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</si>
  <si>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</si>
  <si>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</si>
  <si>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</si>
  <si>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</si>
  <si>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</si>
  <si>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</si>
  <si>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</si>
  <si>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</si>
  <si>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</si>
  <si>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</si>
  <si>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</si>
  <si>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</si>
  <si>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</si>
  <si>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</si>
  <si>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</si>
  <si>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</si>
  <si>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</si>
  <si>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</si>
  <si>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</si>
  <si>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</si>
  <si>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</si>
  <si>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</si>
  <si>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</si>
  <si>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</si>
  <si>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</si>
  <si>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</si>
  <si>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</si>
  <si>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</si>
  <si>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</si>
  <si>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</si>
  <si>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</si>
  <si>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</si>
  <si>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</si>
  <si>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</si>
  <si>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</si>
  <si>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</si>
  <si>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</si>
  <si>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</si>
  <si>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</si>
  <si>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</si>
  <si>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</si>
  <si>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</si>
  <si>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</si>
  <si>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</si>
  <si>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</si>
  <si>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</si>
  <si>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</si>
  <si>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</si>
  <si>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</si>
  <si>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</si>
  <si>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</si>
  <si>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</si>
  <si>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</si>
  <si>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</si>
  <si>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</si>
  <si>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</si>
  <si>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</si>
  <si>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</si>
  <si>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</si>
  <si>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</si>
  <si>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</si>
  <si>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</si>
  <si>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</si>
  <si>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</si>
  <si>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</si>
  <si>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</si>
  <si>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</si>
  <si>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</si>
  <si>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</si>
  <si>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</si>
  <si>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</si>
  <si>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</si>
  <si>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</si>
  <si>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</si>
  <si>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</si>
  <si>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</si>
  <si>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</si>
  <si>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</si>
  <si>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</si>
  <si>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</si>
  <si>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</si>
  <si>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</si>
  <si>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</si>
  <si>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</si>
  <si>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</si>
  <si>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</si>
  <si>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</si>
  <si>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</si>
  <si>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</si>
  <si>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</si>
  <si>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</si>
  <si>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</si>
  <si>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</si>
  <si>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</si>
  <si>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</si>
  <si>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</si>
  <si>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</si>
  <si>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</si>
  <si>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</si>
  <si>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</si>
  <si>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</si>
  <si>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</si>
  <si>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</si>
  <si>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</si>
  <si>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</si>
  <si>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</si>
  <si>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</si>
  <si>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</si>
  <si>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</si>
  <si>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</si>
  <si>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</si>
  <si>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</si>
  <si>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</si>
  <si>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</si>
  <si>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</si>
  <si>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</si>
  <si>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</si>
  <si>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</si>
  <si>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</si>
  <si>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</si>
  <si>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</si>
  <si>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</si>
  <si>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</si>
  <si>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</si>
  <si>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</si>
  <si>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</si>
  <si>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</si>
  <si>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</si>
  <si>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</si>
  <si>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</si>
  <si>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</si>
  <si>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</si>
  <si>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</si>
  <si>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</si>
  <si>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</si>
  <si>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</si>
  <si>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</si>
  <si>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</si>
  <si>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</si>
  <si>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</si>
  <si>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</si>
  <si>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</si>
  <si>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</si>
  <si>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</si>
  <si>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</si>
  <si>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</si>
  <si>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</si>
  <si>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</si>
  <si>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</si>
  <si>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</si>
  <si>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</si>
  <si>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</si>
  <si>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</si>
  <si>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</si>
  <si>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</si>
  <si>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</si>
  <si>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</si>
  <si>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</si>
  <si>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</si>
  <si>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</si>
  <si>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</si>
  <si>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</si>
  <si>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</si>
  <si>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</si>
  <si>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</si>
  <si>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</si>
  <si>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</si>
  <si>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</si>
  <si>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</si>
  <si>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</si>
  <si>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</si>
  <si>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</si>
  <si>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</si>
  <si>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</si>
  <si>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</si>
  <si>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</si>
  <si>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</si>
  <si>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</si>
  <si>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</si>
  <si>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</si>
  <si>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</si>
  <si>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</si>
  <si>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</si>
  <si>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</si>
  <si>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</si>
  <si>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</si>
  <si>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</si>
  <si>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</si>
  <si>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</si>
  <si>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</si>
  <si>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</si>
  <si>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</si>
  <si>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</si>
  <si>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</si>
  <si>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</si>
  <si>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</si>
  <si>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</si>
  <si>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</si>
  <si>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</si>
  <si>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</si>
  <si>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</si>
  <si>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</si>
  <si>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</si>
  <si>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</si>
  <si>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</si>
  <si>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</si>
  <si>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</si>
  <si>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</si>
  <si>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</si>
  <si>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</si>
  <si>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</si>
  <si>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</si>
  <si>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</si>
  <si>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</si>
  <si>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</si>
  <si>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</si>
  <si>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</si>
  <si>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</si>
  <si>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</si>
  <si>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</si>
  <si>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</si>
  <si>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Corredera BL</t>
  </si>
  <si>
    <t>890x2100 mm</t>
  </si>
  <si>
    <t>35007 - Techo vista 2m, 1 ud.</t>
  </si>
  <si>
    <t>35040 - 60 Kgrs.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</si>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</sst>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515471</xdr:colOff>
      <xdr:row>13</xdr:row>
      <xdr:rowOff>33618</xdr:rowOff>
    </xdr:from>
    <xdr:to>
      <xdr:col>4</xdr:col>
      <xdr:colOff>696402</xdr:colOff>
      <xdr:row>24</xdr:row>
      <xdr:rowOff>98118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1AF0F-2567-F32D-5B39-271E21684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353" y="2655794"/>
          <a:ext cx="245572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34" sqref="C34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20250022</v>
      </c>
      <c r="G7" s="8">
        <f ca="1">TODAY()</f>
        <v>45691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141</v>
      </c>
      <c r="C13" s="79" t="str">
        <f>IFERROR(VLOOKUP($B13,Tarifa_all_20240711!$A$2:$G$660,2,FALSE()),"-")</f>
        <v>GUIA SUP TECHO PLUS LAC.BLANCO MATE 9003-2 MTS</v>
      </c>
      <c r="D13" s="79"/>
      <c r="E13" s="17">
        <v>1</v>
      </c>
      <c r="F13" s="18">
        <f>IFERROR(VLOOKUP($B13,Tarifa_all_20240711!$A$2:$G$660,5,FALSE()),"-")</f>
        <v>43.462500000000006</v>
      </c>
      <c r="G13" s="18">
        <f t="shared" ref="G13:G30" si="0">IFERROR(E13*F13,"-")</f>
        <v>43.462500000000006</v>
      </c>
      <c r="H13" s="1"/>
    </row>
    <row r="14" spans="1:12" x14ac:dyDescent="0.25">
      <c r="A14" t="s">
        <v>15</v>
      </c>
      <c r="B14" s="16" t="s">
        <v>1437</v>
      </c>
      <c r="C14" s="79" t="str">
        <f>IFERROR(VLOOKUP($B14,Tarifa_all_20240711!$A$2:$G$660,2,FALSE()),"-")</f>
        <v>TAPETA LAT. GUIA TECHO BLANCO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125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371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318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136</v>
      </c>
      <c r="C21" s="79" t="str">
        <f>IFERROR(VLOOKUP($B21,Tarifa_all_20240711!$A$2:$G$660,2,FALSE()),"-")</f>
        <v>PERFIL EMBELL.HORIZ. ADH LAC.BLANCO MATE 9003</v>
      </c>
      <c r="D21" s="79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1"/>
    </row>
    <row r="22" spans="1:8" x14ac:dyDescent="0.25">
      <c r="B22" s="16"/>
      <c r="C22" s="79" t="str">
        <f>IFERROR(VLOOKUP($B22,Tarifa_all_20240711!$A$2:$G$660,2,FALSE()),"-")</f>
        <v>-</v>
      </c>
      <c r="D22" s="79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438.64499999999998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Biselats Alcoi</v>
      </c>
      <c r="C9" s="86"/>
      <c r="D9" s="86"/>
      <c r="F9" s="3" t="s">
        <v>81</v>
      </c>
      <c r="G9" s="44">
        <f ca="1">TODAY()</f>
        <v>45691</v>
      </c>
    </row>
    <row r="10" spans="1:7" x14ac:dyDescent="0.25">
      <c r="A10" s="3" t="s">
        <v>82</v>
      </c>
      <c r="B10" s="11" t="str">
        <f>'DESPIECE (MATANALYSIS)'!C9</f>
        <v>Corredera BL</v>
      </c>
      <c r="C10" s="45"/>
      <c r="D10" s="45"/>
      <c r="E10" s="46"/>
      <c r="F10" s="47" t="s">
        <v>83</v>
      </c>
      <c r="G10" s="7">
        <f>'DESPIECE (MATANALYSIS)'!C7</f>
        <v>20250022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438.64499999999998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2025-02-03T09:08:55Z</dcterms:modified>
  <dc:language>es-ES</dc:language>
</cp:coreProperties>
</file>