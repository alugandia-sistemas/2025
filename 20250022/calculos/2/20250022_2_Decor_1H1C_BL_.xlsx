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22\calculos\2\"/>
    </mc:Choice>
  </mc:AlternateContent>
  <xr:revisionPtr revIDLastSave="0" documentId="13_ncr:1_{A48CD39B-063E-4BB0-B966-EB33A99263E5}" xr6:coauthVersionLast="47" xr6:coauthVersionMax="47" xr10:uidLastSave="{00000000-0000-0000-0000-000000000000}"/>
  <bookViews>
    <workbookView xWindow="-28920" yWindow="-120" windowWidth="29040" windowHeight="15720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<sst xmlns="http://schemas.openxmlformats.org/spreadsheetml/2006/main" count="5404" uniqueCount="1455">
  <si>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</si>
  <si>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</si>
  <si>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</si>
  <si>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</si>
  <si>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</si>
  <si>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</si>
  <si>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</si>
  <si>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</si>
  <si>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</si>
  <si>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</si>
  <si>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</si>
  <si>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</si>
  <si>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</si>
  <si>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</si>
  <si>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</si>
  <si>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</si>
  <si>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</si>
  <si>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</si>
  <si>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</si>
  <si>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</si>
  <si>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</si>
  <si>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</si>
  <si>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</si>
  <si>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</si>
  <si>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</si>
  <si>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</si>
  <si>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</si>
  <si>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</si>
  <si>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</si>
  <si>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</si>
  <si>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</si>
  <si>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</si>
  <si>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</si>
  <si>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</si>
  <si>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</si>
  <si>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</si>
  <si>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</si>
  <si>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</si>
  <si>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</si>
  <si>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</si>
  <si>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</si>
  <si>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</si>
  <si>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</si>
  <si>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</si>
  <si>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</si>
  <si>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</si>
  <si>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</si>
  <si>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</si>
  <si>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</si>
  <si>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</si>
  <si>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</si>
  <si>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</si>
  <si>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</si>
  <si>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</si>
  <si>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</si>
  <si>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</si>
  <si>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</si>
  <si>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</si>
  <si>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</si>
  <si>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</si>
  <si>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</si>
  <si>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</si>
  <si>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</si>
  <si>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</si>
  <si>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</si>
  <si>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</si>
  <si>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</si>
  <si>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</si>
  <si>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</si>
  <si>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</si>
  <si>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</si>
  <si>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</si>
  <si>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</si>
  <si>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</si>
  <si>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</si>
  <si>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</si>
  <si>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</si>
  <si>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</si>
  <si>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</si>
  <si>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</si>
  <si>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</si>
  <si>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</si>
  <si>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</si>
  <si>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</si>
  <si>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</si>
  <si>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</si>
  <si>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</si>
  <si>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</si>
  <si>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</si>
  <si>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</si>
  <si>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</si>
  <si>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</si>
  <si>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</si>
  <si>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</si>
  <si>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</si>
  <si>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</si>
  <si>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</si>
  <si>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</si>
  <si>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</si>
  <si>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</si>
  <si>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</si>
  <si>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</si>
  <si>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</si>
  <si>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</si>
  <si>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</si>
  <si>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</si>
  <si>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</si>
  <si>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</si>
  <si>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</si>
  <si>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</si>
  <si>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</si>
  <si>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</si>
  <si>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</si>
  <si>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</si>
  <si>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</si>
  <si>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</si>
  <si>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</si>
  <si>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</si>
  <si>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</si>
  <si>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</si>
  <si>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</si>
  <si>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</si>
  <si>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</si>
  <si>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</si>
  <si>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</si>
  <si>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</si>
  <si>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</si>
  <si>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</si>
  <si>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</si>
  <si>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</si>
  <si>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</si>
  <si>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</si>
  <si>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</si>
  <si>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</si>
  <si>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</si>
  <si>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</si>
  <si>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</si>
  <si>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</si>
  <si>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</si>
  <si>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</si>
  <si>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</si>
  <si>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</si>
  <si>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</si>
  <si>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</si>
  <si>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</si>
  <si>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</si>
  <si>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</si>
  <si>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</si>
  <si>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</si>
  <si>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</si>
  <si>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</si>
  <si>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</si>
  <si>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</si>
  <si>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</si>
  <si>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</si>
  <si>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</si>
  <si>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</si>
  <si>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</si>
  <si>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</si>
  <si>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</si>
  <si>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</si>
  <si>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</si>
  <si>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</si>
  <si>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</si>
  <si>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</si>
  <si>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</si>
  <si>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</si>
  <si>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</si>
  <si>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</si>
  <si>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</si>
  <si>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</si>
  <si>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</si>
  <si>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</si>
  <si>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</si>
  <si>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</si>
  <si>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</si>
  <si>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</si>
  <si>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</si>
  <si>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</si>
  <si>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</si>
  <si>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</si>
  <si>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</si>
  <si>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</si>
  <si>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</si>
  <si>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</si>
  <si>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</si>
  <si>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</si>
  <si>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</si>
  <si>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</si>
  <si>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</si>
  <si>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</si>
  <si>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</si>
  <si>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</si>
  <si>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</si>
  <si>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</si>
  <si>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</si>
  <si>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</si>
  <si>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</si>
  <si>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</si>
  <si>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</si>
  <si>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</si>
  <si>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</si>
  <si>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</si>
  <si>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</si>
  <si>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</si>
  <si>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</si>
  <si>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</si>
  <si>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</si>
  <si>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</si>
  <si>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</si>
  <si>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</si>
  <si>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</si>
  <si>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</si>
  <si>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</si>
  <si>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</si>
  <si>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</si>
  <si>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</si>
  <si>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</si>
  <si>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</si>
  <si>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</si>
  <si>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</si>
  <si>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</si>
  <si>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</si>
  <si>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</si>
  <si>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</si>
  <si>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</si>
  <si>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</si>
  <si>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</si>
  <si>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</si>
  <si>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</si>
  <si>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</si>
  <si>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</si>
  <si>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</si>
  <si>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</si>
  <si>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</si>
  <si>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</si>
  <si>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</si>
  <si>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</si>
  <si>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</si>
  <si>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</si>
  <si>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</si>
  <si>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</si>
  <si>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</si>
  <si>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</si>
  <si>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</si>
  <si>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</si>
  <si>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</si>
  <si>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</si>
  <si>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</si>
  <si>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</si>
  <si>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</si>
  <si>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</si>
  <si>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</si>
  <si>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</si>
  <si>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</si>
  <si>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</si>
  <si>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</si>
  <si>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</si>
  <si>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</si>
  <si>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</si>
  <si>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</si>
  <si>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</si>
  <si>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</si>
  <si>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</si>
  <si>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</si>
  <si>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</si>
  <si>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</si>
  <si>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</si>
  <si>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</si>
  <si>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</si>
  <si>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</si>
  <si>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</si>
  <si>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</si>
  <si>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</si>
  <si>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</si>
  <si>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</si>
  <si>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</si>
  <si>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</si>
  <si>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</si>
  <si>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</si>
  <si>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</si>
  <si>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</si>
  <si>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</si>
  <si>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</si>
  <si>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</si>
  <si>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</si>
  <si>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</si>
  <si>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</si>
  <si>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</si>
  <si>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</si>
  <si>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</si>
  <si>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</si>
  <si>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</si>
  <si>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</si>
  <si>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</si>
  <si>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</si>
  <si>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</si>
  <si>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</si>
  <si>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</si>
  <si>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</si>
  <si>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</si>
  <si>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</si>
  <si>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</si>
  <si>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</si>
  <si>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</si>
  <si>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</si>
  <si>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</si>
  <si>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</si>
  <si>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</si>
  <si>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</si>
  <si>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</si>
  <si>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</si>
  <si>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</si>
  <si>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</si>
  <si>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</si>
  <si>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</si>
  <si>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</si>
  <si>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</si>
  <si>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</si>
  <si>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</si>
  <si>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</si>
  <si>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</si>
  <si>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</si>
  <si>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</si>
  <si>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</si>
  <si>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</si>
  <si>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</si>
  <si>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</si>
  <si>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</si>
  <si>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</si>
  <si>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</si>
  <si>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</si>
  <si>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</si>
  <si>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</si>
  <si>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</si>
  <si>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</si>
  <si>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</si>
  <si>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</si>
  <si>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</si>
  <si>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</si>
  <si>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</si>
  <si>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</si>
  <si>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</si>
  <si>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</si>
  <si>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</si>
  <si>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</si>
  <si>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</si>
  <si>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</si>
  <si>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</si>
  <si>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</si>
  <si>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</si>
  <si>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</si>
  <si>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</si>
  <si>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</si>
  <si>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</si>
  <si>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</si>
  <si>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</si>
  <si>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</si>
  <si>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</si>
  <si>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</si>
  <si>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</si>
  <si>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</si>
  <si>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</si>
  <si>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</si>
  <si>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</si>
  <si>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</si>
  <si>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</si>
  <si>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</si>
  <si>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</si>
  <si>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</si>
  <si>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</si>
  <si>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</si>
  <si>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</si>
  <si>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</si>
  <si>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</si>
  <si>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</si>
  <si>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</si>
  <si>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</si>
  <si>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</si>
  <si>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</si>
  <si>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</si>
  <si>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</si>
  <si>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</si>
  <si>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</si>
  <si>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</si>
  <si>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</si>
  <si>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</si>
  <si>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</si>
  <si>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</si>
  <si>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</si>
  <si>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</si>
  <si>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</si>
  <si>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</si>
  <si>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</si>
  <si>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</si>
  <si>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</si>
  <si>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</si>
  <si>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</si>
  <si>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</si>
  <si>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</si>
  <si>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</si>
  <si>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</si>
  <si>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</si>
  <si>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</si>
  <si>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</si>
  <si>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</si>
  <si>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</si>
  <si>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</si>
  <si>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</si>
  <si>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</si>
  <si>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</si>
  <si>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</si>
  <si>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</si>
  <si>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</si>
  <si>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</si>
  <si>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</si>
  <si>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</si>
  <si>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</si>
  <si>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</si>
  <si>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</si>
  <si>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</si>
  <si>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</si>
  <si>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</si>
  <si>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</si>
  <si>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</si>
  <si>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</si>
  <si>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</si>
  <si>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</si>
  <si>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</si>
  <si>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</si>
  <si>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</si>
  <si>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</si>
  <si>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</si>
  <si>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</si>
  <si>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</si>
  <si>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</si>
  <si>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</si>
  <si>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</si>
  <si>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</si>
  <si>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</si>
  <si>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</si>
  <si>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</si>
  <si>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</si>
  <si>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</si>
  <si>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</si>
  <si>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</si>
  <si>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</si>
  <si>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</si>
  <si>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</si>
  <si>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</si>
  <si>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</si>
  <si>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</si>
  <si>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</si>
  <si>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</si>
  <si>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</si>
  <si>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</si>
  <si>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</si>
  <si>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</si>
  <si>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</si>
  <si>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</si>
  <si>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</si>
  <si>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</si>
  <si>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</si>
  <si>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</si>
  <si>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</si>
  <si>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</si>
  <si>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</si>
  <si>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</si>
  <si>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</si>
  <si>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</si>
  <si>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</si>
  <si>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</si>
  <si>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</si>
  <si>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</si>
  <si>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</si>
  <si>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</si>
  <si>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</si>
  <si>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</si>
  <si>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</si>
  <si>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</si>
  <si>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</si>
  <si>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</si>
  <si>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</si>
  <si>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</si>
  <si>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</si>
  <si>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</si>
  <si>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</si>
  <si>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</si>
  <si>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</si>
  <si>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</si>
  <si>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</si>
  <si>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</si>
  <si>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</si>
  <si>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</si>
  <si>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</si>
  <si>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</si>
  <si>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</si>
  <si>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</si>
  <si>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</si>
  <si>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</si>
  <si>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</si>
  <si>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</si>
  <si>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</si>
  <si>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</si>
  <si>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</si>
  <si>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</si>
  <si>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</si>
  <si>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</si>
  <si>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</si>
  <si>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</si>
  <si>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</si>
  <si>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</si>
  <si>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</si>
  <si>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</si>
  <si>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</si>
  <si>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</si>
  <si>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</si>
  <si>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</si>
  <si>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</si>
  <si>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</si>
  <si>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</si>
  <si>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</si>
  <si>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</si>
  <si>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</si>
  <si>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</si>
  <si>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</si>
  <si>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</si>
  <si>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</si>
  <si>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</si>
  <si>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</si>
  <si>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</si>
  <si>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</si>
  <si>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</si>
  <si>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</si>
  <si>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</si>
  <si>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</si>
  <si>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</si>
  <si>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</si>
  <si>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</si>
  <si>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</si>
  <si>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</si>
  <si>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</si>
  <si>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</si>
  <si>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</si>
  <si>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</si>
  <si>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</si>
  <si>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</si>
  <si>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</si>
  <si>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</si>
  <si>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</si>
  <si>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</si>
  <si>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</si>
  <si>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</si>
  <si>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</si>
  <si>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</si>
  <si>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</si>
  <si>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</si>
  <si>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</si>
  <si>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</si>
  <si>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</si>
  <si>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</si>
  <si>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</si>
  <si>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</si>
  <si>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</si>
  <si>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</si>
  <si>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</si>
  <si>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</si>
  <si>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</si>
  <si>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</si>
  <si>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</si>
  <si>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</si>
  <si>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</si>
  <si>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</si>
  <si>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</si>
  <si>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</si>
  <si>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</si>
  <si>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</si>
  <si>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</si>
  <si>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</si>
  <si>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</si>
  <si>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</si>
  <si>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</si>
  <si>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</si>
  <si>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</si>
  <si>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</si>
  <si>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</si>
  <si>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</si>
  <si>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</si>
  <si>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</si>
  <si>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</si>
  <si>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</si>
  <si>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</si>
  <si>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</si>
  <si>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</si>
  <si>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</si>
  <si>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</si>
  <si>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</si>
  <si>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</si>
  <si>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</si>
  <si>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</si>
  <si>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</si>
  <si>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</si>
  <si>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</si>
  <si>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</si>
  <si>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</si>
  <si>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</si>
  <si>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</si>
  <si>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</si>
  <si>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</si>
  <si>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</si>
  <si>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</si>
  <si>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</si>
  <si>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</si>
  <si>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</si>
  <si>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</si>
  <si>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</si>
  <si>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</si>
  <si>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</si>
  <si>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</si>
  <si>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</si>
  <si>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</si>
  <si>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</si>
  <si>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</si>
  <si>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</si>
  <si>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</si>
  <si>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</si>
  <si>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</si>
  <si>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</si>
  <si>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</si>
  <si>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</si>
  <si>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</si>
  <si>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</si>
  <si>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</si>
  <si>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</si>
  <si>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</si>
  <si>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</si>
  <si>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</si>
  <si>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</si>
  <si>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</si>
  <si>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</si>
  <si>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</si>
  <si>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</si>
  <si>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</si>
  <si>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</si>
  <si>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</si>
  <si>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</si>
  <si>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</si>
  <si>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</si>
  <si>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</si>
  <si>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</si>
  <si>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</si>
  <si>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</si>
  <si>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</si>
  <si>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</si>
  <si>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</si>
  <si>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</si>
  <si>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</si>
  <si>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</si>
  <si>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</si>
  <si>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</si>
  <si>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</si>
  <si>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</si>
  <si>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</si>
  <si>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</si>
  <si>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</si>
  <si>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</si>
  <si>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</si>
  <si>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</si>
  <si>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</si>
  <si>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</si>
  <si>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</si>
  <si>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</si>
  <si>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</si>
  <si>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</si>
  <si>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</si>
  <si>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</si>
  <si>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</si>
  <si>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</si>
  <si>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</si>
  <si>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</si>
  <si>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</si>
  <si>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</si>
  <si>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</si>
  <si>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</si>
  <si>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</si>
  <si>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</si>
  <si>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</si>
  <si>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</si>
  <si>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</si>
  <si>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</si>
  <si>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</si>
  <si>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</si>
  <si>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</si>
  <si>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</si>
  <si>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</si>
  <si>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</si>
  <si>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</si>
  <si>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</si>
  <si>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</si>
  <si>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</si>
  <si>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</si>
  <si>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</si>
  <si>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</si>
  <si>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</si>
  <si>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</si>
  <si>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</si>
  <si>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</si>
  <si>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</si>
  <si>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</si>
  <si>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</si>
  <si>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</si>
  <si>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</si>
  <si>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</si>
  <si>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</si>
  <si>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</si>
  <si>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</si>
  <si>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</si>
  <si>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</si>
  <si>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</si>
  <si>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</si>
  <si>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</si>
  <si>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</si>
  <si>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</si>
  <si>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</si>
  <si>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</si>
  <si>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</si>
  <si>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</si>
  <si>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</si>
  <si>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</si>
  <si>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</si>
  <si>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</si>
  <si>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</si>
  <si>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</si>
  <si>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</si>
  <si>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</si>
  <si>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</si>
  <si>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</si>
  <si>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</si>
  <si>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</si>
  <si>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</si>
  <si>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</si>
  <si>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</si>
  <si>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</si>
  <si>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</si>
  <si>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</si>
  <si>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</si>
  <si>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</si>
  <si>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</si>
  <si>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</si>
  <si>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</si>
  <si>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</si>
  <si>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</si>
  <si>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</si>
  <si>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</si>
  <si>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</si>
  <si>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</si>
  <si>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</si>
  <si>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</si>
  <si>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</si>
  <si>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</si>
  <si>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</si>
  <si>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</si>
  <si>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</si>
  <si>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</si>
  <si>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</si>
  <si>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</si>
  <si>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</si>
  <si>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</si>
  <si>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</si>
  <si>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</si>
  <si>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</si>
  <si>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</si>
  <si>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</si>
  <si>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</si>
  <si>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</si>
  <si>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</si>
  <si>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</si>
  <si>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</si>
  <si>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</si>
  <si>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</si>
  <si>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</si>
  <si>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</si>
  <si>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</si>
  <si>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</si>
  <si>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</si>
  <si>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</si>
  <si>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</si>
  <si>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</si>
  <si>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</si>
  <si>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</si>
  <si>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</si>
  <si>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</si>
  <si>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</si>
  <si>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</si>
  <si>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</si>
  <si>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</si>
  <si>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</si>
  <si>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</si>
  <si>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</si>
  <si>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</si>
  <si>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</si>
  <si>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</si>
  <si>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</si>
  <si>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</si>
  <si>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</si>
  <si>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</si>
  <si>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</si>
  <si>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</si>
  <si>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</si>
  <si>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</si>
  <si>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</si>
  <si>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</si>
  <si>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</si>
  <si>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</si>
  <si>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</si>
  <si>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</si>
  <si>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</si>
  <si>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</si>
  <si>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</si>
  <si>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</si>
  <si>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</si>
  <si>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</si>
  <si>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</si>
  <si>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</si>
  <si>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</si>
  <si>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</si>
  <si>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</si>
  <si>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</si>
  <si>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</si>
  <si>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</si>
  <si>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</si>
  <si>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</si>
  <si>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</si>
  <si>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</si>
  <si>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</si>
  <si>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</si>
  <si>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</si>
  <si>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</si>
  <si>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</si>
  <si>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</si>
  <si>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</si>
  <si>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</si>
  <si>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</si>
  <si>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</si>
  <si>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</si>
  <si>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</si>
  <si>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</si>
  <si>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</si>
  <si>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</si>
  <si>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</si>
  <si>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</si>
  <si>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</si>
  <si>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</si>
  <si>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</si>
  <si>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</si>
  <si>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</si>
  <si>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</si>
  <si>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</si>
  <si>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</si>
  <si>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</si>
  <si>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</si>
  <si>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</si>
  <si>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</si>
  <si>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</si>
  <si>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</si>
  <si>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</si>
  <si>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</si>
  <si>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</si>
  <si>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</si>
  <si>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</si>
  <si>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</si>
  <si>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</si>
  <si>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</si>
  <si>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</si>
  <si>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</si>
  <si>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</si>
  <si>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</si>
  <si>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</si>
  <si>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</si>
  <si>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</si>
  <si>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</si>
  <si>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</si>
  <si>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</si>
  <si>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</si>
  <si>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</si>
  <si>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</si>
  <si>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</si>
  <si>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</si>
  <si>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</si>
  <si>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</si>
  <si>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</si>
  <si>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</si>
  <si>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</si>
  <si>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</si>
  <si>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</si>
  <si>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</si>
  <si>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</si>
  <si>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</si>
  <si>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</si>
  <si>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</si>
  <si>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</si>
  <si>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</si>
  <si>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</si>
  <si>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</si>
  <si>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</si>
  <si>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</si>
  <si>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</si>
  <si>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</si>
  <si>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</si>
  <si>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</si>
  <si>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</si>
  <si>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</si>
  <si>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</si>
  <si>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</si>
  <si>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</si>
  <si>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</si>
  <si>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</si>
  <si>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</si>
  <si>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</si>
  <si>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</si>
  <si>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</si>
  <si>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</si>
  <si>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</si>
  <si>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</si>
  <si>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</si>
  <si>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</si>
  <si>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</si>
  <si>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</si>
  <si>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</si>
  <si>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</si>
  <si>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</si>
  <si>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</si>
  <si>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</si>
  <si>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</si>
  <si>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</si>
  <si>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</si>
  <si>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</si>
  <si>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</si>
  <si>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</si>
  <si>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</si>
  <si>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</si>
  <si>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</si>
  <si>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</si>
  <si>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</si>
  <si>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</si>
  <si>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</si>
  <si>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</si>
  <si>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</si>
  <si>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</si>
  <si>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</si>
  <si>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</si>
  <si>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</si>
  <si>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</si>
  <si>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</si>
  <si>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</si>
  <si>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</si>
  <si>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</si>
  <si>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</si>
  <si>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</si>
  <si>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</si>
  <si>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</si>
  <si>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</si>
  <si>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</si>
  <si>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</si>
  <si>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</si>
  <si>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</si>
  <si>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</si>
  <si>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</si>
  <si>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</si>
  <si>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</si>
  <si>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</si>
  <si>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</si>
  <si>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</si>
  <si>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</si>
  <si>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</si>
  <si>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</si>
  <si>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</si>
  <si>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</si>
  <si>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</si>
  <si>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</si>
  <si>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</si>
  <si>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</si>
  <si>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</si>
  <si>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</si>
  <si>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</si>
  <si>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</si>
  <si>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</si>
  <si>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</si>
  <si>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</si>
  <si>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</si>
  <si>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</si>
  <si>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</si>
  <si>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</si>
  <si>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</si>
  <si>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</si>
  <si>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</si>
  <si>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</si>
  <si>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</si>
  <si>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</si>
  <si>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</si>
  <si>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</si>
  <si>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</si>
  <si>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</si>
  <si>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</si>
  <si>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</si>
  <si>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</si>
  <si>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</si>
  <si>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</si>
  <si>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</si>
  <si>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</si>
  <si>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</si>
  <si>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</si>
  <si>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</si>
  <si>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</si>
  <si>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</si>
  <si>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</si>
  <si>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</si>
  <si>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</si>
  <si>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</si>
  <si>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</si>
  <si>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</si>
  <si>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</si>
  <si>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</si>
  <si>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</si>
  <si>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</si>
  <si>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</si>
  <si>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</si>
  <si>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</si>
  <si>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</si>
  <si>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</si>
  <si>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</si>
  <si>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</si>
  <si>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</si>
  <si>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</si>
  <si>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</si>
  <si>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</si>
  <si>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</si>
  <si>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</si>
  <si>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</si>
  <si>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</si>
  <si>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</si>
  <si>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</si>
  <si>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</si>
  <si>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</si>
  <si>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</si>
  <si>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</si>
  <si>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</si>
  <si>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</si>
  <si>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</si>
  <si>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</si>
  <si>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</si>
  <si>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</si>
  <si>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</si>
  <si>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</si>
  <si>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</si>
  <si>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</si>
  <si>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</si>
  <si>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</si>
  <si>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</si>
  <si>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</si>
  <si>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</si>
  <si>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</si>
  <si>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</si>
  <si>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</si>
  <si>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</si>
  <si>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</si>
  <si>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</si>
  <si>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</si>
  <si>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</si>
  <si>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</si>
  <si>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</si>
  <si>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</si>
  <si>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</si>
  <si>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</si>
  <si>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</si>
  <si>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</si>
  <si>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</si>
  <si>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</si>
  <si>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</si>
  <si>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</si>
  <si>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</si>
  <si>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</si>
  <si>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</si>
  <si>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</si>
  <si>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</si>
  <si>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</si>
  <si>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</si>
  <si>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</si>
  <si>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</si>
  <si>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</si>
  <si>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</si>
  <si>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</si>
  <si>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</si>
  <si>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</si>
  <si>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</si>
  <si>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</si>
  <si>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</si>
  <si>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</si>
  <si>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</si>
  <si>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</si>
  <si>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</si>
  <si>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</si>
  <si>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</si>
  <si>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</si>
  <si>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</si>
  <si>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</si>
  <si>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</si>
  <si>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</si>
  <si>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</si>
  <si>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</si>
  <si>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</si>
  <si>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</si>
  <si>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</si>
  <si>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</si>
  <si>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</si>
  <si>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</si>
  <si>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</si>
  <si>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</si>
  <si>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</si>
  <si>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</si>
  <si>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</si>
  <si>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</si>
  <si>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</si>
  <si>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</si>
  <si>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</si>
  <si>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</si>
  <si>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</si>
  <si>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</si>
  <si>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</si>
  <si>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</si>
  <si>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</si>
  <si>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</si>
  <si>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</si>
  <si>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</si>
  <si>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</si>
  <si>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</si>
  <si>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</si>
  <si>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</si>
  <si>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</si>
  <si>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</si>
  <si>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</si>
  <si>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</si>
  <si>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</si>
  <si>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</si>
  <si>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</si>
  <si>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</si>
  <si>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</si>
  <si>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</si>
  <si>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</si>
  <si>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</si>
  <si>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</si>
  <si>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</si>
  <si>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</si>
  <si>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</si>
  <si>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</si>
  <si>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</si>
  <si>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</si>
  <si>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</si>
  <si>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</si>
  <si>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</si>
  <si>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</si>
  <si>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</si>
  <si>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</si>
  <si>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</si>
  <si>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</si>
  <si>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</si>
  <si>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</si>
  <si>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</si>
  <si>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</si>
  <si>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</si>
  <si>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</si>
  <si>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</si>
  <si>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</si>
  <si>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</si>
  <si>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</si>
  <si>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</si>
  <si>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</si>
  <si>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</si>
  <si>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</si>
  <si>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</si>
  <si>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</si>
  <si>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</si>
  <si>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</si>
  <si>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</si>
  <si>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</si>
  <si>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</si>
  <si>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</si>
  <si>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</si>
  <si>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</si>
  <si>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</si>
  <si>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</si>
  <si>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</si>
  <si>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</si>
  <si>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</si>
  <si>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</si>
  <si>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</si>
  <si>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</si>
  <si>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</si>
  <si>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</si>
  <si>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</si>
  <si>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</si>
  <si>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</si>
  <si>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</si>
  <si>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</si>
  <si>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</si>
  <si>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</si>
  <si>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</si>
  <si>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</si>
  <si>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</si>
  <si>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</si>
  <si>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</si>
  <si>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</si>
  <si>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</si>
  <si>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</si>
  <si>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</si>
  <si>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</si>
  <si>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</si>
  <si>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</si>
  <si>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</si>
  <si>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</si>
  <si>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</si>
  <si>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</si>
  <si>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</si>
  <si>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</si>
  <si>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</si>
  <si>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</si>
  <si>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</si>
  <si>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</si>
  <si>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</si>
  <si>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</si>
  <si>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</si>
  <si>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</si>
  <si>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</si>
  <si>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</si>
  <si>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</si>
  <si>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</si>
  <si>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</si>
  <si>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</si>
  <si>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</si>
  <si>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</si>
  <si>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</si>
  <si>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</si>
  <si>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</si>
  <si>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</si>
  <si>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</si>
  <si>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</si>
  <si>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</si>
  <si>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</si>
  <si>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</si>
  <si>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</si>
  <si>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</si>
  <si>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</si>
  <si>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</si>
  <si>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</si>
  <si>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</si>
  <si>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</si>
  <si>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</si>
  <si>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</si>
  <si>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</si>
  <si>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</si>
  <si>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</si>
  <si>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</si>
  <si>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</si>
  <si>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</si>
  <si>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</si>
  <si>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</si>
  <si>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</si>
  <si>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</si>
  <si>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</si>
  <si>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</si>
  <si>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</si>
  <si>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</si>
  <si>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</si>
  <si>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</si>
  <si>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</si>
  <si>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</si>
  <si>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</si>
  <si>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</si>
  <si>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</si>
  <si>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</si>
  <si>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</si>
  <si>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</si>
  <si>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</si>
  <si>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</si>
  <si>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</si>
  <si>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</si>
  <si>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</si>
  <si>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</si>
  <si>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</si>
  <si>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</si>
  <si>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</si>
  <si>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</si>
  <si>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</si>
  <si>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</si>
  <si>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</si>
  <si>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</si>
  <si>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</si>
  <si>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</si>
  <si>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</si>
  <si>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</si>
  <si>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</si>
  <si>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</si>
  <si>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</si>
  <si>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</si>
  <si>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</si>
  <si>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</si>
  <si>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</si>
  <si>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</si>
  <si>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</si>
  <si>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</si>
  <si>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</si>
  <si>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</si>
  <si>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</si>
  <si>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</si>
  <si>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</si>
  <si>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</si>
  <si>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</si>
  <si>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</si>
  <si>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</si>
  <si>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</si>
  <si>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</si>
  <si>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</si>
  <si>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</si>
  <si>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</si>
  <si>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</si>
  <si>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</si>
  <si>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</si>
  <si>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</si>
  <si>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</si>
  <si>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</si>
  <si>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</si>
  <si>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</si>
  <si>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</si>
  <si>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</si>
  <si>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</si>
  <si>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</si>
  <si>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</si>
  <si>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</si>
  <si>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</si>
  <si>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</si>
  <si>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</si>
  <si>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</si>
  <si>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</si>
  <si>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</si>
  <si>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</si>
  <si>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</si>
  <si>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</si>
  <si>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</si>
  <si>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</si>
  <si>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</si>
  <si>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</si>
  <si>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</si>
  <si>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</si>
  <si>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</si>
  <si>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</si>
  <si>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</si>
  <si>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</si>
  <si>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</si>
  <si>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</si>
  <si>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</si>
  <si>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</si>
  <si>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</si>
  <si>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</si>
  <si>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</si>
  <si>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</si>
  <si>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</si>
  <si>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</si>
  <si>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</si>
  <si>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</si>
  <si>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</si>
  <si>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</si>
  <si>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</si>
  <si>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</si>
  <si>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</si>
  <si>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</si>
  <si>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</si>
  <si>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</si>
  <si>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</si>
  <si>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</si>
  <si>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</si>
  <si>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</si>
  <si>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</si>
  <si>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</si>
  <si>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</si>
  <si>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</si>
  <si>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</si>
  <si>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</si>
  <si>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</si>
  <si>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</si>
  <si>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</si>
  <si>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</si>
  <si>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</si>
  <si>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</si>
  <si>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</si>
  <si>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</si>
  <si>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</si>
  <si>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</si>
  <si>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</si>
  <si>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</si>
  <si>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</si>
  <si>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</si>
  <si>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</si>
  <si>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</si>
  <si>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</si>
  <si>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</si>
  <si>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</si>
  <si>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</si>
  <si>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</si>
  <si>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</si>
  <si>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</si>
  <si>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</si>
  <si>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</si>
  <si>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</si>
  <si>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</si>
  <si>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</si>
  <si>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</si>
  <si>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</si>
  <si>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</si>
  <si>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</si>
  <si>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</si>
  <si>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</si>
  <si>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</si>
  <si>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</si>
  <si>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</si>
  <si>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</si>
  <si>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</si>
  <si>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</si>
  <si>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</si>
  <si>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</si>
  <si>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</si>
  <si>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</si>
  <si>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</si>
  <si>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</si>
  <si>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</si>
  <si>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</si>
  <si>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</si>
  <si>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</si>
  <si>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</si>
  <si>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</si>
  <si>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</si>
  <si>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</si>
  <si>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</si>
  <si>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</si>
  <si>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</si>
  <si>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</si>
  <si>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</si>
  <si>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</si>
  <si>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Biselats Alcoi</t>
  </si>
  <si>
    <t>Corredera BL</t>
  </si>
  <si>
    <t>890x2100 mm</t>
  </si>
  <si>
    <t>35040 - 60 Kgrs.</t>
  </si>
  <si>
    <t>35037 - 60 KGrs</t>
  </si>
  <si>
    <t>35054 - CAVE adhesivo</t>
  </si>
  <si>
    <t>Inferior</t>
  </si>
  <si>
    <t>35008 - Guía a Pared 2m, 1 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</si>
</sst>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515471</xdr:colOff>
      <xdr:row>13</xdr:row>
      <xdr:rowOff>33618</xdr:rowOff>
    </xdr:from>
    <xdr:to>
      <xdr:col>4</xdr:col>
      <xdr:colOff>696402</xdr:colOff>
      <xdr:row>24</xdr:row>
      <xdr:rowOff>98118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01AF0F-2567-F32D-5B39-271E21684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353" y="2655794"/>
          <a:ext cx="2455725" cy="2160000"/>
        </a:xfrm>
        <a:prstGeom prst="rect">
          <a:avLst/>
        </a:prstGeom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opLeftCell="A3" zoomScale="95" zoomScaleNormal="95" workbookViewId="0">
      <selection activeCell="B21" sqref="B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20250022</v>
      </c>
      <c r="G7" s="8">
        <f ca="1">TODAY()</f>
        <v>45706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173</v>
      </c>
      <c r="C13" s="79" t="str">
        <f>IFERROR(VLOOKUP($B13,Tarifa_all_20240711!$A$2:$G$660,2,FALSE()),"-")</f>
        <v>GUIA SUP PARED PLUS LAC.BLANCO MATE 9003-2 MTS</v>
      </c>
      <c r="D13" s="79"/>
      <c r="E13" s="17">
        <v>1</v>
      </c>
      <c r="F13" s="18">
        <f>IFERROR(VLOOKUP($B13,Tarifa_all_20240711!$A$2:$G$660,5,FALSE()),"-")</f>
        <v>61.47</v>
      </c>
      <c r="G13" s="18">
        <f t="shared" ref="G13:G30" si="0">IFERROR(E13*F13,"-")</f>
        <v>61.47</v>
      </c>
      <c r="H13" s="1"/>
    </row>
    <row r="14" spans="1:12" x14ac:dyDescent="0.25">
      <c r="A14" t="s">
        <v>15</v>
      </c>
      <c r="B14" s="16" t="s">
        <v>1421</v>
      </c>
      <c r="C14" s="79" t="str">
        <f>IFERROR(VLOOKUP($B14,Tarifa_all_20240711!$A$2:$G$660,2,FALSE()),"-")</f>
        <v>TAPETA LAT. GUIA SKY PARED PLUS DERECHA BLANCO</v>
      </c>
      <c r="D14" s="79"/>
      <c r="E14" s="17">
        <v>1</v>
      </c>
      <c r="F14" s="18">
        <f>IFERROR(VLOOKUP($B14,Tarifa_all_20240711!$A$2:$G$660,5,FALSE()),"-")</f>
        <v>12.585000000000001</v>
      </c>
      <c r="G14" s="18">
        <f t="shared" si="0"/>
        <v>12.585000000000001</v>
      </c>
      <c r="H14" s="1"/>
    </row>
    <row r="15" spans="1:12" x14ac:dyDescent="0.25">
      <c r="A15" t="s">
        <v>16</v>
      </c>
      <c r="B15" s="16" t="s">
        <v>1425</v>
      </c>
      <c r="C15" s="79" t="str">
        <f>IFERROR(VLOOKUP($B15,Tarifa_all_20240711!$A$2:$G$660,2,FALSE()),"-")</f>
        <v>TAPETA LAT. GUIA SKY PARED PLUS IZQUIERDA BLANCO</v>
      </c>
      <c r="D15" s="79"/>
      <c r="E15" s="17">
        <v>1</v>
      </c>
      <c r="F15" s="18">
        <f>IFERROR(VLOOKUP($B15,Tarifa_all_20240711!$A$2:$G$660,5,FALSE()),"-")</f>
        <v>12.585000000000001</v>
      </c>
      <c r="G15" s="18">
        <f t="shared" si="0"/>
        <v>12.585000000000001</v>
      </c>
      <c r="H15" s="1"/>
    </row>
    <row r="16" spans="1:12" x14ac:dyDescent="0.25">
      <c r="A16" t="s">
        <v>17</v>
      </c>
      <c r="B16" s="16" t="s">
        <v>337</v>
      </c>
      <c r="C16" s="79" t="str">
        <f>IFERROR(VLOOKUP($B16,Tarifa_all_20240711!$A$2:$G$660,2,FALSE()),"-")</f>
        <v>KIT AMORTIGUADOR SKY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125</v>
      </c>
      <c r="C17" s="79" t="str">
        <f>IFERROR(VLOOKUP($B17,Tarifa_all_20240711!$A$2:$G$660,2,FALSE()),"-")</f>
        <v>KIT PUERTA PA CORREDERA LAC.BLANCO MATE 9003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331</v>
      </c>
      <c r="C18" s="79" t="str">
        <f>IFERROR(VLOOKUP($B18,Tarifa_all_20240711!$A$2:$G$660,2,FALSE()),"-")</f>
        <v>CARRO SKY MADERA 60KG</v>
      </c>
      <c r="D18" s="79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371</v>
      </c>
      <c r="C19" s="79" t="str">
        <f>IFERROR(VLOOKUP($B19,Tarifa_all_20240711!$A$2:$G$660,2,FALSE()),"-")</f>
        <v>TIRADOR RECT.ADH CAVE LAC.BLANCO MATE 9003: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318</v>
      </c>
      <c r="C20" s="79" t="str">
        <f>IFERROR(VLOOKUP($B20,Tarifa_all_20240711!$A$2:$G$660,2,FALSE()),"-")</f>
        <v>GUIADOR FIJO PA LAC.BLANCO MATE 9003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136</v>
      </c>
      <c r="C21" s="79" t="str">
        <f>IFERROR(VLOOKUP($B21,Tarifa_all_20240711!$A$2:$G$660,2,FALSE()),"-")</f>
        <v>PERFIL EMBELL.HORIZ. ADH LAC.BLANCO MATE 9003</v>
      </c>
      <c r="D21" s="79"/>
      <c r="E21" s="17">
        <v>2</v>
      </c>
      <c r="F21" s="18">
        <f>IFERROR(VLOOKUP($B21,Tarifa_all_20240711!$A$2:$G$660,5,FALSE()),"-")</f>
        <v>21.794999999999998</v>
      </c>
      <c r="G21" s="18">
        <f t="shared" si="0"/>
        <v>43.589999999999996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460.85250000000002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topLeftCell="A12" zoomScale="85" zoomScaleNormal="85" workbookViewId="0">
      <selection activeCell="J34" sqref="J34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Biselats Alcoi</v>
      </c>
      <c r="C9" s="86"/>
      <c r="D9" s="86"/>
      <c r="F9" s="3" t="s">
        <v>81</v>
      </c>
      <c r="G9" s="44">
        <f ca="1">TODAY()</f>
        <v>45706</v>
      </c>
    </row>
    <row r="10" spans="1:7" x14ac:dyDescent="0.25">
      <c r="A10" s="3" t="s">
        <v>82</v>
      </c>
      <c r="B10" s="11" t="str">
        <f>'DESPIECE (MATANALYSIS)'!C9</f>
        <v>Corredera BL</v>
      </c>
      <c r="C10" s="45"/>
      <c r="D10" s="45"/>
      <c r="E10" s="46"/>
      <c r="F10" s="47" t="s">
        <v>83</v>
      </c>
      <c r="G10" s="7">
        <f>'DESPIECE (MATANALYSIS)'!C7</f>
        <v>20250022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1454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1450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1451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1452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1453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95</v>
      </c>
      <c r="B47" s="82"/>
      <c r="C47" s="59"/>
      <c r="D47" s="59"/>
      <c r="E47" s="59"/>
      <c r="F47" s="83">
        <f>'DESPIECE (MATANALYSIS)'!G31</f>
        <v>460.85250000000002</v>
      </c>
      <c r="G47" s="83"/>
    </row>
    <row r="48" spans="1:7" s="1" customFormat="1" ht="22.7" customHeight="1" x14ac:dyDescent="0.25">
      <c r="A48" s="84" t="s">
        <v>96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2025-02-18T08:51:05Z</dcterms:modified>
  <dc:language>es-ES</dc:language>
</cp:coreProperties>
</file>