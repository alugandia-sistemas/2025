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8\calculos\1\"/>
    </mc:Choice>
  </mc:AlternateContent>
  <xr:revisionPtr revIDLastSave="0" documentId="13_ncr:1_{96D3D123-FCF4-4204-911C-F2DF8965E382}" xr6:coauthVersionLast="47" xr6:coauthVersionMax="47" xr10:uidLastSave="{00000000-0000-0000-0000-000000000000}"/>
  <bookViews>
    <workbookView xWindow="2355" yWindow="525" windowWidth="20250" windowHeight="1423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<sst xmlns="http://schemas.openxmlformats.org/spreadsheetml/2006/main" count="5402" uniqueCount="1453">
  <si>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</si>
  <si>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</si>
  <si>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</si>
  <si>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</si>
  <si>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</si>
  <si>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</si>
  <si>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</si>
  <si>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</si>
  <si>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</si>
  <si>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</si>
  <si>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</si>
  <si>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</si>
  <si>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</si>
  <si>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</si>
  <si>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</si>
  <si>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</si>
  <si>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</si>
  <si>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</si>
  <si>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</si>
  <si>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</si>
  <si>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</si>
  <si>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</si>
  <si>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</si>
  <si>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</si>
  <si>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</si>
  <si>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</si>
  <si>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</si>
  <si>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</si>
  <si>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</si>
  <si>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</si>
  <si>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</si>
  <si>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</si>
  <si>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</si>
  <si>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</si>
  <si>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</si>
  <si>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</si>
  <si>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</si>
  <si>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</si>
  <si>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</si>
  <si>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</si>
  <si>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</si>
  <si>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</si>
  <si>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</si>
  <si>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</si>
  <si>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</si>
  <si>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</si>
  <si>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</si>
  <si>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</si>
  <si>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</si>
  <si>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</si>
  <si>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</si>
  <si>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</si>
  <si>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</si>
  <si>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</si>
  <si>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</si>
  <si>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</si>
  <si>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</si>
  <si>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</si>
  <si>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</si>
  <si>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</si>
  <si>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</si>
  <si>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</si>
  <si>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</si>
  <si>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</si>
  <si>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</si>
  <si>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</si>
  <si>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</si>
  <si>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</si>
  <si>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</si>
  <si>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</si>
  <si>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</si>
  <si>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</si>
  <si>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</si>
  <si>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</si>
  <si>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</si>
  <si>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</si>
  <si>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</si>
  <si>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</si>
  <si>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</si>
  <si>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</si>
  <si>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</si>
  <si>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</si>
  <si>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</si>
  <si>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</si>
  <si>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</si>
  <si>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</si>
  <si>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</si>
  <si>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</si>
  <si>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</si>
  <si>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</si>
  <si>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</si>
  <si>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</si>
  <si>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</si>
  <si>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</si>
  <si>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</si>
  <si>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</si>
  <si>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</si>
  <si>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</si>
  <si>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</si>
  <si>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</si>
  <si>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</si>
  <si>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</si>
  <si>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</si>
  <si>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</si>
  <si>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</si>
  <si>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</si>
  <si>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</si>
  <si>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</si>
  <si>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</si>
  <si>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</si>
  <si>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</si>
  <si>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</si>
  <si>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</si>
  <si>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</si>
  <si>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</si>
  <si>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</si>
  <si>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</si>
  <si>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</si>
  <si>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</si>
  <si>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</si>
  <si>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</si>
  <si>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</si>
  <si>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</si>
  <si>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</si>
  <si>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</si>
  <si>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</si>
  <si>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</si>
  <si>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</si>
  <si>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</si>
  <si>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</si>
  <si>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</si>
  <si>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</si>
  <si>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</si>
  <si>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</si>
  <si>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</si>
  <si>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</si>
  <si>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</si>
  <si>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</si>
  <si>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</si>
  <si>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</si>
  <si>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</si>
  <si>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</si>
  <si>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</si>
  <si>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</si>
  <si>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</si>
  <si>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</si>
  <si>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</si>
  <si>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</si>
  <si>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</si>
  <si>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</si>
  <si>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</si>
  <si>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</si>
  <si>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</si>
  <si>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</si>
  <si>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</si>
  <si>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</si>
  <si>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</si>
  <si>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</si>
  <si>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</si>
  <si>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</si>
  <si>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</si>
  <si>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</si>
  <si>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</si>
  <si>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</si>
  <si>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</si>
  <si>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</si>
  <si>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</si>
  <si>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</si>
  <si>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</si>
  <si>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</si>
  <si>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</si>
  <si>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</si>
  <si>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</si>
  <si>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</si>
  <si>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</si>
  <si>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</si>
  <si>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</si>
  <si>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</si>
  <si>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</si>
  <si>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</si>
  <si>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</si>
  <si>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</si>
  <si>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</si>
  <si>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</si>
  <si>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</si>
  <si>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</si>
  <si>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</si>
  <si>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</si>
  <si>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</si>
  <si>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</si>
  <si>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</si>
  <si>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</si>
  <si>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</si>
  <si>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</si>
  <si>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</si>
  <si>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</si>
  <si>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</si>
  <si>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</si>
  <si>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</si>
  <si>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</si>
  <si>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</si>
  <si>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</si>
  <si>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</si>
  <si>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</si>
  <si>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</si>
  <si>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</si>
  <si>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</si>
  <si>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</si>
  <si>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</si>
  <si>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</si>
  <si>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</si>
  <si>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</si>
  <si>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</si>
  <si>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</si>
  <si>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</si>
  <si>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</si>
  <si>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</si>
  <si>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</si>
  <si>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</si>
  <si>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</si>
  <si>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</si>
  <si>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</si>
  <si>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</si>
  <si>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</si>
  <si>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</si>
  <si>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</si>
  <si>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</si>
  <si>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</si>
  <si>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</si>
  <si>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</si>
  <si>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</si>
  <si>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</si>
  <si>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</si>
  <si>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</si>
  <si>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</si>
  <si>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</si>
  <si>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</si>
  <si>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</si>
  <si>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</si>
  <si>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</si>
  <si>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</si>
  <si>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</si>
  <si>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</si>
  <si>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</si>
  <si>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</si>
  <si>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</si>
  <si>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</si>
  <si>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</si>
  <si>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</si>
  <si>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</si>
  <si>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</si>
  <si>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</si>
  <si>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</si>
  <si>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</si>
  <si>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</si>
  <si>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</si>
  <si>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</si>
  <si>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</si>
  <si>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</si>
  <si>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</si>
  <si>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</si>
  <si>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</si>
  <si>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</si>
  <si>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</si>
  <si>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</si>
  <si>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</si>
  <si>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</si>
  <si>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</si>
  <si>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</si>
  <si>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</si>
  <si>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</si>
  <si>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</si>
  <si>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</si>
  <si>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</si>
  <si>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</si>
  <si>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</si>
  <si>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</si>
  <si>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</si>
  <si>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</si>
  <si>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</si>
  <si>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</si>
  <si>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</si>
  <si>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</si>
  <si>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</si>
  <si>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</si>
  <si>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</si>
  <si>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</si>
  <si>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</si>
  <si>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</si>
  <si>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</si>
  <si>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</si>
  <si>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</si>
  <si>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</si>
  <si>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</si>
  <si>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</si>
  <si>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</si>
  <si>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</si>
  <si>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</si>
  <si>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</si>
  <si>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</si>
  <si>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</si>
  <si>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</si>
  <si>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</si>
  <si>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</si>
  <si>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</si>
  <si>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</si>
  <si>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</si>
  <si>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</si>
  <si>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</si>
  <si>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</si>
  <si>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</si>
  <si>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</si>
  <si>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</si>
  <si>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</si>
  <si>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</si>
  <si>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</si>
  <si>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</si>
  <si>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</si>
  <si>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</si>
  <si>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</si>
  <si>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</si>
  <si>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</si>
  <si>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</si>
  <si>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</si>
  <si>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</si>
  <si>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</si>
  <si>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</si>
  <si>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</si>
  <si>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</si>
  <si>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</si>
  <si>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</si>
  <si>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</si>
  <si>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</si>
  <si>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</si>
  <si>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</si>
  <si>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</si>
  <si>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</si>
  <si>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</si>
  <si>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</si>
  <si>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</si>
  <si>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</si>
  <si>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</si>
  <si>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</si>
  <si>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</si>
  <si>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</si>
  <si>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</si>
  <si>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</si>
  <si>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</si>
  <si>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</si>
  <si>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</si>
  <si>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</si>
  <si>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</si>
  <si>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</si>
  <si>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</si>
  <si>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</si>
  <si>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</si>
  <si>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</si>
  <si>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</si>
  <si>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</si>
  <si>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</si>
  <si>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</si>
  <si>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</si>
  <si>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</si>
  <si>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</si>
  <si>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</si>
  <si>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</si>
  <si>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</si>
  <si>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</si>
  <si>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</si>
  <si>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</si>
  <si>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</si>
  <si>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</si>
  <si>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</si>
  <si>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</si>
  <si>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</si>
  <si>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</si>
  <si>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</si>
  <si>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</si>
  <si>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</si>
  <si>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</si>
  <si>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</si>
  <si>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</si>
  <si>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</si>
  <si>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</si>
  <si>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</si>
  <si>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</si>
  <si>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</si>
  <si>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</si>
  <si>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</si>
  <si>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</si>
  <si>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</si>
  <si>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</si>
  <si>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</si>
  <si>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</si>
  <si>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</si>
  <si>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</si>
  <si>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</si>
  <si>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</si>
  <si>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</si>
  <si>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</si>
  <si>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</si>
  <si>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</si>
  <si>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</si>
  <si>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</si>
  <si>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</si>
  <si>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</si>
  <si>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</si>
  <si>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</si>
  <si>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</si>
  <si>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</si>
  <si>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</si>
  <si>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</si>
  <si>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</si>
  <si>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</si>
  <si>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</si>
  <si>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</si>
  <si>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</si>
  <si>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</si>
  <si>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</si>
  <si>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</si>
  <si>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</si>
  <si>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</si>
  <si>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</si>
  <si>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</si>
  <si>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</si>
  <si>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</si>
  <si>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</si>
  <si>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</si>
  <si>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</si>
  <si>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</si>
  <si>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</si>
  <si>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</si>
  <si>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</si>
  <si>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</si>
  <si>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</si>
  <si>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</si>
  <si>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</si>
  <si>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</si>
  <si>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</si>
  <si>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</si>
  <si>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</si>
  <si>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</si>
  <si>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</si>
  <si>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</si>
  <si>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</si>
  <si>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</si>
  <si>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</si>
  <si>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</si>
  <si>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</si>
  <si>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</si>
  <si>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</si>
  <si>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</si>
  <si>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</si>
  <si>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</si>
  <si>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</si>
  <si>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</si>
  <si>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</si>
  <si>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</si>
  <si>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</si>
  <si>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</si>
  <si>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</si>
  <si>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</si>
  <si>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</si>
  <si>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</si>
  <si>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</si>
  <si>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</si>
  <si>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</si>
  <si>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</si>
  <si>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</si>
  <si>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</si>
  <si>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</si>
  <si>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</si>
  <si>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</si>
  <si>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</si>
  <si>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</si>
  <si>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</si>
  <si>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</si>
  <si>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</si>
  <si>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</si>
  <si>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</si>
  <si>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</si>
  <si>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</si>
  <si>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</si>
  <si>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</si>
  <si>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</si>
  <si>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</si>
  <si>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</si>
  <si>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</si>
  <si>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</si>
  <si>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</si>
  <si>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</si>
  <si>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</si>
  <si>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</si>
  <si>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</si>
  <si>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</si>
  <si>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</si>
  <si>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</si>
  <si>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</si>
  <si>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</si>
  <si>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</si>
  <si>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</si>
  <si>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</si>
  <si>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</si>
  <si>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</si>
  <si>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</si>
  <si>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</si>
  <si>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</si>
  <si>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</si>
  <si>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</si>
  <si>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</si>
  <si>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</si>
  <si>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</si>
  <si>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</si>
  <si>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</si>
  <si>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</si>
  <si>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</si>
  <si>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</si>
  <si>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</si>
  <si>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</si>
  <si>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</si>
  <si>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</si>
  <si>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</si>
  <si>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</si>
  <si>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</si>
  <si>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</si>
  <si>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</si>
  <si>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</si>
  <si>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</si>
  <si>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</si>
  <si>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</si>
  <si>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</si>
  <si>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</si>
  <si>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</si>
  <si>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</si>
  <si>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</si>
  <si>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</si>
  <si>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</si>
  <si>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</si>
  <si>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</si>
  <si>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</si>
  <si>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</si>
  <si>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</si>
  <si>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</si>
  <si>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</si>
  <si>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</si>
  <si>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</si>
  <si>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</si>
  <si>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</si>
  <si>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</si>
  <si>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</si>
  <si>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</si>
  <si>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</si>
  <si>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</si>
  <si>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</si>
  <si>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</si>
  <si>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</si>
  <si>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</si>
  <si>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</si>
  <si>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</si>
  <si>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</si>
  <si>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</si>
  <si>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</si>
  <si>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</si>
  <si>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</si>
  <si>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</si>
  <si>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</si>
  <si>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</si>
  <si>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</si>
  <si>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</si>
  <si>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</si>
  <si>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</si>
  <si>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</si>
  <si>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</si>
  <si>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</si>
  <si>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</si>
  <si>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</si>
  <si>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</si>
  <si>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</si>
  <si>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</si>
  <si>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</si>
  <si>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</si>
  <si>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</si>
  <si>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</si>
  <si>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</si>
  <si>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</si>
  <si>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</si>
  <si>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</si>
  <si>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</si>
  <si>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</si>
  <si>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</si>
  <si>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</si>
  <si>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</si>
  <si>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</si>
  <si>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</si>
  <si>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</si>
  <si>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</si>
  <si>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</si>
  <si>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</si>
  <si>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</si>
  <si>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</si>
  <si>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</si>
  <si>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</si>
  <si>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</si>
  <si>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</si>
  <si>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</si>
  <si>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</si>
  <si>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</si>
  <si>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</si>
  <si>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</si>
  <si>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</si>
  <si>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</si>
  <si>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</si>
  <si>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</si>
  <si>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</si>
  <si>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</si>
  <si>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</si>
  <si>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</si>
  <si>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</si>
  <si>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</si>
  <si>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</si>
  <si>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</si>
  <si>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</si>
  <si>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</si>
  <si>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</si>
  <si>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</si>
  <si>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</si>
  <si>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</si>
  <si>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</si>
  <si>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</si>
  <si>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</si>
  <si>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</si>
  <si>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</si>
  <si>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</si>
  <si>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</si>
  <si>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</si>
  <si>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</si>
  <si>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</si>
  <si>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</si>
  <si>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</si>
  <si>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</si>
  <si>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</si>
  <si>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</si>
  <si>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</si>
  <si>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</si>
  <si>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</si>
  <si>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</si>
  <si>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</si>
  <si>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</si>
  <si>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</si>
  <si>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</si>
  <si>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</si>
  <si>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</si>
  <si>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</si>
  <si>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</si>
  <si>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</si>
  <si>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</si>
  <si>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</si>
  <si>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</si>
  <si>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</si>
  <si>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</si>
  <si>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</si>
  <si>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</si>
  <si>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</si>
  <si>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</si>
  <si>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</si>
  <si>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</si>
  <si>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</si>
  <si>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</si>
  <si>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</si>
  <si>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</si>
  <si>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</si>
  <si>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</si>
  <si>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</si>
  <si>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</si>
  <si>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</si>
  <si>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</si>
  <si>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</si>
  <si>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</si>
  <si>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</si>
  <si>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</si>
  <si>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</si>
  <si>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</si>
  <si>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</si>
  <si>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</si>
  <si>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</si>
  <si>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</si>
  <si>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</si>
  <si>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</si>
  <si>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</si>
  <si>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</si>
  <si>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</si>
  <si>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</si>
  <si>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</si>
  <si>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</si>
  <si>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</si>
  <si>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</si>
  <si>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</si>
  <si>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</si>
  <si>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</si>
  <si>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</si>
  <si>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</si>
  <si>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</si>
  <si>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</si>
  <si>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</si>
  <si>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</si>
  <si>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</si>
  <si>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</si>
  <si>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</si>
  <si>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</si>
  <si>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</si>
  <si>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</si>
  <si>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</si>
  <si>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</si>
  <si>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</si>
  <si>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</si>
  <si>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</si>
  <si>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</si>
  <si>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</si>
  <si>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</si>
  <si>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</si>
  <si>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</si>
  <si>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</si>
  <si>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</si>
  <si>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</si>
  <si>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</si>
  <si>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</si>
  <si>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</si>
  <si>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</si>
  <si>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</si>
  <si>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</si>
  <si>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</si>
  <si>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</si>
  <si>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</si>
  <si>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</si>
  <si>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</si>
  <si>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</si>
  <si>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</si>
  <si>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</si>
  <si>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</si>
  <si>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</si>
  <si>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</si>
  <si>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</si>
  <si>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</si>
  <si>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</si>
  <si>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</si>
  <si>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</si>
  <si>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</si>
  <si>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</si>
  <si>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</si>
  <si>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</si>
  <si>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</si>
  <si>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</si>
  <si>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</si>
  <si>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</si>
  <si>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</si>
  <si>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</si>
  <si>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</si>
  <si>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</si>
  <si>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</si>
  <si>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</si>
  <si>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</si>
  <si>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</si>
  <si>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</si>
  <si>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</si>
  <si>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</si>
  <si>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</si>
  <si>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</si>
  <si>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</si>
  <si>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</si>
  <si>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</si>
  <si>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</si>
  <si>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</si>
  <si>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</si>
  <si>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</si>
  <si>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</si>
  <si>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</si>
  <si>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</si>
  <si>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</si>
  <si>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</si>
  <si>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</si>
  <si>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</si>
  <si>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</si>
  <si>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</si>
  <si>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</si>
  <si>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</si>
  <si>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</si>
  <si>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</si>
  <si>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</si>
  <si>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</si>
  <si>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</si>
  <si>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</si>
  <si>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</si>
  <si>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</si>
  <si>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</si>
  <si>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</si>
  <si>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</si>
  <si>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</si>
  <si>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</si>
  <si>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</si>
  <si>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</si>
  <si>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</si>
  <si>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</si>
  <si>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</si>
  <si>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</si>
  <si>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</si>
  <si>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</si>
  <si>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</si>
  <si>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</si>
  <si>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</si>
  <si>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</si>
  <si>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</si>
  <si>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</si>
  <si>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</si>
  <si>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</si>
  <si>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</si>
  <si>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</si>
  <si>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</si>
  <si>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</si>
  <si>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</si>
  <si>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</si>
  <si>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</si>
  <si>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</si>
  <si>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</si>
  <si>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</si>
  <si>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</si>
  <si>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</si>
  <si>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</si>
  <si>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</si>
  <si>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</si>
  <si>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</si>
  <si>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</si>
  <si>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</si>
  <si>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</si>
  <si>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</si>
  <si>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</si>
  <si>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</si>
  <si>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</si>
  <si>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</si>
  <si>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</si>
  <si>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</si>
  <si>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</si>
  <si>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</si>
  <si>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</si>
  <si>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</si>
  <si>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</si>
  <si>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</si>
  <si>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</si>
  <si>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</si>
  <si>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</si>
  <si>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</si>
  <si>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</si>
  <si>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</si>
  <si>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</si>
  <si>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</si>
  <si>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</si>
  <si>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</si>
  <si>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</si>
  <si>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</si>
  <si>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</si>
  <si>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</si>
  <si>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</si>
  <si>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</si>
  <si>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</si>
  <si>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</si>
  <si>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</si>
  <si>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</si>
  <si>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</si>
  <si>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</si>
  <si>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</si>
  <si>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</si>
  <si>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</si>
  <si>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</si>
  <si>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</si>
  <si>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</si>
  <si>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</si>
  <si>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</si>
  <si>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</si>
  <si>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</si>
  <si>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</si>
  <si>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</si>
  <si>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</si>
  <si>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</si>
  <si>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</si>
  <si>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</si>
  <si>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</si>
  <si>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</si>
  <si>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</si>
  <si>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</si>
  <si>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</si>
  <si>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</si>
  <si>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</si>
  <si>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</si>
  <si>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</si>
  <si>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</si>
  <si>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</si>
  <si>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</si>
  <si>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</si>
  <si>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</si>
  <si>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</si>
  <si>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</si>
  <si>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</si>
  <si>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</si>
  <si>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</si>
  <si>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</si>
  <si>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</si>
  <si>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</si>
  <si>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</si>
  <si>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</si>
  <si>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</si>
  <si>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</si>
  <si>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</si>
  <si>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</si>
  <si>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</si>
  <si>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</si>
  <si>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</si>
  <si>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</si>
  <si>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</si>
  <si>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</si>
  <si>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</si>
  <si>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</si>
  <si>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</si>
  <si>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</si>
  <si>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</si>
  <si>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</si>
  <si>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</si>
  <si>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</si>
  <si>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</si>
  <si>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</si>
  <si>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</si>
  <si>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</si>
  <si>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</si>
  <si>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</si>
  <si>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</si>
  <si>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</si>
  <si>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</si>
  <si>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</si>
  <si>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</si>
  <si>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</si>
  <si>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</si>
  <si>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</si>
  <si>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</si>
  <si>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</si>
  <si>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</si>
  <si>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</si>
  <si>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</si>
  <si>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</si>
  <si>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</si>
  <si>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</si>
  <si>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</si>
  <si>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</si>
  <si>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</si>
  <si>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</si>
  <si>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</si>
  <si>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</si>
  <si>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</si>
  <si>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</si>
  <si>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</si>
  <si>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</si>
  <si>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</si>
  <si>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</si>
  <si>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</si>
  <si>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</si>
  <si>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</si>
  <si>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</si>
  <si>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</si>
  <si>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</si>
  <si>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</si>
  <si>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</si>
  <si>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</si>
  <si>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</si>
  <si>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</si>
  <si>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</si>
  <si>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</si>
  <si>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</si>
  <si>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</si>
  <si>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</si>
  <si>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</si>
  <si>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</si>
  <si>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</si>
  <si>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</si>
  <si>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</si>
  <si>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</si>
  <si>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</si>
  <si>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</si>
  <si>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</si>
  <si>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</si>
  <si>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</si>
  <si>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</si>
  <si>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</si>
  <si>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</si>
  <si>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</si>
  <si>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</si>
  <si>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</si>
  <si>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</si>
  <si>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</si>
  <si>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</si>
  <si>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</si>
  <si>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</si>
  <si>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</si>
  <si>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</si>
  <si>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</si>
  <si>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</si>
  <si>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</si>
  <si>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</si>
  <si>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</si>
  <si>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</si>
  <si>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</si>
  <si>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</si>
  <si>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</si>
  <si>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</si>
  <si>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</si>
  <si>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</si>
  <si>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</si>
  <si>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</si>
  <si>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</si>
  <si>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</si>
  <si>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</si>
  <si>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</si>
  <si>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</si>
  <si>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</si>
  <si>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</si>
  <si>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</si>
  <si>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</si>
  <si>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</si>
  <si>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</si>
  <si>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</si>
  <si>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</si>
  <si>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</si>
  <si>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</si>
  <si>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</si>
  <si>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</si>
  <si>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</si>
  <si>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</si>
  <si>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</si>
  <si>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</si>
  <si>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</si>
  <si>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</si>
  <si>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</si>
  <si>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</si>
  <si>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</si>
  <si>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</si>
  <si>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</si>
  <si>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</si>
  <si>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</si>
  <si>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</si>
  <si>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</si>
  <si>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</si>
  <si>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</si>
  <si>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</si>
  <si>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</si>
  <si>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</si>
  <si>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</si>
  <si>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</si>
  <si>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</si>
  <si>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</si>
  <si>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</si>
  <si>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</si>
  <si>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</si>
  <si>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</si>
  <si>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</si>
  <si>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</si>
  <si>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</si>
  <si>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</si>
  <si>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</si>
  <si>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</si>
  <si>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</si>
  <si>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</si>
  <si>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</si>
  <si>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</si>
  <si>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</si>
  <si>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</si>
  <si>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</si>
  <si>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</si>
  <si>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</si>
  <si>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</si>
  <si>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</si>
  <si>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</si>
  <si>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</si>
  <si>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</si>
  <si>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</si>
  <si>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</si>
  <si>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</si>
  <si>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</si>
  <si>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</si>
  <si>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</si>
  <si>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</si>
  <si>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</si>
  <si>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</si>
  <si>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</si>
  <si>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</si>
  <si>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</si>
  <si>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</si>
  <si>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</si>
  <si>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</si>
  <si>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</si>
  <si>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</si>
  <si>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</si>
  <si>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</si>
  <si>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</si>
  <si>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</si>
  <si>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</si>
  <si>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</si>
  <si>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</si>
  <si>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</si>
  <si>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</si>
  <si>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</si>
  <si>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</si>
  <si>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</si>
  <si>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</si>
  <si>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</si>
  <si>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</si>
  <si>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</si>
  <si>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</si>
  <si>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</si>
  <si>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</si>
  <si>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</si>
  <si>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</si>
  <si>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</si>
  <si>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</si>
  <si>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</si>
  <si>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</si>
  <si>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</si>
  <si>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</si>
  <si>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</si>
  <si>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</si>
  <si>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</si>
  <si>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</si>
  <si>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</si>
  <si>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</si>
  <si>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</si>
  <si>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</si>
  <si>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</si>
  <si>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</si>
  <si>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</si>
  <si>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</si>
  <si>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</si>
  <si>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</si>
  <si>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</si>
  <si>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</si>
  <si>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</si>
  <si>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</si>
  <si>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</si>
  <si>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</si>
  <si>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</si>
  <si>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</si>
  <si>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</si>
  <si>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</si>
  <si>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</si>
  <si>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</si>
  <si>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</si>
  <si>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</si>
  <si>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</si>
  <si>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</si>
  <si>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</si>
  <si>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</si>
  <si>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</si>
  <si>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</si>
  <si>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</si>
  <si>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</si>
  <si>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</si>
  <si>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</si>
  <si>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</si>
  <si>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</si>
  <si>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</si>
  <si>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</si>
  <si>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</si>
  <si>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</si>
  <si>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</si>
  <si>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</si>
  <si>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</si>
  <si>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</si>
  <si>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</si>
  <si>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</si>
  <si>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</si>
  <si>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</si>
  <si>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</si>
  <si>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</si>
  <si>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</si>
  <si>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</si>
  <si>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</si>
  <si>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</si>
  <si>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</si>
  <si>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</si>
  <si>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</si>
  <si>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</si>
  <si>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</si>
  <si>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</si>
  <si>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</si>
  <si>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</si>
  <si>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</si>
  <si>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</si>
  <si>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</si>
  <si>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</si>
  <si>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</si>
  <si>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</si>
  <si>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</si>
  <si>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</si>
  <si>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</si>
  <si>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</si>
  <si>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</si>
  <si>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</si>
  <si>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</si>
  <si>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</si>
  <si>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</si>
  <si>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</si>
  <si>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</si>
  <si>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</si>
  <si>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</si>
  <si>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</si>
  <si>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</si>
  <si>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</si>
  <si>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</si>
  <si>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</si>
  <si>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</si>
  <si>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</si>
  <si>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</si>
  <si>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</si>
  <si>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</si>
  <si>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</si>
  <si>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</si>
  <si>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</si>
  <si>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</si>
  <si>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</si>
  <si>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</si>
  <si>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</si>
  <si>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</si>
  <si>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</si>
  <si>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</si>
  <si>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</si>
  <si>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</si>
  <si>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</si>
  <si>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</si>
  <si>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</si>
  <si>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</si>
  <si>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</si>
  <si>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</si>
  <si>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</si>
  <si>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</si>
  <si>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</si>
  <si>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</si>
  <si>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</si>
  <si>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</si>
  <si>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</si>
  <si>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</si>
  <si>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</si>
  <si>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</si>
  <si>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</si>
  <si>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</si>
  <si>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</si>
  <si>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</si>
  <si>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</si>
  <si>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</si>
  <si>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</si>
  <si>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</si>
  <si>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</si>
  <si>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</si>
  <si>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</si>
  <si>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</si>
  <si>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</si>
  <si>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</si>
  <si>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</si>
  <si>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</si>
  <si>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</si>
  <si>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</si>
  <si>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</si>
  <si>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</si>
  <si>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</si>
  <si>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</si>
  <si>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</si>
  <si>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</si>
  <si>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</si>
  <si>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</si>
  <si>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</si>
  <si>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</si>
  <si>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</si>
  <si>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</si>
  <si>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</si>
  <si>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</si>
  <si>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</si>
  <si>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</si>
  <si>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</si>
  <si>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</si>
  <si>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</si>
  <si>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</si>
  <si>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</si>
  <si>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</si>
  <si>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</si>
  <si>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</si>
  <si>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</si>
  <si>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</si>
  <si>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</si>
  <si>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</si>
  <si>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</si>
  <si>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</si>
  <si>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</si>
  <si>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</si>
  <si>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</si>
  <si>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</si>
  <si>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</si>
  <si>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</si>
  <si>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</si>
  <si>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</si>
  <si>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</si>
  <si>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</si>
  <si>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</si>
  <si>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</si>
  <si>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</si>
  <si>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</si>
  <si>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</si>
  <si>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</si>
  <si>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</si>
  <si>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</si>
  <si>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</si>
  <si>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</si>
  <si>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</si>
  <si>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</si>
  <si>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</si>
  <si>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</si>
  <si>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</si>
  <si>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</si>
  <si>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</si>
  <si>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</si>
  <si>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</si>
  <si>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</si>
  <si>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</si>
  <si>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</si>
  <si>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</si>
  <si>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</si>
  <si>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</si>
  <si>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</si>
  <si>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</si>
  <si>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</si>
  <si>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</si>
  <si>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</si>
  <si>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</si>
  <si>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</si>
  <si>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</si>
  <si>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</si>
  <si>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</si>
  <si>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</si>
  <si>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</si>
  <si>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</si>
  <si>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</si>
  <si>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</si>
  <si>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</si>
  <si>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</si>
  <si>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</si>
  <si>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</si>
  <si>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</si>
  <si>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</si>
  <si>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</si>
  <si>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</si>
  <si>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</si>
  <si>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</si>
  <si>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</si>
  <si>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</si>
  <si>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</si>
  <si>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</si>
  <si>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</si>
  <si>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</si>
  <si>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</si>
  <si>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</si>
  <si>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</si>
  <si>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</si>
  <si>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</si>
  <si>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</si>
  <si>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</si>
  <si>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</si>
  <si>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</si>
  <si>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</si>
  <si>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</si>
  <si>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</si>
  <si>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</si>
  <si>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</si>
  <si>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</si>
  <si>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</si>
  <si>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</si>
  <si>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</si>
  <si>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</si>
  <si>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</si>
  <si>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</si>
  <si>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</si>
  <si>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</si>
  <si>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</si>
  <si>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</si>
  <si>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</si>
  <si>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</si>
  <si>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</si>
  <si>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</si>
  <si>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</si>
  <si>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</si>
  <si>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</si>
  <si>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</si>
  <si>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</si>
  <si>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</si>
  <si>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</si>
  <si>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</si>
  <si>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</si>
  <si>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</si>
  <si>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</si>
  <si>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</si>
  <si>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</si>
  <si>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</si>
  <si>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</si>
  <si>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</si>
  <si>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</si>
  <si>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</si>
  <si>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</si>
  <si>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</si>
  <si>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</si>
  <si>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</si>
  <si>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</si>
  <si>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</si>
  <si>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</si>
  <si>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</si>
  <si>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</si>
  <si>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</si>
  <si>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</si>
  <si>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</si>
  <si>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</si>
  <si>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</si>
  <si>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</si>
  <si>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</si>
  <si>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</si>
  <si>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</si>
  <si>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</si>
  <si>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</si>
  <si>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</si>
  <si>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</si>
  <si>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</si>
  <si>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</si>
  <si>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</si>
  <si>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</si>
  <si>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</si>
  <si>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</si>
  <si>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</si>
  <si>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</si>
  <si>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</si>
  <si>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</si>
  <si>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</si>
  <si>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</si>
  <si>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</si>
  <si>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</si>
  <si>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</si>
  <si>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</si>
  <si>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</si>
  <si>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</si>
  <si>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</si>
  <si>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</si>
  <si>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</si>
  <si>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</si>
  <si>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1H oculta a pared</t>
  </si>
  <si>
    <t>Habitat Gandia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</si>
</sst>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9" sqref="C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20250208</v>
      </c>
      <c r="G7" s="8">
        <f ca="1">TODAY()</f>
        <v>45953</v>
      </c>
    </row>
    <row r="8" spans="1:12" x14ac:dyDescent="0.25">
      <c r="B8" s="9" t="s">
        <v>6</v>
      </c>
      <c r="C8" s="10" t="s">
        <v>1452</v>
      </c>
    </row>
    <row r="9" spans="1:12" x14ac:dyDescent="0.25">
      <c r="B9" s="3" t="s">
        <v>7</v>
      </c>
      <c r="C9" s="10" t="s">
        <v>1451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79" t="str">
        <f>IFERROR(VLOOKUP($B13,Tarifa_all_20240711!$A$2:$G$660,2,FALSE()),"-")</f>
        <v>CARC.SIMPLE GUIA DESM.LAC.6 ESP.2-2 MTS</v>
      </c>
      <c r="D13" s="79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79" t="str">
        <f>IFERROR(VLOOKUP($B14,Tarifa_all_20240711!$A$2:$G$660,2,FALSE()),"-")</f>
        <v>GUIA SKY PLUS DESMONT.LAC.6 ESP.2-2 MTS</v>
      </c>
      <c r="D14" s="79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517</v>
      </c>
      <c r="C19" s="79" t="str">
        <f>IFERROR(VLOOKUP($B19,Tarifa_all_20240711!$A$2:$G$660,2,FALSE()),"-")</f>
        <v>TIRADOR L 30X180 LAC.NEGRO TEXTURADO: 2 UDS</v>
      </c>
      <c r="D19" s="79"/>
      <c r="E19" s="17">
        <v>1</v>
      </c>
      <c r="F19" s="18">
        <f>IFERROR(VLOOKUP($B19,Tarifa_all_20240711!$A$2:$G$660,5,FALSE()),"-")</f>
        <v>52.005000000000003</v>
      </c>
      <c r="G19" s="18">
        <f t="shared" si="0"/>
        <v>52.005000000000003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79" t="str">
        <f>IFERROR(VLOOKUP($B21,Tarifa_all_20240711!$A$2:$G$660,2,FALSE()),"-")</f>
        <v>PERFIL EMBELL.HORIZ. ADH LAC.NEGRO TEXTURADO</v>
      </c>
      <c r="D21" s="79"/>
      <c r="E21" s="17">
        <v>2</v>
      </c>
      <c r="F21" s="18">
        <f>IFERROR(VLOOKUP($B21,Tarifa_all_20240711!$A$2:$G$660,5,FALSE()),"-")</f>
        <v>21.794999999999998</v>
      </c>
      <c r="G21" s="18">
        <f t="shared" si="0"/>
        <v>43.589999999999996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>
        <v>1</v>
      </c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562.79250000000002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Habitat Gandia</v>
      </c>
      <c r="C9" s="86"/>
      <c r="D9" s="86"/>
      <c r="F9" s="3" t="s">
        <v>81</v>
      </c>
      <c r="G9" s="44">
        <f ca="1">TODAY()</f>
        <v>45953</v>
      </c>
    </row>
    <row r="10" spans="1:7" x14ac:dyDescent="0.25">
      <c r="A10" s="3" t="s">
        <v>82</v>
      </c>
      <c r="B10" s="11" t="str">
        <f>'DESPIECE (MATANALYSIS)'!C9</f>
        <v>1H oculta a pared</v>
      </c>
      <c r="C10" s="45"/>
      <c r="D10" s="45"/>
      <c r="E10" s="46"/>
      <c r="F10" s="47" t="s">
        <v>83</v>
      </c>
      <c r="G10" s="7">
        <f>'DESPIECE (MATANALYSIS)'!C7</f>
        <v>20250208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562.79250000000002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2025-10-23T09:49:57Z</cp:lastPrinted>
  <dcterms:created xsi:type="dcterms:W3CDTF">2024-04-15T12:43:19Z</dcterms:created>
  <dcterms:modified xsi:type="dcterms:W3CDTF">2025-10-23T09:52:44Z</dcterms:modified>
  <dc:language>es-ES</dc:language>
</cp:coreProperties>
</file>