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8\calculos\1\"/>
    </mc:Choice>
  </mc:AlternateContent>
  <xr:revisionPtr revIDLastSave="0" documentId="13_ncr:1_{67B0C255-157A-4857-B1A4-B30658B9B378}" xr6:coauthVersionLast="47" xr6:coauthVersionMax="47" xr10:uidLastSave="{00000000-0000-0000-0000-000000000000}"/>
  <bookViews>
    <workbookView xWindow="-21450" yWindow="600" windowWidth="20520" windowHeight="1390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<sst xmlns="http://schemas.openxmlformats.org/spreadsheetml/2006/main" count="5403" uniqueCount="1455">
  <si>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</si>
  <si>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</si>
  <si>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</si>
  <si>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</si>
  <si>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</si>
  <si>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</si>
  <si>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</si>
  <si>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</si>
  <si>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</si>
  <si>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</si>
  <si>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</si>
  <si>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</si>
  <si>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</si>
  <si>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</si>
  <si>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</si>
  <si>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</si>
  <si>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</si>
  <si>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</si>
  <si>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</si>
  <si>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</si>
  <si>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</si>
  <si>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</si>
  <si>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</si>
  <si>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</si>
  <si>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</si>
  <si>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</si>
  <si>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</si>
  <si>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</si>
  <si>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</si>
  <si>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</si>
  <si>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</si>
  <si>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</si>
  <si>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</si>
  <si>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</si>
  <si>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</si>
  <si>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</si>
  <si>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</si>
  <si>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</si>
  <si>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</si>
  <si>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</si>
  <si>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</si>
  <si>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</si>
  <si>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</si>
  <si>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</si>
  <si>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</si>
  <si>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</si>
  <si>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</si>
  <si>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</si>
  <si>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</si>
  <si>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</si>
  <si>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</si>
  <si>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</si>
  <si>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</si>
  <si>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</si>
  <si>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</si>
  <si>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</si>
  <si>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</si>
  <si>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</si>
  <si>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</si>
  <si>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</si>
  <si>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</si>
  <si>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</si>
  <si>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</si>
  <si>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</si>
  <si>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</si>
  <si>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</si>
  <si>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</si>
  <si>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</si>
  <si>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</si>
  <si>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</si>
  <si>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</si>
  <si>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</si>
  <si>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</si>
  <si>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</si>
  <si>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</si>
  <si>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</si>
  <si>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</si>
  <si>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</si>
  <si>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</si>
  <si>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</si>
  <si>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</si>
  <si>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</si>
  <si>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</si>
  <si>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</si>
  <si>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</si>
  <si>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</si>
  <si>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</si>
  <si>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</si>
  <si>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</si>
  <si>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Empotrada desmontable</t>
  </si>
  <si>
    <t>Tirador:</t>
  </si>
  <si>
    <t>Guiador: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</si>
  <si>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</si>
  <si>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</si>
  <si>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</si>
  <si>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</si>
  <si>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</si>
  <si>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</si>
  <si>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</si>
  <si>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</si>
  <si>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</si>
  <si>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</si>
  <si>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</si>
  <si>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</si>
  <si>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</si>
  <si>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</si>
  <si>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</si>
  <si>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</si>
  <si>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</si>
  <si>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</si>
  <si>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</si>
  <si>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</si>
  <si>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</si>
  <si>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</si>
  <si>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</si>
  <si>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</si>
  <si>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</si>
  <si>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</si>
  <si>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</si>
  <si>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</si>
  <si>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</si>
  <si>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</si>
  <si>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</si>
  <si>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</si>
  <si>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</si>
  <si>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</si>
  <si>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</si>
  <si>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</si>
  <si>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</si>
  <si>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</si>
  <si>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</si>
  <si>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</si>
  <si>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</si>
  <si>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</si>
  <si>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</si>
  <si>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</si>
  <si>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</si>
  <si>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</si>
  <si>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</si>
  <si>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</si>
  <si>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</si>
  <si>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</si>
  <si>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</si>
  <si>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</si>
  <si>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</si>
  <si>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</si>
  <si>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</si>
  <si>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</si>
  <si>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</si>
  <si>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</si>
  <si>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</si>
  <si>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</si>
  <si>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</si>
  <si>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</si>
  <si>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</si>
  <si>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</si>
  <si>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</si>
  <si>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</si>
  <si>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</si>
  <si>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</si>
  <si>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</si>
  <si>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</si>
  <si>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</si>
  <si>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</si>
  <si>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</si>
  <si>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</si>
  <si>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</si>
  <si>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</si>
  <si>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</si>
  <si>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</si>
  <si>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</si>
  <si>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</si>
  <si>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</si>
  <si>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</si>
  <si>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</si>
  <si>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</si>
  <si>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</si>
  <si>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</si>
  <si>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</si>
  <si>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</si>
  <si>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</si>
  <si>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</si>
  <si>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</si>
  <si>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</si>
  <si>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</si>
  <si>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</si>
  <si>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</si>
  <si>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</si>
  <si>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</si>
  <si>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</si>
  <si>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</si>
  <si>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</si>
  <si>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</si>
  <si>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</si>
  <si>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</si>
  <si>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</si>
  <si>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</si>
  <si>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</si>
  <si>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</si>
  <si>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</si>
  <si>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</si>
  <si>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</si>
  <si>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</si>
  <si>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</si>
  <si>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</si>
  <si>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</si>
  <si>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</si>
  <si>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</si>
  <si>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</si>
  <si>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</si>
  <si>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</si>
  <si>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</si>
  <si>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</si>
  <si>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</si>
  <si>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</si>
  <si>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</si>
  <si>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</si>
  <si>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</si>
  <si>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</si>
  <si>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</si>
  <si>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</si>
  <si>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</si>
  <si>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</si>
  <si>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</si>
  <si>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</si>
  <si>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</si>
  <si>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</si>
  <si>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</si>
  <si>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</si>
  <si>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</si>
  <si>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</si>
  <si>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</si>
  <si>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</si>
  <si>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</si>
  <si>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</si>
  <si>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</si>
  <si>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</si>
  <si>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</si>
  <si>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</si>
  <si>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</si>
  <si>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</si>
  <si>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</si>
  <si>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</si>
  <si>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</si>
  <si>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</si>
  <si>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</si>
  <si>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</si>
  <si>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</si>
  <si>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</si>
  <si>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</si>
  <si>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</si>
  <si>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</si>
  <si>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</si>
  <si>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</si>
  <si>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</si>
  <si>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</si>
  <si>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</si>
  <si>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</si>
  <si>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</si>
  <si>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</si>
  <si>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</si>
  <si>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</si>
  <si>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</si>
  <si>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</si>
  <si>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</si>
  <si>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</si>
  <si>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</si>
  <si>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</si>
  <si>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</si>
  <si>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</si>
  <si>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</si>
  <si>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</si>
  <si>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</si>
  <si>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</si>
  <si>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</si>
  <si>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</si>
  <si>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</si>
  <si>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</si>
  <si>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</si>
  <si>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</si>
  <si>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</si>
  <si>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</si>
  <si>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</si>
  <si>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</si>
  <si>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</si>
  <si>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</si>
  <si>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</si>
  <si>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</si>
  <si>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</si>
  <si>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</si>
  <si>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</si>
  <si>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</si>
  <si>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</si>
  <si>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</si>
  <si>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</si>
  <si>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</si>
  <si>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</si>
  <si>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</si>
  <si>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</si>
  <si>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</si>
  <si>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</si>
  <si>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</si>
  <si>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</si>
  <si>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</si>
  <si>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</si>
  <si>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</si>
  <si>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</si>
  <si>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</si>
  <si>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</si>
  <si>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</si>
  <si>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</si>
  <si>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</si>
  <si>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</si>
  <si>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</si>
  <si>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</si>
  <si>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</si>
  <si>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</si>
  <si>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</si>
  <si>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</si>
  <si>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</si>
  <si>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</si>
  <si>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</si>
  <si>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</si>
  <si>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</si>
  <si>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</si>
  <si>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</si>
  <si>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</si>
  <si>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</si>
  <si>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</si>
  <si>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</si>
  <si>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</si>
  <si>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</si>
  <si>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</si>
  <si>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</si>
  <si>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</si>
  <si>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</si>
  <si>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</si>
  <si>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</si>
  <si>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</si>
  <si>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</si>
  <si>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</si>
  <si>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</si>
  <si>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</si>
  <si>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</si>
  <si>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</si>
  <si>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</si>
  <si>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</si>
  <si>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</si>
  <si>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</si>
  <si>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</si>
  <si>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</si>
  <si>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</si>
  <si>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</si>
  <si>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</si>
  <si>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</si>
  <si>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</si>
  <si>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</si>
  <si>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</si>
  <si>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</si>
  <si>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</si>
  <si>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</si>
  <si>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</si>
  <si>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</si>
  <si>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</si>
  <si>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</si>
  <si>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</si>
  <si>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</si>
  <si>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</si>
  <si>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</si>
  <si>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</si>
  <si>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</si>
  <si>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</si>
  <si>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</si>
  <si>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</si>
  <si>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</si>
  <si>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</si>
  <si>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</si>
  <si>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</si>
  <si>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</si>
  <si>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</si>
  <si>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</si>
  <si>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</si>
  <si>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</si>
  <si>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</si>
  <si>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</si>
  <si>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</si>
  <si>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</si>
  <si>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</si>
  <si>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</si>
  <si>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</si>
  <si>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</si>
  <si>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</si>
  <si>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</si>
  <si>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</si>
  <si>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</si>
  <si>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</si>
  <si>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</si>
  <si>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</si>
  <si>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</si>
  <si>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</si>
  <si>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</si>
  <si>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</si>
  <si>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</si>
  <si>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</si>
  <si>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</si>
  <si>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</si>
  <si>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</si>
  <si>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</si>
  <si>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</si>
  <si>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</si>
  <si>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</si>
  <si>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</si>
  <si>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</si>
  <si>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</si>
  <si>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</si>
  <si>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</si>
  <si>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</si>
  <si>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</si>
  <si>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</si>
  <si>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</si>
  <si>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</si>
  <si>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</si>
  <si>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</si>
  <si>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</si>
  <si>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</si>
  <si>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</si>
  <si>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</si>
  <si>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</si>
  <si>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</si>
  <si>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</si>
  <si>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</si>
  <si>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</si>
  <si>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</si>
  <si>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</si>
  <si>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</si>
  <si>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</si>
  <si>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</si>
  <si>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</si>
  <si>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</si>
  <si>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</si>
  <si>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</si>
  <si>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</si>
  <si>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</si>
  <si>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</si>
  <si>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</si>
  <si>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</si>
  <si>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</si>
  <si>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</si>
  <si>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</si>
  <si>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</si>
  <si>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</si>
  <si>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</si>
  <si>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</si>
  <si>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</si>
  <si>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</si>
  <si>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</si>
  <si>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</si>
  <si>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</si>
  <si>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</si>
  <si>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</si>
  <si>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</si>
  <si>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</si>
  <si>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</si>
  <si>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</si>
  <si>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</si>
  <si>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</si>
  <si>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</si>
  <si>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</si>
  <si>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</si>
  <si>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</si>
  <si>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</si>
  <si>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</si>
  <si>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</si>
  <si>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</si>
  <si>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</si>
  <si>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</si>
  <si>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</si>
  <si>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</si>
  <si>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</si>
  <si>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</si>
  <si>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</si>
  <si>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</si>
  <si>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</si>
  <si>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</si>
  <si>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</si>
  <si>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</si>
  <si>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</si>
  <si>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</si>
  <si>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</si>
  <si>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</si>
  <si>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</si>
  <si>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</si>
  <si>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</si>
  <si>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</si>
  <si>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</si>
  <si>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</si>
  <si>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</si>
  <si>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</si>
  <si>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</si>
  <si>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</si>
  <si>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</si>
  <si>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</si>
  <si>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</si>
  <si>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</si>
  <si>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</si>
  <si>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</si>
  <si>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</si>
  <si>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</si>
  <si>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</si>
  <si>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</si>
  <si>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</si>
  <si>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</si>
  <si>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</si>
  <si>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</si>
  <si>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</si>
  <si>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</si>
  <si>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</si>
  <si>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</si>
  <si>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</si>
  <si>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</si>
  <si>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</si>
  <si>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</si>
  <si>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</si>
  <si>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</si>
  <si>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</si>
  <si>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</si>
  <si>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</si>
  <si>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</si>
  <si>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</si>
  <si>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</si>
  <si>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</si>
  <si>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</si>
  <si>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</si>
  <si>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</si>
  <si>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</si>
  <si>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</si>
  <si>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</si>
  <si>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</si>
  <si>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</si>
  <si>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</si>
  <si>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</si>
  <si>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</si>
  <si>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</si>
  <si>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</si>
  <si>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</si>
  <si>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</si>
  <si>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</si>
  <si>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</si>
  <si>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</si>
  <si>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</si>
  <si>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</si>
  <si>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</si>
  <si>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</si>
  <si>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</si>
  <si>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</si>
  <si>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</si>
  <si>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</si>
  <si>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</si>
  <si>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</si>
  <si>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</si>
  <si>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</si>
  <si>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</si>
  <si>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</si>
  <si>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</si>
  <si>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</si>
  <si>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</si>
  <si>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</si>
  <si>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</si>
  <si>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</si>
  <si>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</si>
  <si>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</si>
  <si>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</si>
  <si>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</si>
  <si>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</si>
  <si>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</si>
  <si>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</si>
  <si>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</si>
  <si>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</si>
  <si>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</si>
  <si>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</si>
  <si>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</si>
  <si>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</si>
  <si>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</si>
  <si>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</si>
  <si>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</si>
  <si>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</si>
  <si>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</si>
  <si>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</si>
  <si>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</si>
  <si>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</si>
  <si>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</si>
  <si>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</si>
  <si>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</si>
  <si>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</si>
  <si>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</si>
  <si>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</si>
  <si>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</si>
  <si>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</si>
  <si>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</si>
  <si>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</si>
  <si>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</si>
  <si>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</si>
  <si>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</si>
  <si>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</si>
  <si>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</si>
  <si>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</si>
  <si>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</si>
  <si>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</si>
  <si>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</si>
  <si>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</si>
  <si>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</si>
  <si>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</si>
  <si>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</si>
  <si>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</si>
  <si>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</si>
  <si>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</si>
  <si>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</si>
  <si>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</si>
  <si>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</si>
  <si>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</si>
  <si>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</si>
  <si>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</si>
  <si>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</si>
  <si>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</si>
  <si>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</si>
  <si>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</si>
  <si>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</si>
  <si>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</si>
  <si>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</si>
  <si>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</si>
  <si>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</si>
  <si>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</si>
  <si>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</si>
  <si>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</si>
  <si>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</si>
  <si>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</si>
  <si>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</si>
  <si>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</si>
  <si>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</si>
  <si>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</si>
  <si>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</si>
  <si>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</si>
  <si>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</si>
  <si>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</si>
  <si>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</si>
  <si>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</si>
  <si>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</si>
  <si>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</si>
  <si>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</si>
  <si>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</si>
  <si>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</si>
  <si>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</si>
  <si>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</si>
  <si>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</si>
  <si>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</si>
  <si>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</si>
  <si>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</si>
  <si>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</si>
  <si>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</si>
  <si>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</si>
  <si>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</si>
  <si>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</si>
  <si>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</si>
  <si>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</si>
  <si>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</si>
  <si>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</si>
  <si>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</si>
  <si>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</si>
  <si>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</si>
  <si>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</si>
  <si>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</si>
  <si>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</si>
  <si>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</si>
  <si>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</si>
  <si>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</si>
  <si>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</si>
  <si>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</si>
  <si>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</si>
  <si>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</si>
  <si>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</si>
  <si>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</si>
  <si>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</si>
  <si>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</si>
  <si>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</si>
  <si>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</si>
  <si>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</si>
  <si>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</si>
  <si>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</si>
  <si>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</si>
  <si>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</si>
  <si>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</si>
  <si>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</si>
  <si>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</si>
  <si>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</si>
  <si>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</si>
  <si>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</si>
  <si>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</si>
  <si>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</si>
  <si>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</si>
  <si>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</si>
  <si>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</si>
  <si>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</si>
  <si>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</si>
  <si>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</si>
  <si>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</si>
  <si>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</si>
  <si>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</si>
  <si>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</si>
  <si>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</si>
  <si>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</si>
  <si>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</si>
  <si>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</si>
  <si>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</si>
  <si>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</si>
  <si>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</si>
  <si>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</si>
  <si>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</si>
  <si>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</si>
  <si>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</si>
  <si>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</si>
  <si>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</si>
  <si>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</si>
  <si>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</si>
  <si>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</si>
  <si>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</si>
  <si>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</si>
  <si>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</si>
  <si>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</si>
  <si>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</si>
  <si>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</si>
  <si>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</si>
  <si>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</si>
  <si>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</si>
  <si>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</si>
  <si>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</si>
  <si>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</si>
  <si>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</si>
  <si>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</si>
  <si>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</si>
  <si>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</si>
  <si>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</si>
  <si>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</si>
  <si>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</si>
  <si>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</si>
  <si>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</si>
  <si>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</si>
  <si>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</si>
  <si>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</si>
  <si>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</si>
  <si>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</si>
  <si>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</si>
  <si>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</si>
  <si>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</si>
  <si>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</si>
  <si>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</si>
  <si>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</si>
  <si>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</si>
  <si>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</si>
  <si>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</si>
  <si>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</si>
  <si>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</si>
  <si>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</si>
  <si>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</si>
  <si>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</si>
  <si>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</si>
  <si>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</si>
  <si>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</si>
  <si>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</si>
  <si>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</si>
  <si>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</si>
  <si>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</si>
  <si>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</si>
  <si>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</si>
  <si>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</si>
  <si>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</si>
  <si>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</si>
  <si>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</si>
  <si>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</si>
  <si>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</si>
  <si>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</si>
  <si>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</si>
  <si>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</si>
  <si>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</si>
  <si>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</si>
  <si>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</si>
  <si>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</si>
  <si>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</si>
  <si>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</si>
  <si>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</si>
  <si>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</si>
  <si>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</si>
  <si>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</si>
  <si>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</si>
  <si>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</si>
  <si>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</si>
  <si>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</si>
  <si>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</si>
  <si>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</si>
  <si>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</si>
  <si>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</si>
  <si>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</si>
  <si>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</si>
  <si>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</si>
  <si>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</si>
  <si>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</si>
  <si>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</si>
  <si>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</si>
  <si>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</si>
  <si>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</si>
  <si>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</si>
  <si>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</si>
  <si>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</si>
  <si>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</si>
  <si>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</si>
  <si>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</si>
  <si>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</si>
  <si>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</si>
  <si>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</si>
  <si>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</si>
  <si>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</si>
  <si>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</si>
  <si>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</si>
  <si>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</si>
  <si>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</si>
  <si>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</si>
  <si>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</si>
  <si>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</si>
  <si>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</si>
  <si>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</si>
  <si>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</si>
  <si>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</si>
  <si>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</si>
  <si>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</si>
  <si>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</si>
  <si>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</si>
  <si>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</si>
  <si>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</si>
  <si>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</si>
  <si>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</si>
  <si>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</si>
  <si>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</si>
  <si>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</si>
  <si>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</si>
  <si>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</si>
  <si>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</si>
  <si>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</si>
  <si>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</si>
  <si>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</si>
  <si>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</si>
  <si>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</si>
  <si>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</si>
  <si>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</si>
  <si>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</si>
  <si>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</si>
  <si>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</si>
  <si>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</si>
  <si>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</si>
  <si>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</si>
  <si>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</si>
  <si>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</si>
  <si>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</si>
  <si>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</si>
  <si>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</si>
  <si>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</si>
  <si>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</si>
  <si>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</si>
  <si>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</si>
  <si>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</si>
  <si>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</si>
  <si>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</si>
  <si>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</si>
  <si>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</si>
  <si>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</si>
  <si>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</si>
  <si>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</si>
  <si>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</si>
  <si>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</si>
  <si>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</si>
  <si>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</si>
  <si>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</si>
  <si>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</si>
  <si>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</si>
  <si>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</si>
  <si>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</si>
  <si>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</si>
  <si>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</si>
  <si>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</si>
  <si>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</si>
  <si>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</si>
  <si>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</si>
  <si>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</si>
  <si>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</si>
  <si>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</si>
  <si>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</si>
  <si>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</si>
  <si>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</si>
  <si>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</si>
  <si>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</si>
  <si>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</si>
  <si>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</si>
  <si>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</si>
  <si>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</si>
  <si>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</si>
  <si>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</si>
  <si>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</si>
  <si>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</si>
  <si>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</si>
  <si>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</si>
  <si>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</si>
  <si>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</si>
  <si>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</si>
  <si>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</si>
  <si>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</si>
  <si>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</si>
  <si>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</si>
  <si>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</si>
  <si>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</si>
  <si>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</si>
  <si>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</si>
  <si>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</si>
  <si>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</si>
  <si>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</si>
  <si>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</si>
  <si>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</si>
  <si>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</si>
  <si>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</si>
  <si>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</si>
  <si>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</si>
  <si>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</si>
  <si>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</si>
  <si>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</si>
  <si>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</si>
  <si>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</si>
  <si>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</si>
  <si>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</si>
  <si>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</si>
  <si>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</si>
  <si>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</si>
  <si>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</si>
  <si>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</si>
  <si>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</si>
  <si>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</si>
  <si>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</si>
  <si>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</si>
  <si>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</si>
  <si>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</si>
  <si>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</si>
  <si>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</si>
  <si>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</si>
  <si>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</si>
  <si>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</si>
  <si>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</si>
  <si>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</si>
  <si>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</si>
  <si>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</si>
  <si>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</si>
  <si>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</si>
  <si>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</si>
  <si>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</si>
  <si>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</si>
  <si>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</si>
  <si>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</si>
  <si>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</si>
  <si>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</si>
  <si>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</si>
  <si>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</si>
  <si>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</si>
  <si>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</si>
  <si>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</si>
  <si>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</si>
  <si>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</si>
  <si>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</si>
  <si>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</si>
  <si>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</si>
  <si>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</si>
  <si>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</si>
  <si>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</si>
  <si>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</si>
  <si>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</si>
  <si>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</si>
  <si>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</si>
  <si>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</si>
  <si>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</si>
  <si>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</si>
  <si>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</si>
  <si>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</si>
  <si>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</si>
  <si>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</si>
  <si>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</si>
  <si>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</si>
  <si>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</si>
  <si>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</si>
  <si>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</si>
  <si>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</si>
  <si>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</si>
  <si>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</si>
  <si>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</si>
  <si>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</si>
  <si>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</si>
  <si>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</si>
  <si>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</si>
  <si>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</si>
  <si>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</si>
  <si>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</si>
  <si>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</si>
  <si>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</si>
  <si>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</si>
  <si>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</si>
  <si>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</si>
  <si>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</si>
  <si>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</si>
  <si>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</si>
  <si>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</si>
  <si>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</si>
  <si>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</si>
  <si>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</si>
  <si>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</si>
  <si>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</si>
  <si>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</si>
  <si>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</si>
  <si>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</si>
  <si>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</si>
  <si>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</si>
  <si>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</si>
  <si>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</si>
  <si>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</si>
  <si>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</si>
  <si>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</si>
  <si>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</si>
  <si>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</si>
  <si>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</si>
  <si>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</si>
  <si>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</si>
  <si>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</si>
  <si>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</si>
  <si>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</si>
  <si>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</si>
  <si>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</si>
  <si>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</si>
  <si>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</si>
  <si>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</si>
  <si>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</si>
  <si>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</si>
  <si>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</si>
  <si>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</si>
  <si>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</si>
  <si>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</si>
  <si>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</si>
  <si>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</si>
  <si>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</si>
  <si>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</si>
  <si>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</si>
  <si>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</si>
  <si>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</si>
  <si>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</si>
  <si>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</si>
  <si>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</si>
  <si>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</si>
  <si>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</si>
  <si>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</si>
  <si>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</si>
  <si>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</si>
  <si>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</si>
  <si>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</si>
  <si>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</si>
  <si>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</si>
  <si>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</si>
  <si>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</si>
  <si>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</si>
  <si>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</si>
  <si>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</si>
  <si>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</si>
  <si>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</si>
  <si>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</si>
  <si>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</si>
  <si>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</si>
  <si>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</si>
  <si>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</si>
  <si>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</si>
  <si>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</si>
  <si>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</si>
  <si>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</si>
  <si>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</si>
  <si>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</si>
  <si>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</si>
  <si>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</si>
  <si>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</si>
  <si>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</si>
  <si>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</si>
  <si>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</si>
  <si>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</si>
  <si>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</si>
  <si>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</si>
  <si>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</si>
  <si>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</si>
  <si>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</si>
  <si>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</si>
  <si>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</si>
  <si>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</si>
  <si>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</si>
  <si>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</si>
  <si>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</si>
  <si>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</si>
  <si>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</si>
  <si>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</si>
  <si>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</si>
  <si>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</si>
  <si>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</si>
  <si>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</si>
  <si>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</si>
  <si>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</si>
  <si>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</si>
  <si>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</si>
  <si>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</si>
  <si>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</si>
  <si>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</si>
  <si>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</si>
  <si>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</si>
  <si>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</si>
  <si>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</si>
  <si>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</si>
  <si>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</si>
  <si>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</si>
  <si>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</si>
  <si>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</si>
  <si>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</si>
  <si>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</si>
  <si>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</si>
  <si>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</si>
  <si>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</si>
  <si>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</si>
  <si>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</si>
  <si>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</si>
  <si>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</si>
  <si>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</si>
  <si>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</si>
  <si>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</si>
  <si>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</si>
  <si>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</si>
  <si>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</si>
  <si>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</si>
  <si>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</si>
  <si>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</si>
  <si>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</si>
  <si>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</si>
  <si>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</si>
  <si>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</si>
  <si>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</si>
  <si>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</si>
  <si>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</si>
  <si>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</si>
  <si>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</si>
  <si>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</si>
  <si>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</si>
  <si>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</si>
  <si>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</si>
  <si>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</si>
  <si>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</si>
  <si>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</si>
  <si>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</si>
  <si>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</si>
  <si>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</si>
  <si>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</si>
  <si>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</si>
  <si>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</si>
  <si>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</si>
  <si>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</si>
  <si>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</si>
  <si>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</si>
  <si>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</si>
  <si>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</si>
  <si>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</si>
  <si>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</si>
  <si>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</si>
  <si>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</si>
  <si>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</si>
  <si>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</si>
  <si>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</si>
  <si>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</si>
  <si>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</si>
  <si>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</si>
  <si>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</si>
  <si>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</si>
  <si>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</si>
  <si>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</si>
  <si>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</si>
  <si>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</si>
  <si>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</si>
  <si>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</si>
  <si>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</si>
  <si>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</si>
  <si>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</si>
  <si>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</si>
  <si>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</si>
  <si>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</si>
  <si>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</si>
  <si>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</si>
  <si>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</si>
  <si>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</si>
  <si>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</si>
  <si>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</si>
  <si>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</si>
  <si>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</si>
  <si>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</si>
  <si>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</si>
  <si>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</si>
  <si>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</si>
  <si>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</si>
  <si>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</si>
  <si>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</si>
  <si>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</si>
  <si>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</si>
  <si>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</si>
  <si>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</si>
  <si>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</si>
  <si>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</si>
  <si>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</si>
  <si>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</si>
  <si>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</si>
  <si>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</si>
  <si>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</si>
  <si>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</si>
  <si>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</si>
  <si>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</si>
  <si>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</si>
  <si>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</si>
  <si>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</si>
  <si>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</si>
  <si>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</si>
  <si>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</si>
  <si>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</si>
  <si>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</si>
  <si>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</si>
  <si>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</si>
  <si>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</si>
  <si>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</si>
  <si>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</si>
  <si>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</si>
  <si>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</si>
  <si>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</si>
  <si>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</si>
  <si>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</si>
  <si>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</si>
  <si>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</si>
  <si>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</si>
  <si>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</si>
  <si>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</si>
  <si>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</si>
  <si>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</si>
  <si>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</si>
  <si>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</si>
  <si>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</si>
  <si>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</si>
  <si>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</si>
  <si>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</si>
  <si>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</si>
  <si>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</si>
  <si>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</si>
  <si>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</si>
  <si>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</si>
  <si>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</si>
  <si>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</si>
  <si>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</si>
  <si>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</si>
  <si>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</si>
  <si>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</si>
  <si>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</si>
  <si>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</si>
  <si>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</si>
  <si>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</si>
  <si>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</si>
  <si>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</si>
  <si>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</si>
  <si>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</si>
  <si>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</si>
  <si>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</si>
  <si>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</si>
  <si>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</si>
  <si>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</si>
  <si>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</si>
  <si>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</si>
  <si>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</si>
  <si>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</si>
  <si>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</si>
  <si>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</si>
  <si>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</si>
  <si>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</si>
  <si>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</si>
  <si>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</si>
  <si>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</si>
  <si>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</si>
  <si>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</si>
  <si>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</si>
  <si>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</si>
  <si>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</si>
  <si>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</si>
  <si>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</si>
  <si>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</si>
  <si>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</si>
  <si>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</si>
  <si>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</si>
  <si>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</si>
  <si>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</si>
  <si>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</si>
  <si>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</si>
  <si>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</si>
  <si>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</si>
  <si>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</si>
  <si>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</si>
  <si>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</si>
  <si>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</si>
  <si>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</si>
  <si>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</si>
  <si>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</si>
  <si>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</si>
  <si>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</si>
  <si>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</si>
  <si>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</si>
  <si>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</si>
  <si>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</si>
  <si>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</si>
  <si>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</si>
  <si>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</si>
  <si>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</si>
  <si>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</si>
  <si>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</si>
  <si>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</si>
  <si>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</si>
  <si>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</si>
  <si>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</si>
  <si>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</si>
  <si>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</si>
  <si>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</si>
  <si>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</si>
  <si>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</si>
  <si>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</si>
  <si>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</si>
  <si>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</si>
  <si>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</si>
  <si>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</si>
  <si>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</si>
  <si>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</si>
  <si>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</si>
  <si>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</si>
  <si>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</si>
  <si>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</si>
  <si>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</si>
  <si>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</si>
  <si>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</si>
  <si>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</si>
  <si>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</si>
  <si>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</si>
  <si>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</si>
  <si>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</si>
  <si>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</si>
  <si>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</si>
  <si>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</si>
  <si>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</si>
  <si>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</si>
  <si>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</si>
  <si>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</si>
  <si>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</si>
  <si>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</si>
  <si>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</si>
  <si>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</si>
  <si>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</si>
  <si>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</si>
  <si>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</si>
  <si>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</si>
  <si>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</si>
  <si>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</si>
  <si>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</si>
  <si>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</si>
  <si>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</si>
  <si>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</si>
  <si>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</si>
  <si>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</si>
  <si>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</si>
  <si>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</si>
  <si>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</si>
  <si>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</si>
  <si>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</si>
  <si>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</si>
  <si>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</si>
  <si>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</si>
  <si>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</si>
  <si>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</si>
  <si>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</si>
  <si>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</si>
  <si>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</si>
  <si>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</si>
  <si>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</si>
  <si>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</si>
  <si>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</si>
  <si>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</si>
  <si>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</si>
  <si>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</si>
  <si>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</si>
  <si>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</si>
  <si>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</si>
  <si>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</si>
  <si>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</si>
  <si>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</si>
  <si>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</si>
  <si>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</si>
  <si>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</si>
  <si>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</si>
  <si>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</si>
  <si>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</si>
  <si>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</si>
  <si>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</si>
  <si>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</si>
  <si>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</si>
  <si>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</si>
  <si>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</si>
  <si>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</si>
  <si>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</si>
  <si>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</si>
  <si>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</si>
  <si>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</si>
  <si>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</si>
  <si>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</si>
  <si>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</si>
  <si>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</si>
  <si>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</si>
  <si>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</si>
  <si>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</si>
  <si>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</si>
  <si>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</si>
  <si>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</si>
  <si>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</si>
  <si>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</si>
  <si>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</si>
  <si>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</si>
  <si>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</si>
  <si>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</si>
  <si>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</si>
  <si>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</si>
  <si>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</si>
  <si>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</si>
  <si>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</si>
  <si>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</si>
  <si>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</si>
  <si>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</si>
  <si>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</si>
  <si>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</si>
  <si>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</si>
  <si>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Melchor Mañó</t>
  </si>
  <si>
    <t>Corredera LBN 4H2C</t>
  </si>
  <si>
    <t>2350x2280 mm</t>
  </si>
  <si>
    <t>35040 - 60 Kgrs</t>
  </si>
  <si>
    <t>35037 - 60 Kgrs</t>
  </si>
  <si>
    <t>35054 - CAVE adhesivo</t>
  </si>
  <si>
    <t>Inferior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</si>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</sst>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571500</xdr:colOff>
      <xdr:row>12</xdr:row>
      <xdr:rowOff>180975</xdr:rowOff>
    </xdr:from>
    <xdr:to>
      <xdr:col>5</xdr:col>
      <xdr:colOff>679661</xdr:colOff>
      <xdr:row>24</xdr:row>
      <xdr:rowOff>54975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D25B3A0-C251-E575-E00E-1443A69E3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2619375"/>
          <a:ext cx="3089486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G13" sqref="G13:G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20250058</v>
      </c>
      <c r="G7" s="8">
        <f ca="1">TODAY()</f>
        <v>45729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287</v>
      </c>
      <c r="C13" s="79" t="str">
        <f>IFERROR(VLOOKUP($B13,Tarifa_all_20240711!$A$2:$G$660,2,FALSE()),"-")</f>
        <v>CASC.DOBLE GUIA DESM.LAC.BLANCO MATE 9003-3 MTS</v>
      </c>
      <c r="D13" s="79"/>
      <c r="E13" s="17">
        <v>1</v>
      </c>
      <c r="F13" s="18">
        <f>IFERROR(VLOOKUP($B13,Tarifa_all_20240711!$A$2:$G$660,5,FALSE()),"-")</f>
        <v>173.1525</v>
      </c>
      <c r="G13" s="18">
        <f t="shared" ref="G13:G30" si="0">IFERROR(E13*F13,"-")</f>
        <v>173.1525</v>
      </c>
      <c r="H13" s="1"/>
    </row>
    <row r="14" spans="1:12" x14ac:dyDescent="0.25">
      <c r="A14" t="s">
        <v>15</v>
      </c>
      <c r="B14" s="16" t="s">
        <v>271</v>
      </c>
      <c r="C14" s="79" t="str">
        <f>IFERROR(VLOOKUP($B14,Tarifa_all_20240711!$A$2:$G$660,2,FALSE()),"-")</f>
        <v>GUIA SKY PLUS DESMONT.LAC.BLANCO MATE 9003-3 MTS</v>
      </c>
      <c r="D14" s="79"/>
      <c r="E14" s="17">
        <v>2</v>
      </c>
      <c r="F14" s="18">
        <f>IFERROR(VLOOKUP($B14,Tarifa_all_20240711!$A$2:$G$660,5,FALSE()),"-")</f>
        <v>65.324999999999989</v>
      </c>
      <c r="G14" s="18">
        <f t="shared" si="0"/>
        <v>130.64999999999998</v>
      </c>
      <c r="H14" s="1"/>
    </row>
    <row r="15" spans="1:12" x14ac:dyDescent="0.25">
      <c r="A15" t="s">
        <v>16</v>
      </c>
      <c r="B15" s="16" t="s">
        <v>293</v>
      </c>
      <c r="C15" s="79" t="str">
        <f>IFERROR(VLOOKUP($B15,Tarifa_all_20240711!$A$2:$G$660,2,FALSE()),"-")</f>
        <v>KIT ANCLAJE TECHO PARA GUIA PLADUR PLUS DEMONTABLE</v>
      </c>
      <c r="D15" s="79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337</v>
      </c>
      <c r="C16" s="79" t="str">
        <f>IFERROR(VLOOKUP($B16,Tarifa_all_20240711!$A$2:$G$660,2,FALSE()),"-")</f>
        <v>KIT AMORTIGUADOR SKY BIDIRECCIONAL 60KG</v>
      </c>
      <c r="D16" s="79"/>
      <c r="E16" s="17">
        <v>4</v>
      </c>
      <c r="F16" s="18">
        <f>IFERROR(VLOOKUP($B16,Tarifa_all_20240711!$A$2:$G$660,5,FALSE()),"-")</f>
        <v>30.599999999999998</v>
      </c>
      <c r="G16" s="18">
        <f t="shared" si="0"/>
        <v>122.39999999999999</v>
      </c>
      <c r="H16" s="1"/>
    </row>
    <row r="17" spans="1:8" x14ac:dyDescent="0.25">
      <c r="A17" t="s">
        <v>18</v>
      </c>
      <c r="B17" s="16" t="s">
        <v>125</v>
      </c>
      <c r="C17" s="79" t="str">
        <f>IFERROR(VLOOKUP($B17,Tarifa_all_20240711!$A$2:$G$660,2,FALSE()),"-")</f>
        <v>KIT PUERTA PA CORREDERA LAC.BLANCO MATE 9003</v>
      </c>
      <c r="D17" s="79"/>
      <c r="E17" s="17">
        <v>4</v>
      </c>
      <c r="F17" s="18">
        <f>IFERROR(VLOOKUP($B17,Tarifa_all_20240711!$A$2:$G$660,5,FALSE()),"-")</f>
        <v>215.65500000000003</v>
      </c>
      <c r="G17" s="18">
        <f t="shared" si="0"/>
        <v>862.62000000000012</v>
      </c>
      <c r="H17" s="1"/>
    </row>
    <row r="18" spans="1:8" x14ac:dyDescent="0.25">
      <c r="A18" t="s">
        <v>19</v>
      </c>
      <c r="B18" s="16" t="s">
        <v>331</v>
      </c>
      <c r="C18" s="79" t="str">
        <f>IFERROR(VLOOKUP($B18,Tarifa_all_20240711!$A$2:$G$660,2,FALSE()),"-")</f>
        <v>CARRO SKY MADERA 60KG</v>
      </c>
      <c r="D18" s="79"/>
      <c r="E18" s="17">
        <v>4</v>
      </c>
      <c r="F18" s="18">
        <f>IFERROR(VLOOKUP($B18,Tarifa_all_20240711!$A$2:$G$660,5,FALSE()),"-")</f>
        <v>16.634999999999998</v>
      </c>
      <c r="G18" s="18">
        <f t="shared" si="0"/>
        <v>66.539999999999992</v>
      </c>
      <c r="H18" s="1"/>
    </row>
    <row r="19" spans="1:8" x14ac:dyDescent="0.25">
      <c r="A19" t="s">
        <v>20</v>
      </c>
      <c r="B19" s="16" t="s">
        <v>371</v>
      </c>
      <c r="C19" s="79" t="str">
        <f>IFERROR(VLOOKUP($B19,Tarifa_all_20240711!$A$2:$G$660,2,FALSE()),"-")</f>
        <v>TIRADOR RECT.ADH CAVE LAC.BLANCO MATE 9003: 2 UDS</v>
      </c>
      <c r="D19" s="79"/>
      <c r="E19" s="17">
        <v>4</v>
      </c>
      <c r="F19" s="18">
        <f>IFERROR(VLOOKUP($B19,Tarifa_all_20240711!$A$2:$G$660,5,FALSE()),"-")</f>
        <v>59.122500000000002</v>
      </c>
      <c r="G19" s="18">
        <f t="shared" si="0"/>
        <v>236.49</v>
      </c>
      <c r="H19" s="1"/>
    </row>
    <row r="20" spans="1:8" x14ac:dyDescent="0.25">
      <c r="A20" t="s">
        <v>21</v>
      </c>
      <c r="B20" s="16" t="s">
        <v>318</v>
      </c>
      <c r="C20" s="79" t="str">
        <f>IFERROR(VLOOKUP($B20,Tarifa_all_20240711!$A$2:$G$660,2,FALSE()),"-")</f>
        <v>GUIADOR FIJO PA LAC.BLANCO MATE 9003</v>
      </c>
      <c r="D20" s="79"/>
      <c r="E20" s="17">
        <v>4</v>
      </c>
      <c r="F20" s="18">
        <f>IFERROR(VLOOKUP($B20,Tarifa_all_20240711!$A$2:$G$660,5,FALSE()),"-")</f>
        <v>8.61</v>
      </c>
      <c r="G20" s="18">
        <f t="shared" si="0"/>
        <v>34.44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1696.7175000000002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60" zoomScaleNormal="85" workbookViewId="0">
      <selection activeCell="G19" sqref="G1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Melchor Mañó</v>
      </c>
      <c r="C9" s="86"/>
      <c r="D9" s="86"/>
      <c r="F9" s="3" t="s">
        <v>81</v>
      </c>
      <c r="G9" s="44">
        <f ca="1">TODAY()</f>
        <v>45729</v>
      </c>
    </row>
    <row r="10" spans="1:7" x14ac:dyDescent="0.25">
      <c r="A10" s="3" t="s">
        <v>82</v>
      </c>
      <c r="B10" s="11" t="str">
        <f>'DESPIECE (MATANALYSIS)'!C9</f>
        <v>Corredera LBN 4H2C</v>
      </c>
      <c r="C10" s="45"/>
      <c r="D10" s="45"/>
      <c r="E10" s="46"/>
      <c r="F10" s="47" t="s">
        <v>83</v>
      </c>
      <c r="G10" s="7">
        <f>'DESPIECE (MATANALYSIS)'!C7</f>
        <v>20250058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89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90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91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92</v>
      </c>
      <c r="B40" s="55" t="s">
        <v>1454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(MATANALYSIS)'!G31</f>
        <v>1696.7175000000002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2025-03-13T11:35:38Z</dcterms:modified>
  <dc:language>es-ES</dc:language>
</cp:coreProperties>
</file>