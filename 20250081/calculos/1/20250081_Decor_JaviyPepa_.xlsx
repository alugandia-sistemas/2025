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81\calculos\1\"/>
    </mc:Choice>
  </mc:AlternateContent>
  <xr:revisionPtr revIDLastSave="0" documentId="13_ncr:1_{41116502-625D-40DD-B122-1747F1A457CC}" xr6:coauthVersionLast="47" xr6:coauthVersionMax="47" xr10:uidLastSave="{00000000-0000-0000-0000-000000000000}"/>
  <bookViews>
    <workbookView xWindow="-19125" yWindow="495" windowWidth="17640" windowHeight="144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B33" i="2" l="1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I3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<sst xmlns="http://schemas.openxmlformats.org/spreadsheetml/2006/main" count="5412" uniqueCount="1457">
  <si>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</si>
  <si>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</si>
  <si>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</si>
  <si>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</si>
  <si>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</si>
  <si>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</si>
  <si>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</si>
  <si>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</si>
  <si>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</si>
  <si>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</si>
  <si>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</si>
  <si>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</si>
  <si>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</si>
  <si>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</si>
  <si>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</si>
  <si>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</si>
  <si>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</si>
  <si>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</si>
  <si>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</si>
  <si>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</si>
  <si>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</si>
  <si>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</si>
  <si>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</si>
  <si>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</si>
  <si>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</si>
  <si>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</si>
  <si>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</si>
  <si>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</si>
  <si>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</si>
  <si>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</si>
  <si>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</si>
  <si>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</si>
  <si>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</si>
  <si>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</si>
  <si>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</si>
  <si>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</si>
  <si>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</si>
  <si>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</si>
  <si>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</si>
  <si>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</si>
  <si>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</si>
  <si>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</si>
  <si>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</si>
  <si>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</si>
  <si>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</si>
  <si>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</si>
  <si>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</si>
  <si>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</si>
  <si>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</si>
  <si>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</si>
  <si>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</si>
  <si>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</si>
  <si>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</si>
  <si>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</si>
  <si>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</si>
  <si>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</si>
  <si>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</si>
  <si>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</si>
  <si>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</si>
  <si>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</si>
  <si>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</si>
  <si>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</si>
  <si>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</si>
  <si>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</si>
  <si>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</si>
  <si>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</si>
  <si>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</si>
  <si>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</si>
  <si>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</si>
  <si>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</si>
  <si>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</si>
  <si>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</si>
  <si>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</si>
  <si>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</si>
  <si>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</si>
  <si>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</si>
  <si>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</si>
  <si>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</si>
  <si>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</si>
  <si>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</si>
  <si>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</si>
  <si>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</si>
  <si>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</si>
  <si>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</si>
  <si>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</si>
  <si>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</si>
  <si>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</si>
  <si>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</si>
  <si>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</si>
  <si>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</si>
  <si>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</si>
  <si>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</si>
  <si>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</si>
  <si>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</si>
  <si>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</si>
  <si>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</si>
  <si>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</si>
  <si>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</si>
  <si>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</si>
  <si>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</si>
  <si>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</si>
  <si>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</si>
  <si>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</si>
  <si>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</si>
  <si>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</si>
  <si>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</si>
  <si>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</si>
  <si>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</si>
  <si>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</si>
  <si>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</si>
  <si>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</si>
  <si>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</si>
  <si>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</si>
  <si>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</si>
  <si>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</si>
  <si>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</si>
  <si>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</si>
  <si>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</si>
  <si>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</si>
  <si>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</si>
  <si>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</si>
  <si>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</si>
  <si>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</si>
  <si>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</si>
  <si>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</si>
  <si>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</si>
  <si>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</si>
  <si>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</si>
  <si>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</si>
  <si>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</si>
  <si>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</si>
  <si>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</si>
  <si>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</si>
  <si>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</si>
  <si>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</si>
  <si>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</si>
  <si>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</si>
  <si>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</si>
  <si>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</si>
  <si>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</si>
  <si>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</si>
  <si>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</si>
  <si>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</si>
  <si>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</si>
  <si>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</si>
  <si>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</si>
  <si>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</si>
  <si>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</si>
  <si>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</si>
  <si>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</si>
  <si>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</si>
  <si>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</si>
  <si>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</si>
  <si>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</si>
  <si>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</si>
  <si>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</si>
  <si>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</si>
  <si>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</si>
  <si>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</si>
  <si>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</si>
  <si>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</si>
  <si>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</si>
  <si>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</si>
  <si>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</si>
  <si>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</si>
  <si>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</si>
  <si>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</si>
  <si>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</si>
  <si>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</si>
  <si>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</si>
  <si>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</si>
  <si>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</si>
  <si>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</si>
  <si>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</si>
  <si>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</si>
  <si>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</si>
  <si>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</si>
  <si>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</si>
  <si>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</si>
  <si>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</si>
  <si>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</si>
  <si>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</si>
  <si>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</si>
  <si>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</si>
  <si>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</si>
  <si>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</si>
  <si>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</si>
  <si>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</si>
  <si>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</si>
  <si>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</si>
  <si>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</si>
  <si>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</si>
  <si>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</si>
  <si>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</si>
  <si>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</si>
  <si>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</si>
  <si>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</si>
  <si>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</si>
  <si>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</si>
  <si>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</si>
  <si>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</si>
  <si>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</si>
  <si>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</si>
  <si>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</si>
  <si>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</si>
  <si>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</si>
  <si>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</si>
  <si>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</si>
  <si>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</si>
  <si>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</si>
  <si>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</si>
  <si>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</si>
  <si>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</si>
  <si>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</si>
  <si>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</si>
  <si>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</si>
  <si>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</si>
  <si>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</si>
  <si>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</si>
  <si>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</si>
  <si>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</si>
  <si>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</si>
  <si>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</si>
  <si>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</si>
  <si>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</si>
  <si>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</si>
  <si>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</si>
  <si>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</si>
  <si>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</si>
  <si>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</si>
  <si>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</si>
  <si>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</si>
  <si>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</si>
  <si>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</si>
  <si>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</si>
  <si>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</si>
  <si>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</si>
  <si>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</si>
  <si>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</si>
  <si>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</si>
  <si>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</si>
  <si>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</si>
  <si>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</si>
  <si>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</si>
  <si>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</si>
  <si>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</si>
  <si>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</si>
  <si>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</si>
  <si>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</si>
  <si>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</si>
  <si>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</si>
  <si>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</si>
  <si>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</si>
  <si>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</si>
  <si>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</si>
  <si>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</si>
  <si>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</si>
  <si>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</si>
  <si>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</si>
  <si>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</si>
  <si>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</si>
  <si>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</si>
  <si>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</si>
  <si>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</si>
  <si>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</si>
  <si>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</si>
  <si>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</si>
  <si>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</si>
  <si>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</si>
  <si>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</si>
  <si>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</si>
  <si>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</si>
  <si>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</si>
  <si>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</si>
  <si>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</si>
  <si>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</si>
  <si>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</si>
  <si>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</si>
  <si>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</si>
  <si>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</si>
  <si>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</si>
  <si>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</si>
  <si>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</si>
  <si>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</si>
  <si>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</si>
  <si>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</si>
  <si>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</si>
  <si>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</si>
  <si>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</si>
  <si>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</si>
  <si>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</si>
  <si>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</si>
  <si>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</si>
  <si>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</si>
  <si>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</si>
  <si>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</si>
  <si>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</si>
  <si>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</si>
  <si>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</si>
  <si>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</si>
  <si>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</si>
  <si>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</si>
  <si>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</si>
  <si>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</si>
  <si>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</si>
  <si>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</si>
  <si>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</si>
  <si>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</si>
  <si>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</si>
  <si>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</si>
  <si>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</si>
  <si>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</si>
  <si>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</si>
  <si>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</si>
  <si>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</si>
  <si>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</si>
  <si>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</si>
  <si>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</si>
  <si>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</si>
  <si>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</si>
  <si>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</si>
  <si>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</si>
  <si>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</si>
  <si>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</si>
  <si>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</si>
  <si>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</si>
  <si>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</si>
  <si>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</si>
  <si>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</si>
  <si>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</si>
  <si>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</si>
  <si>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</si>
  <si>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</si>
  <si>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</si>
  <si>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</si>
  <si>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</si>
  <si>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</si>
  <si>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</si>
  <si>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</si>
  <si>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</si>
  <si>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</si>
  <si>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</si>
  <si>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</si>
  <si>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</si>
  <si>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</si>
  <si>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</si>
  <si>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</si>
  <si>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</si>
  <si>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</si>
  <si>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</si>
  <si>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</si>
  <si>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</si>
  <si>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</si>
  <si>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</si>
  <si>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</si>
  <si>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</si>
  <si>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</si>
  <si>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</si>
  <si>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</si>
  <si>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</si>
  <si>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</si>
  <si>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</si>
  <si>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</si>
  <si>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</si>
  <si>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</si>
  <si>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</si>
  <si>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</si>
  <si>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</si>
  <si>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</si>
  <si>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</si>
  <si>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</si>
  <si>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</si>
  <si>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</si>
  <si>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</si>
  <si>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</si>
  <si>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</si>
  <si>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</si>
  <si>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</si>
  <si>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</si>
  <si>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</si>
  <si>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</si>
  <si>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</si>
  <si>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</si>
  <si>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</si>
  <si>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</si>
  <si>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</si>
  <si>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</si>
  <si>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</si>
  <si>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</si>
  <si>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</si>
  <si>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</si>
  <si>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</si>
  <si>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</si>
  <si>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</si>
  <si>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</si>
  <si>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</si>
  <si>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</si>
  <si>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</si>
  <si>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</si>
  <si>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</si>
  <si>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</si>
  <si>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</si>
  <si>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</si>
  <si>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</si>
  <si>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</si>
  <si>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</si>
  <si>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</si>
  <si>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</si>
  <si>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</si>
  <si>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</si>
  <si>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</si>
  <si>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</si>
  <si>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</si>
  <si>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</si>
  <si>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</si>
  <si>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</si>
  <si>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</si>
  <si>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</si>
  <si>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</si>
  <si>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</si>
  <si>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</si>
  <si>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</si>
  <si>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</si>
  <si>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</si>
  <si>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</si>
  <si>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</si>
  <si>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</si>
  <si>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</si>
  <si>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</si>
  <si>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</si>
  <si>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</si>
  <si>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</si>
  <si>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</si>
  <si>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</si>
  <si>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</si>
  <si>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</si>
  <si>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</si>
  <si>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</si>
  <si>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</si>
  <si>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</si>
  <si>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</si>
  <si>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</si>
  <si>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</si>
  <si>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</si>
  <si>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</si>
  <si>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</si>
  <si>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</si>
  <si>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</si>
  <si>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</si>
  <si>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</si>
  <si>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</si>
  <si>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</si>
  <si>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</si>
  <si>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</si>
  <si>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</si>
  <si>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</si>
  <si>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</si>
  <si>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</si>
  <si>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</si>
  <si>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</si>
  <si>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</si>
  <si>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</si>
  <si>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</si>
  <si>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</si>
  <si>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</si>
  <si>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</si>
  <si>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</si>
  <si>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</si>
  <si>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</si>
  <si>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</si>
  <si>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</si>
  <si>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</si>
  <si>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</si>
  <si>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</si>
  <si>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</si>
  <si>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</si>
  <si>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</si>
  <si>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</si>
  <si>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</si>
  <si>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</si>
  <si>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</si>
  <si>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</si>
  <si>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</si>
  <si>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</si>
  <si>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</si>
  <si>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</si>
  <si>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</si>
  <si>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</si>
  <si>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</si>
  <si>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</si>
  <si>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</si>
  <si>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</si>
  <si>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</si>
  <si>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</si>
  <si>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</si>
  <si>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</si>
  <si>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</si>
  <si>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</si>
  <si>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</si>
  <si>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</si>
  <si>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</si>
  <si>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</si>
  <si>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</si>
  <si>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</si>
  <si>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</si>
  <si>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</si>
  <si>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</si>
  <si>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</si>
  <si>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</si>
  <si>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</si>
  <si>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</si>
  <si>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</si>
  <si>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</si>
  <si>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</si>
  <si>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</si>
  <si>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</si>
  <si>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</si>
  <si>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</si>
  <si>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</si>
  <si>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</si>
  <si>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</si>
  <si>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</si>
  <si>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</si>
  <si>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</si>
  <si>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</si>
  <si>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</si>
  <si>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</si>
  <si>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</si>
  <si>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</si>
  <si>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</si>
  <si>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</si>
  <si>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</si>
  <si>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</si>
  <si>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</si>
  <si>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</si>
  <si>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</si>
  <si>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</si>
  <si>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</si>
  <si>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</si>
  <si>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</si>
  <si>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</si>
  <si>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</si>
  <si>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</si>
  <si>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</si>
  <si>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</si>
  <si>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</si>
  <si>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</si>
  <si>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</si>
  <si>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</si>
  <si>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</si>
  <si>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</si>
  <si>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</si>
  <si>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</si>
  <si>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</si>
  <si>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</si>
  <si>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</si>
  <si>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</si>
  <si>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</si>
  <si>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</si>
  <si>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</si>
  <si>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</si>
  <si>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</si>
  <si>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</si>
  <si>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</si>
  <si>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</si>
  <si>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</si>
  <si>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</si>
  <si>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</si>
  <si>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</si>
  <si>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</si>
  <si>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</si>
  <si>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</si>
  <si>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</si>
  <si>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</si>
  <si>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</si>
  <si>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</si>
  <si>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</si>
  <si>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</si>
  <si>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</si>
  <si>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</si>
  <si>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</si>
  <si>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</si>
  <si>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</si>
  <si>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</si>
  <si>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</si>
  <si>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</si>
  <si>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</si>
  <si>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</si>
  <si>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</si>
  <si>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</si>
  <si>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</si>
  <si>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</si>
  <si>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</si>
  <si>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</si>
  <si>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</si>
  <si>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</si>
  <si>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</si>
  <si>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</si>
  <si>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</si>
  <si>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</si>
  <si>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</si>
  <si>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</si>
  <si>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</si>
  <si>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</si>
  <si>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</si>
  <si>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</si>
  <si>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</si>
  <si>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</si>
  <si>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</si>
  <si>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</si>
  <si>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</si>
  <si>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</si>
  <si>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</si>
  <si>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</si>
  <si>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</si>
  <si>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</si>
  <si>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</si>
  <si>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</si>
  <si>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</si>
  <si>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</si>
  <si>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</si>
  <si>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</si>
  <si>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</si>
  <si>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</si>
  <si>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</si>
  <si>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</si>
  <si>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</si>
  <si>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</si>
  <si>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</si>
  <si>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</si>
  <si>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</si>
  <si>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</si>
  <si>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</si>
  <si>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</si>
  <si>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</si>
  <si>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</si>
  <si>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</si>
  <si>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</si>
  <si>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</si>
  <si>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</si>
  <si>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</si>
  <si>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</si>
  <si>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</si>
  <si>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</si>
  <si>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</si>
  <si>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</si>
  <si>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</si>
  <si>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</si>
  <si>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</si>
  <si>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</si>
  <si>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</si>
  <si>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</si>
  <si>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</si>
  <si>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</si>
  <si>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</si>
  <si>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</si>
  <si>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</si>
  <si>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</si>
  <si>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</si>
  <si>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</si>
  <si>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</si>
  <si>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</si>
  <si>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</si>
  <si>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</si>
  <si>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</si>
  <si>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</si>
  <si>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</si>
  <si>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</si>
  <si>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</si>
  <si>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</si>
  <si>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</si>
  <si>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</si>
  <si>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</si>
  <si>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</si>
  <si>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</si>
  <si>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</si>
  <si>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</si>
  <si>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</si>
  <si>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</si>
  <si>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</si>
  <si>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</si>
  <si>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</si>
  <si>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</si>
  <si>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</si>
  <si>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</si>
  <si>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</si>
  <si>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</si>
  <si>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</si>
  <si>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</si>
  <si>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</si>
  <si>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</si>
  <si>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</si>
  <si>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</si>
  <si>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</si>
  <si>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</si>
  <si>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</si>
  <si>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</si>
  <si>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</si>
  <si>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</si>
  <si>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</si>
  <si>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</si>
  <si>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</si>
  <si>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</si>
  <si>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</si>
  <si>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</si>
  <si>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</si>
  <si>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</si>
  <si>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</si>
  <si>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</si>
  <si>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</si>
  <si>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</si>
  <si>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</si>
  <si>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</si>
  <si>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</si>
  <si>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</si>
  <si>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</si>
  <si>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</si>
  <si>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</si>
  <si>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</si>
  <si>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</si>
  <si>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</si>
  <si>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</si>
  <si>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</si>
  <si>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</si>
  <si>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</si>
  <si>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</si>
  <si>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</si>
  <si>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</si>
  <si>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</si>
  <si>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</si>
  <si>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</si>
  <si>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</si>
  <si>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</si>
  <si>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</si>
  <si>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</si>
  <si>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</si>
  <si>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</si>
  <si>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</si>
  <si>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</si>
  <si>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</si>
  <si>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</si>
  <si>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</si>
  <si>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</si>
  <si>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</si>
  <si>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</si>
  <si>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</si>
  <si>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</si>
  <si>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</si>
  <si>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</si>
  <si>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</si>
  <si>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</si>
  <si>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</si>
  <si>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</si>
  <si>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</si>
  <si>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</si>
  <si>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</si>
  <si>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</si>
  <si>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</si>
  <si>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</si>
  <si>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</si>
  <si>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</si>
  <si>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</si>
  <si>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</si>
  <si>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</si>
  <si>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</si>
  <si>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</si>
  <si>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</si>
  <si>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</si>
  <si>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</si>
  <si>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</si>
  <si>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</si>
  <si>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</si>
  <si>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</si>
  <si>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</si>
  <si>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</si>
  <si>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</si>
  <si>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</si>
  <si>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</si>
  <si>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</si>
  <si>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</si>
  <si>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</si>
  <si>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</si>
  <si>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</si>
  <si>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</si>
  <si>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</si>
  <si>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</si>
  <si>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</si>
  <si>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</si>
  <si>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</si>
  <si>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</si>
  <si>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</si>
  <si>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</si>
  <si>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</si>
  <si>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</si>
  <si>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</si>
  <si>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</si>
  <si>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</si>
  <si>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</si>
  <si>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</si>
  <si>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</si>
  <si>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</si>
  <si>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</si>
  <si>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</si>
  <si>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</si>
  <si>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</si>
  <si>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</si>
  <si>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</si>
  <si>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</si>
  <si>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</si>
  <si>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</si>
  <si>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</si>
  <si>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</si>
  <si>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</si>
  <si>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</si>
  <si>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</si>
  <si>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</si>
  <si>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</si>
  <si>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</si>
  <si>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</si>
  <si>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</si>
  <si>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</si>
  <si>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</si>
  <si>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</si>
  <si>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</si>
  <si>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</si>
  <si>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</si>
  <si>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</si>
  <si>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</si>
  <si>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</si>
  <si>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</si>
  <si>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</si>
  <si>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</si>
  <si>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</si>
  <si>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</si>
  <si>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</si>
  <si>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</si>
  <si>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</si>
  <si>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</si>
  <si>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</si>
  <si>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</si>
  <si>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</si>
  <si>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</si>
  <si>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</si>
  <si>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</si>
  <si>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</si>
  <si>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</si>
  <si>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</si>
  <si>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</si>
  <si>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</si>
  <si>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</si>
  <si>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</si>
  <si>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</si>
  <si>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</si>
  <si>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</si>
  <si>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</si>
  <si>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</si>
  <si>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</si>
  <si>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</si>
  <si>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</si>
  <si>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</si>
  <si>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</si>
  <si>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</si>
  <si>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</si>
  <si>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</si>
  <si>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</si>
  <si>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</si>
  <si>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</si>
  <si>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</si>
  <si>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</si>
  <si>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</si>
  <si>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</si>
  <si>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</si>
  <si>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</si>
  <si>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</si>
  <si>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</si>
  <si>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</si>
  <si>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</si>
  <si>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</si>
  <si>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</si>
  <si>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</si>
  <si>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</si>
  <si>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</si>
  <si>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</si>
  <si>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</si>
  <si>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</si>
  <si>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</si>
  <si>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</si>
  <si>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</si>
  <si>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</si>
  <si>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</si>
  <si>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</si>
  <si>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</si>
  <si>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</si>
  <si>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</si>
  <si>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</si>
  <si>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</si>
  <si>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</si>
  <si>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</si>
  <si>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</si>
  <si>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</si>
  <si>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</si>
  <si>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</si>
  <si>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</si>
  <si>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</si>
  <si>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</si>
  <si>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</si>
  <si>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</si>
  <si>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</si>
  <si>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</si>
  <si>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</si>
  <si>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</si>
  <si>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</si>
  <si>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</si>
  <si>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</si>
  <si>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</si>
  <si>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</si>
  <si>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</si>
  <si>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</si>
  <si>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</si>
  <si>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</si>
  <si>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</si>
  <si>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</si>
  <si>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</si>
  <si>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</si>
  <si>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</si>
  <si>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</si>
  <si>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</si>
  <si>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</si>
  <si>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</si>
  <si>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</si>
  <si>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</si>
  <si>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</si>
  <si>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</si>
  <si>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</si>
  <si>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</si>
  <si>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</si>
  <si>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</si>
  <si>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</si>
  <si>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</si>
  <si>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</si>
  <si>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</si>
  <si>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</si>
  <si>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</si>
  <si>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</si>
  <si>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</si>
  <si>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</si>
  <si>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</si>
  <si>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</si>
  <si>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</si>
  <si>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</si>
  <si>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</si>
  <si>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</si>
  <si>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</si>
  <si>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</si>
  <si>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</si>
  <si>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</si>
  <si>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</si>
  <si>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</si>
  <si>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</si>
  <si>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</si>
  <si>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</si>
  <si>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</si>
  <si>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</si>
  <si>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</si>
  <si>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</si>
  <si>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</si>
  <si>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</si>
  <si>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</si>
  <si>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</si>
  <si>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</si>
  <si>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</si>
  <si>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</si>
  <si>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</si>
  <si>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</si>
  <si>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</si>
  <si>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</si>
  <si>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</si>
  <si>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</si>
  <si>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</si>
  <si>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</si>
  <si>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</si>
  <si>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</si>
  <si>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</si>
  <si>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</si>
  <si>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</si>
  <si>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</si>
  <si>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</si>
  <si>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</si>
  <si>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</si>
  <si>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</si>
  <si>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</si>
  <si>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</si>
  <si>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</si>
  <si>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</si>
  <si>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</si>
  <si>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</si>
  <si>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</si>
  <si>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</si>
  <si>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</si>
  <si>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</si>
  <si>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</si>
  <si>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</si>
  <si>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</si>
  <si>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</si>
  <si>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</si>
  <si>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</si>
  <si>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</si>
  <si>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</si>
  <si>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</si>
  <si>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</si>
  <si>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</si>
  <si>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</si>
  <si>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</si>
  <si>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</si>
  <si>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</si>
  <si>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</si>
  <si>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</si>
  <si>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</si>
  <si>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</si>
  <si>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</si>
  <si>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</si>
  <si>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</si>
  <si>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</si>
  <si>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</si>
  <si>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</si>
  <si>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</si>
  <si>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</si>
  <si>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</si>
  <si>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</si>
  <si>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</si>
  <si>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</si>
  <si>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</si>
  <si>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</si>
  <si>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</si>
  <si>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</si>
  <si>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</si>
  <si>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</si>
  <si>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</si>
  <si>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</si>
  <si>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</si>
  <si>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</si>
  <si>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</si>
  <si>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</si>
  <si>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</si>
  <si>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</si>
  <si>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</si>
  <si>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</si>
  <si>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</si>
  <si>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</si>
  <si>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</si>
  <si>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</si>
  <si>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</si>
  <si>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</si>
  <si>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</si>
  <si>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</si>
  <si>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</si>
  <si>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</si>
  <si>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</si>
  <si>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</si>
  <si>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</si>
  <si>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</si>
  <si>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</si>
  <si>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</si>
  <si>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</si>
  <si>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</si>
  <si>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</si>
  <si>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</si>
  <si>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</si>
  <si>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</si>
  <si>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</si>
  <si>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</si>
  <si>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</si>
  <si>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</si>
  <si>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</si>
  <si>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</si>
  <si>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</si>
  <si>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</si>
  <si>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</si>
  <si>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</si>
  <si>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</si>
  <si>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</si>
  <si>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</si>
  <si>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</si>
  <si>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</si>
  <si>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</si>
  <si>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</si>
  <si>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</si>
  <si>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</si>
  <si>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</si>
  <si>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</si>
  <si>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</si>
  <si>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</si>
  <si>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</si>
  <si>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</si>
  <si>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</si>
  <si>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</si>
  <si>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</si>
  <si>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</si>
  <si>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</si>
  <si>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</si>
  <si>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</si>
  <si>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</si>
  <si>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</si>
  <si>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</si>
  <si>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</si>
  <si>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</si>
  <si>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</si>
  <si>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</si>
  <si>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</si>
  <si>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</si>
  <si>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</si>
  <si>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</si>
  <si>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</si>
  <si>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</si>
  <si>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</si>
  <si>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</si>
  <si>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</si>
  <si>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</si>
  <si>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</si>
  <si>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</si>
  <si>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</si>
  <si>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</si>
  <si>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</si>
  <si>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</si>
  <si>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</si>
  <si>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</si>
  <si>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</si>
  <si>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</si>
  <si>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</si>
  <si>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</si>
  <si>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</si>
  <si>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</si>
  <si>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</si>
  <si>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</si>
  <si>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</si>
  <si>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</si>
  <si>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</si>
  <si>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</si>
  <si>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</si>
  <si>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</si>
  <si>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</si>
  <si>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</si>
  <si>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</si>
  <si>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</si>
  <si>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</si>
  <si>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</si>
  <si>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</si>
  <si>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</si>
  <si>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</si>
  <si>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</si>
  <si>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</si>
  <si>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</si>
  <si>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</si>
  <si>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</si>
  <si>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</si>
  <si>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</si>
  <si>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</si>
  <si>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</si>
  <si>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</si>
  <si>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</si>
  <si>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</si>
  <si>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</si>
  <si>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</si>
  <si>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</si>
  <si>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</si>
  <si>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</si>
  <si>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</si>
  <si>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</si>
  <si>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</si>
  <si>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</si>
  <si>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</si>
  <si>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</si>
  <si>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</si>
  <si>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</si>
  <si>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</si>
  <si>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</si>
  <si>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</si>
  <si>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</si>
  <si>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</si>
  <si>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</si>
  <si>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</si>
  <si>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</si>
  <si>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</si>
  <si>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</si>
  <si>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</si>
  <si>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</si>
  <si>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</si>
  <si>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</si>
  <si>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</si>
  <si>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</si>
  <si>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</si>
  <si>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</si>
  <si>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</si>
  <si>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</si>
  <si>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</si>
  <si>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</si>
  <si>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</si>
  <si>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</si>
  <si>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</si>
  <si>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</si>
  <si>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</si>
  <si>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</si>
  <si>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</si>
  <si>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</si>
  <si>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</si>
  <si>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</si>
  <si>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</si>
  <si>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</si>
  <si>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</si>
  <si>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</si>
  <si>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</si>
  <si>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</si>
  <si>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</si>
  <si>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</si>
  <si>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</si>
  <si>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</si>
  <si>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</si>
  <si>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</si>
  <si>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</si>
  <si>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</si>
  <si>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</si>
  <si>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</si>
  <si>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</si>
  <si>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</si>
  <si>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</si>
  <si>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</si>
  <si>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</si>
  <si>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</si>
  <si>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</si>
  <si>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</si>
  <si>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</si>
  <si>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</si>
  <si>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</si>
  <si>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</si>
  <si>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</si>
  <si>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</si>
  <si>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</si>
  <si>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</si>
  <si>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</si>
  <si>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</si>
  <si>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</si>
  <si>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</si>
  <si>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</si>
  <si>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</si>
  <si>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</si>
  <si>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</si>
  <si>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</si>
  <si>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</si>
  <si>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</si>
  <si>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</si>
  <si>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</si>
  <si>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</si>
  <si>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</si>
  <si>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</si>
  <si>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</si>
  <si>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</si>
  <si>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</si>
  <si>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</si>
  <si>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</si>
  <si>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</si>
  <si>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</si>
  <si>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</si>
  <si>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</si>
  <si>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</si>
  <si>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</si>
  <si>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</si>
  <si>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</si>
  <si>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</si>
  <si>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</si>
  <si>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</si>
  <si>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</si>
  <si>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</si>
  <si>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</si>
  <si>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</si>
  <si>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</si>
  <si>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</si>
  <si>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</si>
  <si>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</si>
  <si>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</si>
  <si>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</si>
  <si>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</si>
  <si>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</si>
  <si>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</si>
  <si>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</si>
  <si>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</si>
  <si>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</si>
  <si>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</si>
  <si>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</si>
  <si>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</si>
  <si>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</si>
  <si>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</si>
  <si>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</si>
  <si>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</si>
  <si>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</si>
  <si>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</si>
  <si>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</si>
  <si>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</si>
  <si>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</si>
  <si>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</si>
  <si>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</si>
  <si>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</si>
  <si>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</si>
  <si>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</si>
  <si>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</si>
  <si>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</si>
  <si>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</si>
  <si>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</si>
  <si>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</si>
  <si>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</si>
  <si>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</si>
  <si>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</si>
  <si>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</si>
  <si>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</si>
  <si>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</si>
  <si>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</si>
  <si>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</si>
  <si>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</si>
  <si>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</si>
  <si>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</si>
  <si>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</si>
  <si>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</si>
  <si>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</si>
  <si>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</si>
  <si>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</si>
  <si>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</si>
  <si>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</si>
  <si>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</si>
  <si>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</si>
  <si>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</si>
  <si>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</si>
  <si>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</si>
  <si>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</si>
  <si>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</si>
  <si>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</si>
  <si>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</si>
  <si>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</si>
  <si>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</si>
  <si>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</si>
  <si>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</si>
  <si>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</si>
  <si>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</si>
  <si>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</si>
  <si>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</si>
  <si>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</si>
  <si>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</si>
  <si>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</si>
  <si>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</si>
  <si>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</si>
  <si>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</si>
  <si>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</si>
  <si>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</si>
  <si>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</si>
  <si>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</si>
  <si>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</si>
  <si>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</si>
  <si>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</si>
  <si>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</si>
  <si>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</si>
  <si>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</si>
  <si>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</si>
  <si>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</si>
  <si>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</si>
  <si>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</si>
  <si>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</si>
  <si>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</si>
  <si>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</si>
  <si>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</si>
  <si>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</si>
  <si>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</si>
  <si>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</si>
  <si>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</si>
  <si>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</si>
  <si>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</si>
  <si>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</si>
  <si>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</si>
  <si>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</si>
  <si>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</si>
  <si>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</si>
  <si>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</si>
  <si>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</si>
  <si>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</si>
  <si>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</si>
  <si>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</si>
  <si>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</si>
  <si>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</si>
  <si>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</si>
  <si>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</si>
  <si>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</si>
  <si>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</si>
  <si>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</si>
  <si>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</si>
  <si>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</si>
  <si>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</si>
  <si>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</si>
  <si>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</si>
  <si>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</si>
  <si>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</si>
  <si>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</si>
  <si>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</si>
  <si>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</si>
  <si>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</si>
  <si>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</si>
  <si>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</si>
  <si>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</si>
  <si>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</si>
  <si>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</si>
  <si>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</si>
  <si>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</si>
  <si>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</si>
  <si>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</si>
  <si>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</si>
  <si>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</si>
  <si>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</si>
  <si>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</si>
  <si>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</si>
  <si>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</si>
  <si>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</si>
  <si>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</si>
  <si>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</si>
  <si>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</si>
  <si>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</si>
  <si>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</si>
  <si>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</si>
  <si>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</si>
  <si>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</si>
  <si>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</si>
  <si>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</si>
  <si>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</si>
  <si>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</si>
  <si>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</si>
  <si>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</si>
  <si>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</si>
  <si>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</si>
  <si>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</si>
  <si>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</si>
  <si>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</si>
  <si>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</si>
  <si>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</si>
  <si>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</si>
  <si>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</si>
  <si>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</si>
  <si>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</si>
  <si>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</si>
  <si>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</si>
  <si>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</si>
  <si>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</si>
  <si>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</si>
  <si>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</si>
  <si>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</si>
  <si>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</si>
  <si>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</si>
  <si>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Neometal / Joan López</t>
  </si>
  <si>
    <t>Corredera y Fijos</t>
  </si>
  <si>
    <t>Javi y Pepa</t>
  </si>
  <si>
    <t>NEGRO TEXT.</t>
  </si>
  <si>
    <t>CUAD45</t>
  </si>
  <si>
    <t>CUADRADO 45, BARRAS 6,5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</si>
</sst>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165" fontId="0" fillId="0" borderId="0" xfId="0" applyNumberFormat="1"/>
    <xf numFmtId="165" fontId="17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view="pageBreakPreview" topLeftCell="A3" zoomScale="60" zoomScaleNormal="85" workbookViewId="0">
      <selection activeCell="G29" sqref="G2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20250081</v>
      </c>
      <c r="G7" s="8">
        <f ca="1">TODAY()</f>
        <v>45761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850</v>
      </c>
      <c r="C13" s="85" t="str">
        <f>IFERROR(VLOOKUP($B13,Tarifa_all_20240711!$A$2:$G$660,2,FALSE()),"-")</f>
        <v>GUIA SUP TECHO PLUS LAC.6 ESP.2-3 MTS</v>
      </c>
      <c r="D13" s="85"/>
      <c r="E13" s="17">
        <v>1</v>
      </c>
      <c r="F13" s="18">
        <f>IFERROR(VLOOKUP($B13,Tarifa_all_20240711!$A$2:$G$660,5,FALSE()),"-")</f>
        <v>71.707499999999996</v>
      </c>
      <c r="G13" s="81">
        <f t="shared" ref="G13:G30" si="0">IFERROR(E13*F13,"-")</f>
        <v>71.707499999999996</v>
      </c>
      <c r="H13" s="1" t="s">
        <v>1454</v>
      </c>
    </row>
    <row r="14" spans="1:12" x14ac:dyDescent="0.25">
      <c r="A14" t="s">
        <v>15</v>
      </c>
      <c r="B14" s="16" t="s">
        <v>1443</v>
      </c>
      <c r="C14" s="85" t="str">
        <f>IFERROR(VLOOKUP($B14,Tarifa_all_20240711!$A$2:$G$660,2,FALSE()),"-")</f>
        <v>TAPETA LAT. GUIA TECHO NEGRO</v>
      </c>
      <c r="D14" s="85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5" t="str">
        <f>IFERROR(VLOOKUP($B15,Tarifa_all_20240711!$A$2:$G$660,2,FALSE()),"-")</f>
        <v>-</v>
      </c>
      <c r="D15" s="85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341</v>
      </c>
      <c r="C16" s="85" t="str">
        <f>IFERROR(VLOOKUP($B16,Tarifa_all_20240711!$A$2:$G$660,2,FALSE()),"-")</f>
        <v>KIT AMORTIGUADOR SKY BIDIRECCIONAL 60KG</v>
      </c>
      <c r="D16" s="85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9" x14ac:dyDescent="0.25">
      <c r="A17" t="s">
        <v>18</v>
      </c>
      <c r="B17" s="16" t="s">
        <v>134</v>
      </c>
      <c r="C17" s="85" t="str">
        <f>IFERROR(VLOOKUP($B17,Tarifa_all_20240711!$A$2:$G$660,2,FALSE()),"-")</f>
        <v>KIT PUERTA PA CORREDERA LAC.NEGRO TEXTURADO</v>
      </c>
      <c r="D17" s="85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9" x14ac:dyDescent="0.25">
      <c r="A18" t="s">
        <v>19</v>
      </c>
      <c r="B18" s="16" t="s">
        <v>335</v>
      </c>
      <c r="C18" s="85" t="str">
        <f>IFERROR(VLOOKUP($B18,Tarifa_all_20240711!$A$2:$G$660,2,FALSE()),"-")</f>
        <v>CARRO SKY MADERA 60KG</v>
      </c>
      <c r="D18" s="85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9" x14ac:dyDescent="0.25">
      <c r="A19" t="s">
        <v>20</v>
      </c>
      <c r="B19" s="16" t="s">
        <v>515</v>
      </c>
      <c r="C19" s="85" t="str">
        <f>IFERROR(VLOOKUP($B19,Tarifa_all_20240711!$A$2:$G$660,2,FALSE()),"-")</f>
        <v>TIRADOR RECT.ADH CAVE LAC.NEGRO TEXTURADO: 2 UDS</v>
      </c>
      <c r="D19" s="85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9" x14ac:dyDescent="0.25">
      <c r="A20" t="s">
        <v>21</v>
      </c>
      <c r="B20" s="16" t="s">
        <v>1136</v>
      </c>
      <c r="C20" s="85" t="str">
        <f>IFERROR(VLOOKUP($B20,Tarifa_all_20240711!$A$2:$G$660,2,FALSE()),"-")</f>
        <v>GUIADOR FIJO PA LAC.NEGRO TEXTURADO</v>
      </c>
      <c r="D20" s="85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9" x14ac:dyDescent="0.25">
      <c r="A21" t="s">
        <v>22</v>
      </c>
      <c r="B21" s="76" t="s">
        <v>143</v>
      </c>
      <c r="C21" s="86" t="str">
        <f>IFERROR(VLOOKUP($B21,Tarifa_all_20240711!$A$2:$G$660,2,FALSE()),"-")</f>
        <v>PERFIL EMBELL.HORIZ. ADH LAC.NEGRO TEXTURADO</v>
      </c>
      <c r="D21" s="86"/>
      <c r="E21" s="77">
        <v>18</v>
      </c>
      <c r="F21" s="78">
        <f>IFERROR(VLOOKUP($B21,Tarifa_all_20240711!$A$2:$G$660,5,FALSE()),"-")</f>
        <v>21.794999999999998</v>
      </c>
      <c r="G21" s="78">
        <f t="shared" si="0"/>
        <v>392.30999999999995</v>
      </c>
      <c r="H21" s="1"/>
    </row>
    <row r="22" spans="1:9" x14ac:dyDescent="0.25">
      <c r="B22" s="16" t="s">
        <v>460</v>
      </c>
      <c r="C22" s="85" t="str">
        <f>IFERROR(VLOOKUP($B22,Tarifa_all_20240711!$A$2:$G$660,2,FALSE()),"-")</f>
        <v>MARCO FIJOS 35MM D-DECOR FIJO NEGRO TEXT 3 MTS</v>
      </c>
      <c r="D22" s="85"/>
      <c r="E22" s="17">
        <v>6</v>
      </c>
      <c r="F22" s="18">
        <f>IFERROR(VLOOKUP($B22,Tarifa_all_20240711!$A$2:$G$660,5,FALSE()),"-")</f>
        <v>27.712500000000002</v>
      </c>
      <c r="G22" s="81">
        <f t="shared" si="0"/>
        <v>166.27500000000001</v>
      </c>
      <c r="H22" s="1"/>
    </row>
    <row r="23" spans="1:9" x14ac:dyDescent="0.25">
      <c r="B23" s="16" t="s">
        <v>440</v>
      </c>
      <c r="C23" s="85" t="str">
        <f>IFERROR(VLOOKUP($B23,Tarifa_all_20240711!$A$2:$G$660,2,FALSE()),"-")</f>
        <v>ANCLAJE TAPA 35MM D-DECOR FIJO NEGRO TEXT 3 MTS</v>
      </c>
      <c r="D23" s="85"/>
      <c r="E23" s="17">
        <v>6</v>
      </c>
      <c r="F23" s="18">
        <f>IFERROR(VLOOKUP($B23,Tarifa_all_20240711!$A$2:$G$660,5,FALSE()),"-")</f>
        <v>13.4175</v>
      </c>
      <c r="G23" s="81">
        <f t="shared" si="0"/>
        <v>80.504999999999995</v>
      </c>
      <c r="H23" s="1"/>
    </row>
    <row r="24" spans="1:9" x14ac:dyDescent="0.25">
      <c r="B24" s="16" t="s">
        <v>480</v>
      </c>
      <c r="C24" s="85" t="str">
        <f>IFERROR(VLOOKUP($B24,Tarifa_all_20240711!$A$2:$G$660,2,FALSE()),"-")</f>
        <v>TAPA MARCO 35MM D-DECOR FIJO NEGRO TEXT 3 MTS</v>
      </c>
      <c r="D24" s="85"/>
      <c r="E24" s="17">
        <v>6</v>
      </c>
      <c r="F24" s="18">
        <f>IFERROR(VLOOKUP($B24,Tarifa_all_20240711!$A$2:$G$660,5,FALSE()),"-")</f>
        <v>11.3025</v>
      </c>
      <c r="G24" s="81">
        <f t="shared" si="0"/>
        <v>67.814999999999998</v>
      </c>
      <c r="H24" s="1"/>
    </row>
    <row r="25" spans="1:9" x14ac:dyDescent="0.25">
      <c r="B25" s="16" t="s">
        <v>450</v>
      </c>
      <c r="C25" s="85" t="str">
        <f>IFERROR(VLOOKUP($B25,Tarifa_all_20240711!$A$2:$G$660,2,FALSE()),"-")</f>
        <v>PERFIL MINIMALISTA D-DECOR FIJO NEGRO TEXT 3 MTS</v>
      </c>
      <c r="D25" s="85"/>
      <c r="E25" s="17">
        <v>1</v>
      </c>
      <c r="F25" s="18">
        <f>IFERROR(VLOOKUP($B25,Tarifa_all_20240711!$A$2:$G$660,5,FALSE()),"-")</f>
        <v>36.72</v>
      </c>
      <c r="G25" s="81">
        <f t="shared" si="0"/>
        <v>36.72</v>
      </c>
      <c r="H25" s="1"/>
    </row>
    <row r="26" spans="1:9" x14ac:dyDescent="0.25">
      <c r="B26" s="16" t="s">
        <v>298</v>
      </c>
      <c r="C26" s="85" t="str">
        <f>IFERROR(VLOOKUP($B26,Tarifa_all_20240711!$A$2:$G$660,2,FALSE()),"-")</f>
        <v>Tope Domo Decor</v>
      </c>
      <c r="D26" s="85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</row>
    <row r="27" spans="1:9" x14ac:dyDescent="0.25">
      <c r="B27" s="16" t="s">
        <v>300</v>
      </c>
      <c r="C27" s="85" t="str">
        <f>IFERROR(VLOOKUP($B27,Tarifa_all_20240711!$A$2:$G$660,2,FALSE()),"-")</f>
        <v>PERFIL 3 MTS REDUCTOR PARA VIDRIO 6mm</v>
      </c>
      <c r="D27" s="85"/>
      <c r="E27" s="17">
        <v>7</v>
      </c>
      <c r="F27" s="18">
        <f>IFERROR(VLOOKUP($B27,Tarifa_all_20240711!$A$2:$G$660,5,FALSE()),"-")</f>
        <v>3.4275000000000002</v>
      </c>
      <c r="G27" s="18">
        <f t="shared" si="0"/>
        <v>23.9925</v>
      </c>
      <c r="H27" s="1"/>
    </row>
    <row r="28" spans="1:9" x14ac:dyDescent="0.25">
      <c r="B28" s="16">
        <v>31229</v>
      </c>
      <c r="C28" s="85" t="str">
        <f>IFERROR(VLOOKUP($B28,Tarifa_all_20240711!$A$2:$G$660,2,FALSE()),"-")</f>
        <v>COMPLEMENTO FIJACION DOMO DECOR: BARRAS 3 MTS</v>
      </c>
      <c r="D28" s="85"/>
      <c r="E28" s="17">
        <v>8</v>
      </c>
      <c r="F28" s="18">
        <f>IFERROR(VLOOKUP($B28,Tarifa_all_20240711!$A$2:$G$660,5,FALSE()),"-")</f>
        <v>11.317499999999999</v>
      </c>
      <c r="G28" s="81">
        <f t="shared" si="0"/>
        <v>90.539999999999992</v>
      </c>
      <c r="H28" s="1"/>
    </row>
    <row r="29" spans="1:9" x14ac:dyDescent="0.25">
      <c r="B29" s="16" t="s">
        <v>1455</v>
      </c>
      <c r="C29" s="85" t="s">
        <v>1456</v>
      </c>
      <c r="D29" s="85"/>
      <c r="E29" s="17">
        <v>1</v>
      </c>
      <c r="F29" s="18">
        <v>48.42</v>
      </c>
      <c r="G29" s="18">
        <f t="shared" si="0"/>
        <v>48.42</v>
      </c>
      <c r="H29" s="1"/>
    </row>
    <row r="30" spans="1:9" x14ac:dyDescent="0.25">
      <c r="B30" s="16"/>
      <c r="C30" s="85" t="str">
        <f>IFERROR(VLOOKUP($B30,Tarifa_all_20240711!$A$2:$G$660,2,FALSE()),"-")</f>
        <v>-</v>
      </c>
      <c r="D30" s="85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9" x14ac:dyDescent="0.25">
      <c r="B31" s="19"/>
      <c r="C31" s="19"/>
      <c r="D31" s="19"/>
      <c r="E31" s="19"/>
      <c r="F31" s="20"/>
      <c r="G31" s="21">
        <f>SUM(G13:G30)</f>
        <v>1341.2175</v>
      </c>
      <c r="H31" s="79">
        <v>0.05</v>
      </c>
      <c r="I31" s="80">
        <f>G31*(1+H31)</f>
        <v>1408.2783750000001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7"/>
      <c r="E52" s="87"/>
      <c r="F52" s="8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6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2" t="s">
        <v>79</v>
      </c>
      <c r="B6" s="92"/>
      <c r="C6" s="92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3" t="s">
        <v>1451</v>
      </c>
      <c r="C9" s="93"/>
      <c r="D9" s="93"/>
      <c r="F9" s="3" t="s">
        <v>81</v>
      </c>
      <c r="G9" s="44">
        <f ca="1">TODAY()</f>
        <v>45761</v>
      </c>
    </row>
    <row r="10" spans="1:7" x14ac:dyDescent="0.25">
      <c r="A10" s="3" t="s">
        <v>82</v>
      </c>
      <c r="B10" s="11" t="s">
        <v>1452</v>
      </c>
      <c r="C10" s="45"/>
      <c r="D10" s="45"/>
      <c r="E10" s="46"/>
      <c r="F10" s="47" t="s">
        <v>83</v>
      </c>
      <c r="G10" s="7">
        <v>20250081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8"/>
      <c r="B46" s="88"/>
      <c r="C46" s="71"/>
      <c r="D46" s="71"/>
      <c r="E46" s="71"/>
      <c r="F46" s="72"/>
      <c r="G46" s="73"/>
    </row>
    <row r="47" spans="1:7" ht="22.7" customHeight="1" x14ac:dyDescent="0.25">
      <c r="A47" s="89" t="s">
        <v>99</v>
      </c>
      <c r="B47" s="89"/>
      <c r="C47" s="59"/>
      <c r="D47" s="59"/>
      <c r="E47" s="59"/>
      <c r="F47" s="90">
        <f>'DESPIECE (MATANALYSIS)'!G31</f>
        <v>1341.2175</v>
      </c>
      <c r="G47" s="90"/>
    </row>
    <row r="48" spans="1:7" s="1" customFormat="1" ht="22.7" customHeight="1" x14ac:dyDescent="0.25">
      <c r="A48" s="91" t="s">
        <v>100</v>
      </c>
      <c r="B48" s="91"/>
      <c r="C48" s="91"/>
      <c r="D48" s="91"/>
      <c r="E48" s="91"/>
      <c r="F48" s="91"/>
      <c r="G48" s="91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2025-04-14T15:46:00Z</cp:lastPrinted>
  <dcterms:created xsi:type="dcterms:W3CDTF">2024-04-15T12:43:19Z</dcterms:created>
  <dcterms:modified xsi:type="dcterms:W3CDTF">2025-04-14T15:47:22Z</dcterms:modified>
  <dc:language>es-ES</dc:language>
</cp:coreProperties>
</file>