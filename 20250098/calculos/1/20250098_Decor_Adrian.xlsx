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98\calculos\1\"/>
    </mc:Choice>
  </mc:AlternateContent>
  <xr:revisionPtr revIDLastSave="0" documentId="13_ncr:1_{28094C8C-93AB-49A0-A1C5-714A7D2B2FD4}" xr6:coauthVersionLast="47" xr6:coauthVersionMax="47" xr10:uidLastSave="{00000000-0000-0000-0000-000000000000}"/>
  <bookViews>
    <workbookView xWindow="-15780" yWindow="450" windowWidth="15435" windowHeight="1480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0" l="1"/>
  <c r="K29" i="10"/>
  <c r="F30" i="10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<sst xmlns="http://schemas.openxmlformats.org/spreadsheetml/2006/main" count="5410" uniqueCount="1456">
  <si>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</si>
  <si>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</si>
  <si>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</si>
  <si>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</si>
  <si>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</si>
  <si>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</si>
  <si>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</si>
  <si>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</si>
  <si>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</si>
  <si>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</si>
  <si>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</si>
  <si>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</si>
  <si>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</si>
  <si>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</si>
  <si>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</si>
  <si>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</si>
  <si>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</si>
  <si>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</si>
  <si>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</si>
  <si>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</si>
  <si>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</si>
  <si>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</si>
  <si>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</si>
  <si>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</si>
  <si>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</si>
  <si>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</si>
  <si>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</si>
  <si>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</si>
  <si>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</si>
  <si>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</si>
  <si>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</si>
  <si>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</si>
  <si>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</si>
  <si>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</si>
  <si>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</si>
  <si>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</si>
  <si>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</si>
  <si>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</si>
  <si>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</si>
  <si>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</si>
  <si>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</si>
  <si>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</si>
  <si>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</si>
  <si>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</si>
  <si>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</si>
  <si>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</si>
  <si>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</si>
  <si>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</si>
  <si>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</si>
  <si>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</si>
  <si>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</si>
  <si>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</si>
  <si>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</si>
  <si>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</si>
  <si>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</si>
  <si>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</si>
  <si>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</si>
  <si>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</si>
  <si>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</si>
  <si>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</si>
  <si>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</si>
  <si>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</si>
  <si>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</si>
  <si>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</si>
  <si>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</si>
  <si>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</si>
  <si>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</si>
  <si>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</si>
  <si>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</si>
  <si>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</si>
  <si>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</si>
  <si>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</si>
  <si>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</si>
  <si>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</si>
  <si>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</si>
  <si>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</si>
  <si>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</si>
  <si>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</si>
  <si>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</si>
  <si>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</si>
  <si>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</si>
  <si>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</si>
  <si>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</si>
  <si>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</si>
  <si>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</si>
  <si>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</si>
  <si>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</si>
  <si>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</si>
  <si>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</si>
  <si>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</si>
  <si>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</si>
  <si>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</si>
  <si>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</si>
  <si>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</si>
  <si>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</si>
  <si>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</si>
  <si>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</si>
  <si>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</si>
  <si>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</si>
  <si>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</si>
  <si>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</si>
  <si>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</si>
  <si>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</si>
  <si>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</si>
  <si>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</si>
  <si>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</si>
  <si>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</si>
  <si>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</si>
  <si>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</si>
  <si>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</si>
  <si>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</si>
  <si>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</si>
  <si>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</si>
  <si>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</si>
  <si>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</si>
  <si>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</si>
  <si>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</si>
  <si>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</si>
  <si>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</si>
  <si>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</si>
  <si>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</si>
  <si>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</si>
  <si>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</si>
  <si>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</si>
  <si>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</si>
  <si>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</si>
  <si>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</si>
  <si>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</si>
  <si>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</si>
  <si>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</si>
  <si>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</si>
  <si>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</si>
  <si>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</si>
  <si>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</si>
  <si>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</si>
  <si>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</si>
  <si>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</si>
  <si>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</si>
  <si>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</si>
  <si>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</si>
  <si>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</si>
  <si>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</si>
  <si>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</si>
  <si>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</si>
  <si>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</si>
  <si>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</si>
  <si>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</si>
  <si>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</si>
  <si>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</si>
  <si>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</si>
  <si>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</si>
  <si>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</si>
  <si>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</si>
  <si>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</si>
  <si>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</si>
  <si>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</si>
  <si>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</si>
  <si>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</si>
  <si>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</si>
  <si>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</si>
  <si>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</si>
  <si>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</si>
  <si>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</si>
  <si>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</si>
  <si>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</si>
  <si>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</si>
  <si>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</si>
  <si>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</si>
  <si>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</si>
  <si>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</si>
  <si>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</si>
  <si>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</si>
  <si>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</si>
  <si>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</si>
  <si>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</si>
  <si>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</si>
  <si>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</si>
  <si>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</si>
  <si>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</si>
  <si>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</si>
  <si>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</si>
  <si>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</si>
  <si>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</si>
  <si>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</si>
  <si>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</si>
  <si>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</si>
  <si>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</si>
  <si>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</si>
  <si>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</si>
  <si>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</si>
  <si>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</si>
  <si>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</si>
  <si>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</si>
  <si>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</si>
  <si>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</si>
  <si>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</si>
  <si>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</si>
  <si>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</si>
  <si>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</si>
  <si>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</si>
  <si>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</si>
  <si>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</si>
  <si>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</si>
  <si>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</si>
  <si>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</si>
  <si>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</si>
  <si>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</si>
  <si>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</si>
  <si>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</si>
  <si>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</si>
  <si>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</si>
  <si>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</si>
  <si>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</si>
  <si>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</si>
  <si>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</si>
  <si>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</si>
  <si>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</si>
  <si>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</si>
  <si>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</si>
  <si>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</si>
  <si>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</si>
  <si>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</si>
  <si>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</si>
  <si>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</si>
  <si>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</si>
  <si>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</si>
  <si>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</si>
  <si>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</si>
  <si>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</si>
  <si>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</si>
  <si>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</si>
  <si>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</si>
  <si>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</si>
  <si>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</si>
  <si>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</si>
  <si>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</si>
  <si>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</si>
  <si>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</si>
  <si>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</si>
  <si>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</si>
  <si>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</si>
  <si>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</si>
  <si>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</si>
  <si>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</si>
  <si>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</si>
  <si>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</si>
  <si>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</si>
  <si>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</si>
  <si>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</si>
  <si>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</si>
  <si>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</si>
  <si>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</si>
  <si>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</si>
  <si>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</si>
  <si>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</si>
  <si>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</si>
  <si>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</si>
  <si>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</si>
  <si>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</si>
  <si>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</si>
  <si>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</si>
  <si>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</si>
  <si>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</si>
  <si>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</si>
  <si>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</si>
  <si>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</si>
  <si>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</si>
  <si>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</si>
  <si>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</si>
  <si>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</si>
  <si>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</si>
  <si>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</si>
  <si>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</si>
  <si>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</si>
  <si>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</si>
  <si>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</si>
  <si>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</si>
  <si>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</si>
  <si>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</si>
  <si>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</si>
  <si>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</si>
  <si>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</si>
  <si>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</si>
  <si>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</si>
  <si>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</si>
  <si>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</si>
  <si>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</si>
  <si>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</si>
  <si>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</si>
  <si>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</si>
  <si>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</si>
  <si>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</si>
  <si>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</si>
  <si>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</si>
  <si>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</si>
  <si>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</si>
  <si>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</si>
  <si>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</si>
  <si>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</si>
  <si>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</si>
  <si>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</si>
  <si>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</si>
  <si>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</si>
  <si>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</si>
  <si>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</si>
  <si>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</si>
  <si>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</si>
  <si>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</si>
  <si>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</si>
  <si>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</si>
  <si>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</si>
  <si>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</si>
  <si>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</si>
  <si>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</si>
  <si>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</si>
  <si>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</si>
  <si>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</si>
  <si>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</si>
  <si>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</si>
  <si>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</si>
  <si>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</si>
  <si>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</si>
  <si>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</si>
  <si>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</si>
  <si>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</si>
  <si>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</si>
  <si>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</si>
  <si>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</si>
  <si>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</si>
  <si>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</si>
  <si>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</si>
  <si>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</si>
  <si>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</si>
  <si>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</si>
  <si>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</si>
  <si>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</si>
  <si>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</si>
  <si>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</si>
  <si>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</si>
  <si>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</si>
  <si>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</si>
  <si>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</si>
  <si>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</si>
  <si>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</si>
  <si>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</si>
  <si>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</si>
  <si>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</si>
  <si>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</si>
  <si>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</si>
  <si>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</si>
  <si>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</si>
  <si>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</si>
  <si>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</si>
  <si>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</si>
  <si>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</si>
  <si>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</si>
  <si>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</si>
  <si>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</si>
  <si>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</si>
  <si>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</si>
  <si>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</si>
  <si>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</si>
  <si>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</si>
  <si>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</si>
  <si>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</si>
  <si>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</si>
  <si>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</si>
  <si>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</si>
  <si>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</si>
  <si>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</si>
  <si>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</si>
  <si>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</si>
  <si>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</si>
  <si>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</si>
  <si>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</si>
  <si>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</si>
  <si>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</si>
  <si>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</si>
  <si>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</si>
  <si>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</si>
  <si>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</si>
  <si>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</si>
  <si>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</si>
  <si>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</si>
  <si>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</si>
  <si>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</si>
  <si>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</si>
  <si>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</si>
  <si>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</si>
  <si>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</si>
  <si>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</si>
  <si>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</si>
  <si>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</si>
  <si>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</si>
  <si>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</si>
  <si>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</si>
  <si>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</si>
  <si>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</si>
  <si>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</si>
  <si>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</si>
  <si>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</si>
  <si>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</si>
  <si>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</si>
  <si>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</si>
  <si>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</si>
  <si>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</si>
  <si>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</si>
  <si>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</si>
  <si>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</si>
  <si>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</si>
  <si>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</si>
  <si>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</si>
  <si>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</si>
  <si>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</si>
  <si>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</si>
  <si>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</si>
  <si>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</si>
  <si>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</si>
  <si>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</si>
  <si>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</si>
  <si>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</si>
  <si>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</si>
  <si>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</si>
  <si>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</si>
  <si>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</si>
  <si>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</si>
  <si>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</si>
  <si>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</si>
  <si>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</si>
  <si>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</si>
  <si>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</si>
  <si>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</si>
  <si>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</si>
  <si>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</si>
  <si>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</si>
  <si>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</si>
  <si>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</si>
  <si>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</si>
  <si>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</si>
  <si>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</si>
  <si>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</si>
  <si>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</si>
  <si>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</si>
  <si>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</si>
  <si>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</si>
  <si>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</si>
  <si>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</si>
  <si>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</si>
  <si>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</si>
  <si>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</si>
  <si>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</si>
  <si>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</si>
  <si>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</si>
  <si>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</si>
  <si>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</si>
  <si>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</si>
  <si>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</si>
  <si>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</si>
  <si>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</si>
  <si>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</si>
  <si>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</si>
  <si>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</si>
  <si>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</si>
  <si>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</si>
  <si>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</si>
  <si>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</si>
  <si>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</si>
  <si>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</si>
  <si>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</si>
  <si>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</si>
  <si>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</si>
  <si>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</si>
  <si>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</si>
  <si>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</si>
  <si>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</si>
  <si>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</si>
  <si>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</si>
  <si>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</si>
  <si>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</si>
  <si>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</si>
  <si>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</si>
  <si>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</si>
  <si>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</si>
  <si>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</si>
  <si>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</si>
  <si>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</si>
  <si>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</si>
  <si>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</si>
  <si>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</si>
  <si>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</si>
  <si>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</si>
  <si>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</si>
  <si>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</si>
  <si>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</si>
  <si>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</si>
  <si>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</si>
  <si>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</si>
  <si>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</si>
  <si>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</si>
  <si>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</si>
  <si>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</si>
  <si>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</si>
  <si>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</si>
  <si>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</si>
  <si>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</si>
  <si>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</si>
  <si>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</si>
  <si>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</si>
  <si>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</si>
  <si>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</si>
  <si>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</si>
  <si>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</si>
  <si>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</si>
  <si>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</si>
  <si>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</si>
  <si>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</si>
  <si>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</si>
  <si>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</si>
  <si>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</si>
  <si>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</si>
  <si>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</si>
  <si>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</si>
  <si>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</si>
  <si>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</si>
  <si>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</si>
  <si>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</si>
  <si>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</si>
  <si>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</si>
  <si>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</si>
  <si>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</si>
  <si>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</si>
  <si>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</si>
  <si>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</si>
  <si>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</si>
  <si>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</si>
  <si>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</si>
  <si>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</si>
  <si>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</si>
  <si>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</si>
  <si>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</si>
  <si>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</si>
  <si>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</si>
  <si>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</si>
  <si>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</si>
  <si>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</si>
  <si>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</si>
  <si>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</si>
  <si>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</si>
  <si>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</si>
  <si>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</si>
  <si>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</si>
  <si>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</si>
  <si>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</si>
  <si>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</si>
  <si>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</si>
  <si>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</si>
  <si>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</si>
  <si>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</si>
  <si>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</si>
  <si>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</si>
  <si>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</si>
  <si>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</si>
  <si>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</si>
  <si>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</si>
  <si>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</si>
  <si>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</si>
  <si>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</si>
  <si>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</si>
  <si>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</si>
  <si>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</si>
  <si>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</si>
  <si>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</si>
  <si>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</si>
  <si>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</si>
  <si>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</si>
  <si>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</si>
  <si>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</si>
  <si>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</si>
  <si>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</si>
  <si>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</si>
  <si>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</si>
  <si>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</si>
  <si>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</si>
  <si>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</si>
  <si>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</si>
  <si>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</si>
  <si>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</si>
  <si>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</si>
  <si>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</si>
  <si>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</si>
  <si>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</si>
  <si>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</si>
  <si>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</si>
  <si>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</si>
  <si>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</si>
  <si>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</si>
  <si>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</si>
  <si>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</si>
  <si>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</si>
  <si>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</si>
  <si>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</si>
  <si>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</si>
  <si>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</si>
  <si>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</si>
  <si>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</si>
  <si>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</si>
  <si>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</si>
  <si>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</si>
  <si>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</si>
  <si>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</si>
  <si>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</si>
  <si>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</si>
  <si>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</si>
  <si>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</si>
  <si>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</si>
  <si>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</si>
  <si>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</si>
  <si>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</si>
  <si>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</si>
  <si>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</si>
  <si>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</si>
  <si>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</si>
  <si>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</si>
  <si>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</si>
  <si>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</si>
  <si>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</si>
  <si>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</si>
  <si>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</si>
  <si>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</si>
  <si>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</si>
  <si>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</si>
  <si>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</si>
  <si>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</si>
  <si>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</si>
  <si>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</si>
  <si>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</si>
  <si>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</si>
  <si>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</si>
  <si>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</si>
  <si>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</si>
  <si>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</si>
  <si>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</si>
  <si>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</si>
  <si>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</si>
  <si>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</si>
  <si>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</si>
  <si>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</si>
  <si>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</si>
  <si>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</si>
  <si>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</si>
  <si>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</si>
  <si>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</si>
  <si>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</si>
  <si>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</si>
  <si>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</si>
  <si>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</si>
  <si>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</si>
  <si>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</si>
  <si>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</si>
  <si>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</si>
  <si>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</si>
  <si>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</si>
  <si>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</si>
  <si>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</si>
  <si>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</si>
  <si>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</si>
  <si>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</si>
  <si>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</si>
  <si>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</si>
  <si>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</si>
  <si>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</si>
  <si>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</si>
  <si>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</si>
  <si>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</si>
  <si>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</si>
  <si>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</si>
  <si>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</si>
  <si>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</si>
  <si>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</si>
  <si>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</si>
  <si>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</si>
  <si>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</si>
  <si>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</si>
  <si>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</si>
  <si>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</si>
  <si>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</si>
  <si>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</si>
  <si>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</si>
  <si>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</si>
  <si>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</si>
  <si>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</si>
  <si>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</si>
  <si>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</si>
  <si>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</si>
  <si>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</si>
  <si>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</si>
  <si>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</si>
  <si>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</si>
  <si>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</si>
  <si>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</si>
  <si>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</si>
  <si>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</si>
  <si>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</si>
  <si>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</si>
  <si>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</si>
  <si>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</si>
  <si>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</si>
  <si>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</si>
  <si>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</si>
  <si>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</si>
  <si>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</si>
  <si>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</si>
  <si>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</si>
  <si>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</si>
  <si>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</si>
  <si>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</si>
  <si>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</si>
  <si>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</si>
  <si>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</si>
  <si>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</si>
  <si>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</si>
  <si>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</si>
  <si>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</si>
  <si>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</si>
  <si>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</si>
  <si>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</si>
  <si>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</si>
  <si>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</si>
  <si>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</si>
  <si>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</si>
  <si>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</si>
  <si>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</si>
  <si>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</si>
  <si>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</si>
  <si>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</si>
  <si>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</si>
  <si>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</si>
  <si>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</si>
  <si>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</si>
  <si>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</si>
  <si>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</si>
  <si>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</si>
  <si>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</si>
  <si>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</si>
  <si>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</si>
  <si>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</si>
  <si>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</si>
  <si>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</si>
  <si>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</si>
  <si>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</si>
  <si>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</si>
  <si>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</si>
  <si>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</si>
  <si>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</si>
  <si>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</si>
  <si>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</si>
  <si>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</si>
  <si>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</si>
  <si>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</si>
  <si>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</si>
  <si>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</si>
  <si>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</si>
  <si>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</si>
  <si>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</si>
  <si>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</si>
  <si>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</si>
  <si>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</si>
  <si>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</si>
  <si>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</si>
  <si>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</si>
  <si>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</si>
  <si>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</si>
  <si>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</si>
  <si>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</si>
  <si>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</si>
  <si>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</si>
  <si>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</si>
  <si>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</si>
  <si>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</si>
  <si>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</si>
  <si>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</si>
  <si>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</si>
  <si>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</si>
  <si>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</si>
  <si>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</si>
  <si>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</si>
  <si>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</si>
  <si>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</si>
  <si>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</si>
  <si>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</si>
  <si>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</si>
  <si>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</si>
  <si>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</si>
  <si>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</si>
  <si>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</si>
  <si>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</si>
  <si>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</si>
  <si>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</si>
  <si>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</si>
  <si>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</si>
  <si>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</si>
  <si>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</si>
  <si>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</si>
  <si>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</si>
  <si>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</si>
  <si>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</si>
  <si>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</si>
  <si>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</si>
  <si>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</si>
  <si>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</si>
  <si>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</si>
  <si>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</si>
  <si>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</si>
  <si>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</si>
  <si>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</si>
  <si>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</si>
  <si>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</si>
  <si>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</si>
  <si>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</si>
  <si>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</si>
  <si>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</si>
  <si>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</si>
  <si>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</si>
  <si>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</si>
  <si>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</si>
  <si>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</si>
  <si>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</si>
  <si>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</si>
  <si>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</si>
  <si>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</si>
  <si>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</si>
  <si>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</si>
  <si>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</si>
  <si>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</si>
  <si>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</si>
  <si>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</si>
  <si>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</si>
  <si>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</si>
  <si>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</si>
  <si>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</si>
  <si>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</si>
  <si>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</si>
  <si>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</si>
  <si>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</si>
  <si>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</si>
  <si>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</si>
  <si>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</si>
  <si>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</si>
  <si>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</si>
  <si>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</si>
  <si>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</si>
  <si>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</si>
  <si>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</si>
  <si>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</si>
  <si>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</si>
  <si>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</si>
  <si>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</si>
  <si>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</si>
  <si>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</si>
  <si>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</si>
  <si>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</si>
  <si>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</si>
  <si>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</si>
  <si>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</si>
  <si>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</si>
  <si>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</si>
  <si>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</si>
  <si>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</si>
  <si>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</si>
  <si>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</si>
  <si>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</si>
  <si>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</si>
  <si>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</si>
  <si>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</si>
  <si>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</si>
  <si>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</si>
  <si>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</si>
  <si>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</si>
  <si>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</si>
  <si>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</si>
  <si>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</si>
  <si>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</si>
  <si>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</si>
  <si>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</si>
  <si>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</si>
  <si>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</si>
  <si>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</si>
  <si>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</si>
  <si>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</si>
  <si>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</si>
  <si>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</si>
  <si>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</si>
  <si>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</si>
  <si>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</si>
  <si>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</si>
  <si>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</si>
  <si>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</si>
  <si>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</si>
  <si>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</si>
  <si>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</si>
  <si>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</si>
  <si>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</si>
  <si>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</si>
  <si>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</si>
  <si>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</si>
  <si>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</si>
  <si>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</si>
  <si>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</si>
  <si>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</si>
  <si>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</si>
  <si>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</si>
  <si>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</si>
  <si>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</si>
  <si>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</si>
  <si>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</si>
  <si>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</si>
  <si>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</si>
  <si>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</si>
  <si>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</si>
  <si>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</si>
  <si>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</si>
  <si>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</si>
  <si>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</si>
  <si>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</si>
  <si>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</si>
  <si>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</si>
  <si>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</si>
  <si>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</si>
  <si>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</si>
  <si>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</si>
  <si>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</si>
  <si>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</si>
  <si>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</si>
  <si>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</si>
  <si>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</si>
  <si>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</si>
  <si>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</si>
  <si>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</si>
  <si>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</si>
  <si>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</si>
  <si>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</si>
  <si>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</si>
  <si>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</si>
  <si>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</si>
  <si>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</si>
  <si>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</si>
  <si>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</si>
  <si>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</si>
  <si>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</si>
  <si>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</si>
  <si>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</si>
  <si>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</si>
  <si>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</si>
  <si>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</si>
  <si>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</si>
  <si>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</si>
  <si>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</si>
  <si>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</si>
  <si>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</si>
  <si>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</si>
  <si>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</si>
  <si>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</si>
  <si>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</si>
  <si>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</si>
  <si>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</si>
  <si>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</si>
  <si>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</si>
  <si>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</si>
  <si>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</si>
  <si>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</si>
  <si>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</si>
  <si>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</si>
  <si>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</si>
  <si>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</si>
  <si>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</si>
  <si>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</si>
  <si>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</si>
  <si>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</si>
  <si>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</si>
  <si>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</si>
  <si>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</si>
  <si>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</si>
  <si>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</si>
  <si>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</si>
  <si>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</si>
  <si>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</si>
  <si>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</si>
  <si>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</si>
  <si>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</si>
  <si>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</si>
  <si>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</si>
  <si>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</si>
  <si>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</si>
  <si>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</si>
  <si>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</si>
  <si>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</si>
  <si>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</si>
  <si>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</si>
  <si>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</si>
  <si>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</si>
  <si>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</si>
  <si>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</si>
  <si>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</si>
  <si>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</si>
  <si>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</si>
  <si>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</si>
  <si>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</si>
  <si>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</si>
  <si>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</si>
  <si>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</si>
  <si>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</si>
  <si>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</si>
  <si>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</si>
  <si>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</si>
  <si>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</si>
  <si>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</si>
  <si>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</si>
  <si>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</si>
  <si>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</si>
  <si>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</si>
  <si>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</si>
  <si>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</si>
  <si>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</si>
  <si>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</si>
  <si>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</si>
  <si>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</si>
  <si>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</si>
  <si>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</si>
  <si>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</si>
  <si>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</si>
  <si>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</si>
  <si>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</si>
  <si>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</si>
  <si>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</si>
  <si>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</si>
  <si>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</si>
  <si>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</si>
  <si>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</si>
  <si>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</si>
  <si>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</si>
  <si>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</si>
  <si>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</si>
  <si>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</si>
  <si>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</si>
  <si>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</si>
  <si>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</si>
  <si>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</si>
  <si>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</si>
  <si>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</si>
  <si>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</si>
  <si>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</si>
  <si>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</si>
  <si>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</si>
  <si>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</si>
  <si>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</si>
  <si>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</si>
  <si>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</si>
  <si>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</si>
  <si>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</si>
  <si>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</si>
  <si>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</si>
  <si>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</si>
  <si>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</si>
  <si>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</si>
  <si>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</si>
  <si>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</si>
  <si>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</si>
  <si>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</si>
  <si>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</si>
  <si>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</si>
  <si>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</si>
  <si>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</si>
  <si>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</si>
  <si>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</si>
  <si>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</si>
  <si>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</si>
  <si>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</si>
  <si>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</si>
  <si>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</si>
  <si>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</si>
  <si>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</si>
  <si>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</si>
  <si>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</si>
  <si>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</si>
  <si>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</si>
  <si>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</si>
  <si>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</si>
  <si>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</si>
  <si>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</si>
  <si>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</si>
  <si>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</si>
  <si>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</si>
  <si>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</si>
  <si>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</si>
  <si>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</si>
  <si>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</si>
  <si>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</si>
  <si>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</si>
  <si>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</si>
  <si>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</si>
  <si>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</si>
  <si>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</si>
  <si>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</si>
  <si>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</si>
  <si>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</si>
  <si>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</si>
  <si>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</si>
  <si>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</si>
  <si>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</si>
  <si>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</si>
  <si>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</si>
  <si>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</si>
  <si>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</si>
  <si>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</si>
  <si>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</si>
  <si>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</si>
  <si>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</si>
  <si>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</si>
  <si>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</si>
  <si>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</si>
  <si>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</si>
  <si>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</si>
  <si>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</si>
  <si>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</si>
  <si>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</si>
  <si>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</si>
  <si>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</si>
  <si>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</si>
  <si>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</si>
  <si>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</si>
  <si>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</si>
  <si>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</si>
  <si>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</si>
  <si>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</si>
  <si>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</si>
  <si>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</si>
  <si>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</si>
  <si>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</si>
  <si>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</si>
  <si>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</si>
  <si>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</si>
  <si>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</si>
  <si>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</si>
  <si>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</si>
  <si>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</si>
  <si>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</si>
  <si>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</si>
  <si>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</si>
  <si>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</si>
  <si>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</si>
  <si>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</si>
  <si>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</si>
  <si>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</si>
  <si>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</si>
  <si>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</si>
  <si>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</si>
  <si>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</si>
  <si>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</si>
  <si>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</si>
  <si>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</si>
  <si>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</si>
  <si>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</si>
  <si>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</si>
  <si>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</si>
  <si>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</si>
  <si>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</si>
  <si>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</si>
  <si>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</si>
  <si>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</si>
  <si>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</si>
  <si>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</si>
  <si>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</si>
  <si>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</si>
  <si>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</si>
  <si>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</si>
  <si>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</si>
  <si>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</si>
  <si>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</si>
  <si>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</si>
  <si>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</si>
  <si>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</si>
  <si>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</si>
  <si>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</si>
  <si>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</si>
  <si>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</si>
  <si>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</si>
  <si>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</si>
  <si>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</si>
  <si>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</si>
  <si>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</si>
  <si>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</si>
  <si>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</si>
  <si>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</si>
  <si>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</si>
  <si>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</si>
  <si>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</si>
  <si>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</si>
  <si>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</si>
  <si>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</si>
  <si>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</si>
  <si>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</si>
  <si>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</si>
  <si>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</si>
  <si>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</si>
  <si>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</si>
  <si>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</si>
  <si>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</si>
  <si>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</si>
  <si>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</si>
  <si>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</si>
  <si>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</si>
  <si>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</si>
  <si>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</si>
  <si>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</si>
  <si>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</si>
  <si>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</si>
  <si>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</si>
  <si>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</si>
  <si>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</si>
  <si>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</si>
  <si>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</si>
  <si>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</si>
  <si>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</si>
  <si>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</si>
  <si>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</si>
  <si>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</si>
  <si>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</si>
  <si>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</si>
  <si>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</si>
  <si>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</si>
  <si>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</si>
  <si>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</si>
  <si>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</si>
  <si>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</si>
  <si>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</si>
  <si>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</si>
  <si>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</si>
  <si>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</si>
  <si>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</si>
  <si>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</si>
  <si>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</si>
  <si>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</si>
  <si>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</si>
  <si>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</si>
  <si>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</si>
  <si>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</si>
  <si>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</si>
  <si>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</si>
  <si>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</si>
  <si>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</si>
  <si>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</si>
  <si>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</si>
  <si>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</si>
  <si>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</si>
  <si>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</si>
  <si>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</si>
  <si>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</si>
  <si>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</si>
  <si>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</si>
  <si>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</si>
  <si>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</si>
  <si>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</si>
  <si>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</si>
  <si>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</si>
  <si>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</si>
  <si>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</si>
  <si>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</si>
  <si>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</si>
  <si>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</si>
  <si>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</si>
  <si>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</si>
  <si>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</si>
  <si>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</si>
  <si>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</si>
  <si>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</si>
  <si>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</si>
  <si>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</si>
  <si>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</si>
  <si>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</si>
  <si>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</si>
  <si>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</si>
  <si>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</si>
  <si>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</si>
  <si>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</si>
  <si>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</si>
  <si>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</si>
  <si>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</si>
  <si>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</si>
  <si>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</si>
  <si>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</si>
  <si>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</si>
  <si>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</si>
  <si>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</si>
  <si>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</si>
  <si>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</si>
  <si>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</si>
  <si>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</si>
  <si>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</si>
  <si>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</si>
  <si>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</si>
  <si>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</si>
  <si>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</si>
  <si>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</si>
  <si>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</si>
  <si>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</si>
  <si>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</si>
  <si>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</si>
  <si>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</si>
  <si>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</si>
  <si>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</si>
  <si>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</si>
  <si>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</si>
  <si>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</si>
  <si>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</si>
  <si>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</si>
  <si>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</si>
  <si>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</si>
  <si>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</si>
  <si>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</si>
  <si>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</si>
  <si>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</si>
  <si>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</si>
  <si>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</si>
  <si>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</si>
  <si>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</si>
  <si>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</si>
  <si>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</si>
  <si>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</si>
  <si>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</si>
  <si>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</si>
  <si>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</si>
  <si>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</si>
  <si>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</si>
  <si>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</si>
  <si>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</si>
  <si>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</si>
  <si>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</si>
  <si>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</si>
  <si>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</si>
  <si>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</si>
  <si>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</si>
  <si>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</si>
  <si>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</si>
  <si>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</si>
  <si>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</si>
  <si>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</si>
  <si>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</si>
  <si>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</si>
  <si>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</si>
  <si>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</si>
  <si>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</si>
  <si>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</si>
  <si>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</si>
  <si>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</si>
  <si>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</si>
  <si>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</si>
  <si>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</si>
  <si>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</si>
  <si>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</si>
  <si>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</si>
  <si>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</si>
  <si>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</si>
  <si>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</si>
  <si>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</si>
  <si>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</si>
  <si>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</si>
  <si>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</si>
  <si>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</si>
  <si>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</si>
  <si>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</si>
  <si>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</si>
  <si>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</si>
  <si>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</si>
  <si>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</si>
  <si>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</si>
  <si>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</si>
  <si>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</si>
  <si>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</si>
  <si>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</si>
  <si>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</si>
  <si>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</si>
  <si>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</si>
  <si>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</si>
  <si>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</si>
  <si>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</si>
  <si>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</si>
  <si>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</si>
  <si>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</si>
  <si>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</si>
  <si>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</si>
  <si>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</si>
  <si>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</si>
  <si>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</si>
  <si>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</si>
  <si>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</si>
  <si>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</si>
  <si>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</si>
  <si>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</si>
  <si>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</si>
  <si>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</si>
  <si>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</si>
  <si>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</si>
  <si>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</si>
  <si>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</si>
  <si>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</si>
  <si>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</si>
  <si>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</si>
  <si>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</si>
  <si>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</si>
  <si>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</si>
  <si>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</si>
  <si>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</si>
  <si>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</si>
  <si>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</si>
  <si>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</si>
  <si>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</si>
  <si>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</si>
  <si>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</si>
  <si>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</si>
  <si>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</si>
  <si>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</si>
  <si>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</si>
  <si>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</si>
  <si>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</si>
  <si>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</si>
  <si>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</si>
  <si>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</si>
  <si>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</si>
  <si>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</si>
  <si>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</si>
  <si>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</si>
  <si>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</si>
  <si>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</si>
  <si>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</si>
  <si>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</si>
  <si>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</si>
  <si>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</si>
  <si>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</si>
  <si>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</si>
  <si>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</si>
  <si>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</si>
  <si>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</si>
  <si>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</si>
  <si>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</si>
  <si>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</si>
  <si>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</si>
  <si>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</si>
  <si>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</si>
  <si>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</si>
  <si>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</si>
  <si>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</si>
  <si>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Cristalería Gandia</t>
  </si>
  <si>
    <t>Adrián</t>
  </si>
  <si>
    <t>CUAD45</t>
  </si>
  <si>
    <t>CUADRADO 45mm, BARRAS 6,5 MTS</t>
  </si>
  <si>
    <t>Lac. No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</si>
</sst>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85" workbookViewId="0">
      <selection activeCell="I29" activeCellId="1" sqref="K29 I2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4" t="s">
        <v>1</v>
      </c>
      <c r="F3" s="84"/>
      <c r="G3" s="84"/>
      <c r="H3" s="85"/>
      <c r="I3" s="85"/>
      <c r="J3" s="85"/>
      <c r="K3" s="85"/>
      <c r="L3" s="85"/>
    </row>
    <row r="5" spans="1:12" ht="18.75" x14ac:dyDescent="0.25">
      <c r="B5" s="86" t="s">
        <v>2</v>
      </c>
      <c r="C5" s="86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20250098</v>
      </c>
      <c r="G7" s="8">
        <f ca="1">TODAY()</f>
        <v>45783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147</v>
      </c>
      <c r="C13" s="82" t="str">
        <f>IFERROR(VLOOKUP($B13,Tarifa_all_20240711!$A$2:$G$660,2,FALSE()),"-")</f>
        <v>GUIA SUP TECHO PLUS LAC.BLANCO MATE 9003-3 MTS</v>
      </c>
      <c r="D13" s="82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1441</v>
      </c>
      <c r="C14" s="82" t="str">
        <f>IFERROR(VLOOKUP($B14,Tarifa_all_20240711!$A$2:$G$660,2,FALSE()),"-")</f>
        <v>TAPETA LAT. GUIA TECHO BLANCO</v>
      </c>
      <c r="D14" s="82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341</v>
      </c>
      <c r="C16" s="82" t="str">
        <f>IFERROR(VLOOKUP($B16,Tarifa_all_20240711!$A$2:$G$660,2,FALSE()),"-")</f>
        <v>KIT AMORTIGUADOR SKY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12" x14ac:dyDescent="0.25">
      <c r="A17" t="s">
        <v>18</v>
      </c>
      <c r="B17" s="16" t="s">
        <v>129</v>
      </c>
      <c r="C17" s="82" t="str">
        <f>IFERROR(VLOOKUP($B17,Tarifa_all_20240711!$A$2:$G$660,2,FALSE()),"-")</f>
        <v>KIT PUERTA PA CORREDERA LAC.BLANCO MATE 9003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12" x14ac:dyDescent="0.25">
      <c r="A18" t="s">
        <v>19</v>
      </c>
      <c r="B18" s="16" t="s">
        <v>335</v>
      </c>
      <c r="C18" s="82" t="str">
        <f>IFERROR(VLOOKUP($B18,Tarifa_all_20240711!$A$2:$G$660,2,FALSE()),"-")</f>
        <v>CARRO SKY MADERA 60KG</v>
      </c>
      <c r="D18" s="82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12" x14ac:dyDescent="0.25">
      <c r="A19" t="s">
        <v>20</v>
      </c>
      <c r="B19" s="16" t="s">
        <v>375</v>
      </c>
      <c r="C19" s="82" t="str">
        <f>IFERROR(VLOOKUP($B19,Tarifa_all_20240711!$A$2:$G$660,2,FALSE()),"-")</f>
        <v>TIRADOR RECT.ADH CAVE LAC.BLANCO MATE 9003: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12" x14ac:dyDescent="0.25">
      <c r="A20" t="s">
        <v>21</v>
      </c>
      <c r="B20" s="16" t="s">
        <v>322</v>
      </c>
      <c r="C20" s="82" t="str">
        <f>IFERROR(VLOOKUP($B20,Tarifa_all_20240711!$A$2:$G$660,2,FALSE()),"-")</f>
        <v>GUIADOR FIJO PA LAC.BLANCO MATE 9003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12" x14ac:dyDescent="0.25">
      <c r="A21" t="s">
        <v>22</v>
      </c>
      <c r="B21" s="76" t="s">
        <v>140</v>
      </c>
      <c r="C21" s="83" t="str">
        <f>IFERROR(VLOOKUP($B21,Tarifa_all_20240711!$A$2:$G$660,2,FALSE()),"-")</f>
        <v>PERFIL EMBELL.HORIZ. ADH LAC.BLANCO MATE 9003</v>
      </c>
      <c r="D21" s="83"/>
      <c r="E21" s="77">
        <v>4</v>
      </c>
      <c r="F21" s="78">
        <f>IFERROR(VLOOKUP($B21,Tarifa_all_20240711!$A$2:$G$660,5,FALSE()),"-")</f>
        <v>21.794999999999998</v>
      </c>
      <c r="G21" s="78">
        <f t="shared" si="0"/>
        <v>87.179999999999993</v>
      </c>
      <c r="H21" s="1"/>
    </row>
    <row r="22" spans="1:12" x14ac:dyDescent="0.25">
      <c r="B22" s="16" t="s">
        <v>462</v>
      </c>
      <c r="C22" s="82" t="str">
        <f>IFERROR(VLOOKUP($B22,Tarifa_all_20240711!$A$2:$G$660,2,FALSE()),"-")</f>
        <v>MARCO FIJOS 35MM D-DECOR FIJO BLAN 9003 MATE 3 MT</v>
      </c>
      <c r="D22" s="82"/>
      <c r="E22" s="17">
        <v>4</v>
      </c>
      <c r="F22" s="18">
        <f>IFERROR(VLOOKUP($B22,Tarifa_all_20240711!$A$2:$G$660,5,FALSE()),"-")</f>
        <v>27.712500000000002</v>
      </c>
      <c r="G22" s="18">
        <f t="shared" si="0"/>
        <v>110.85000000000001</v>
      </c>
      <c r="H22" s="1"/>
    </row>
    <row r="23" spans="1:12" x14ac:dyDescent="0.25">
      <c r="B23" s="16" t="s">
        <v>442</v>
      </c>
      <c r="C23" s="82" t="str">
        <f>IFERROR(VLOOKUP($B23,Tarifa_all_20240711!$A$2:$G$660,2,FALSE()),"-")</f>
        <v>ANCLAJE TAPA 35MM D-DECOR FIJO BLANCO 9003 M 3 MT</v>
      </c>
      <c r="D23" s="82"/>
      <c r="E23" s="17">
        <v>4</v>
      </c>
      <c r="F23" s="18">
        <f>IFERROR(VLOOKUP($B23,Tarifa_all_20240711!$A$2:$G$660,5,FALSE()),"-")</f>
        <v>13.4175</v>
      </c>
      <c r="G23" s="18">
        <f t="shared" si="0"/>
        <v>53.67</v>
      </c>
      <c r="H23" s="1"/>
    </row>
    <row r="24" spans="1:12" x14ac:dyDescent="0.25">
      <c r="B24" s="16" t="s">
        <v>482</v>
      </c>
      <c r="C24" s="82" t="str">
        <f>IFERROR(VLOOKUP($B24,Tarifa_all_20240711!$A$2:$G$660,2,FALSE()),"-")</f>
        <v>TAPA MARCO 35MM D-DECOR FIJO BLANCO 9003 MATE 3 MT</v>
      </c>
      <c r="D24" s="82"/>
      <c r="E24" s="17">
        <v>4</v>
      </c>
      <c r="F24" s="18">
        <f>IFERROR(VLOOKUP($B24,Tarifa_all_20240711!$A$2:$G$660,5,FALSE()),"-")</f>
        <v>11.3025</v>
      </c>
      <c r="G24" s="18">
        <f t="shared" si="0"/>
        <v>45.21</v>
      </c>
      <c r="H24" s="1"/>
    </row>
    <row r="25" spans="1:12" x14ac:dyDescent="0.25">
      <c r="B25" s="16" t="s">
        <v>452</v>
      </c>
      <c r="C25" s="82" t="str">
        <f>IFERROR(VLOOKUP($B25,Tarifa_all_20240711!$A$2:$G$660,2,FALSE()),"-")</f>
        <v>PERFIL MINIMALISTA D-DECOR FIJO BLANCO 9003 M 3 MT</v>
      </c>
      <c r="D25" s="82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12" x14ac:dyDescent="0.25">
      <c r="B26" s="16" t="s">
        <v>298</v>
      </c>
      <c r="C26" s="82" t="str">
        <f>IFERROR(VLOOKUP($B26,Tarifa_all_20240711!$A$2:$G$660,2,FALSE()),"-")</f>
        <v>Tope Domo Decor</v>
      </c>
      <c r="D26" s="82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</row>
    <row r="27" spans="1:12" x14ac:dyDescent="0.25">
      <c r="B27" s="16" t="s">
        <v>300</v>
      </c>
      <c r="C27" s="82" t="str">
        <f>IFERROR(VLOOKUP($B27,Tarifa_all_20240711!$A$2:$G$660,2,FALSE()),"-")</f>
        <v>PERFIL 3 MTS REDUCTOR PARA VIDRIO 6mm</v>
      </c>
      <c r="D27" s="82"/>
      <c r="E27" s="17">
        <v>5</v>
      </c>
      <c r="F27" s="18">
        <f>IFERROR(VLOOKUP($B27,Tarifa_all_20240711!$A$2:$G$660,5,FALSE()),"-")</f>
        <v>3.4275000000000002</v>
      </c>
      <c r="G27" s="18">
        <f t="shared" si="0"/>
        <v>17.137500000000003</v>
      </c>
      <c r="H27" s="1"/>
    </row>
    <row r="28" spans="1:12" x14ac:dyDescent="0.25">
      <c r="B28" s="16">
        <v>31229</v>
      </c>
      <c r="C28" s="82" t="str">
        <f>IFERROR(VLOOKUP($B28,Tarifa_all_20240711!$A$2:$G$660,2,FALSE()),"-")</f>
        <v>COMPLEMENTO FIJACION DOMO DECOR: BARRAS 3 MTS</v>
      </c>
      <c r="D28" s="82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  <c r="I28" t="s">
        <v>1455</v>
      </c>
    </row>
    <row r="29" spans="1:12" x14ac:dyDescent="0.25">
      <c r="B29" s="16" t="s">
        <v>1453</v>
      </c>
      <c r="C29" s="82" t="s">
        <v>1454</v>
      </c>
      <c r="D29" s="82"/>
      <c r="E29" s="17">
        <v>1</v>
      </c>
      <c r="F29" s="18">
        <f>K29*L29</f>
        <v>48.460750000000004</v>
      </c>
      <c r="G29" s="18">
        <f t="shared" si="0"/>
        <v>48.460750000000004</v>
      </c>
      <c r="H29" s="1"/>
      <c r="I29" s="80">
        <v>11.47</v>
      </c>
      <c r="J29" s="79">
        <v>0.35</v>
      </c>
      <c r="K29" s="80">
        <f>I29*(1-J29)</f>
        <v>7.4555000000000007</v>
      </c>
      <c r="L29">
        <v>6.5</v>
      </c>
    </row>
    <row r="30" spans="1:12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2" x14ac:dyDescent="0.25">
      <c r="B31" s="19"/>
      <c r="C31" s="19"/>
      <c r="D31" s="19"/>
      <c r="E31" s="19"/>
      <c r="F31" s="20"/>
      <c r="G31" s="21">
        <f>SUM(G13:G30)</f>
        <v>861.30325000000005</v>
      </c>
    </row>
    <row r="32" spans="1:12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1"/>
      <c r="E52" s="81"/>
      <c r="F52" s="81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4" t="s">
        <v>78</v>
      </c>
      <c r="F2" s="84"/>
      <c r="G2" s="84"/>
    </row>
    <row r="3" spans="1:7" ht="18" customHeight="1" x14ac:dyDescent="0.35">
      <c r="E3" s="84" t="s">
        <v>1</v>
      </c>
      <c r="F3" s="84"/>
      <c r="G3" s="84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1" t="s">
        <v>79</v>
      </c>
      <c r="B6" s="91"/>
      <c r="C6" s="91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2" t="str">
        <f>'DESPIECE (MATANALYSIS)'!C8</f>
        <v>Cristalería Gandia</v>
      </c>
      <c r="C9" s="92"/>
      <c r="D9" s="92"/>
      <c r="F9" s="3" t="s">
        <v>81</v>
      </c>
      <c r="G9" s="44">
        <f ca="1">TODAY()</f>
        <v>45783</v>
      </c>
    </row>
    <row r="10" spans="1:7" x14ac:dyDescent="0.25">
      <c r="A10" s="3" t="s">
        <v>82</v>
      </c>
      <c r="B10" s="11" t="str">
        <f>'DESPIECE (MATANALYSIS)'!C9</f>
        <v>Adrián</v>
      </c>
      <c r="C10" s="45"/>
      <c r="D10" s="45"/>
      <c r="E10" s="46"/>
      <c r="F10" s="47" t="s">
        <v>83</v>
      </c>
      <c r="G10" s="7">
        <f>'DESPIECE (MATANALYSIS)'!C7</f>
        <v>20250098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7"/>
      <c r="B46" s="87"/>
      <c r="C46" s="71"/>
      <c r="D46" s="71"/>
      <c r="E46" s="71"/>
      <c r="F46" s="72"/>
      <c r="G46" s="73"/>
    </row>
    <row r="47" spans="1:7" ht="22.7" customHeight="1" x14ac:dyDescent="0.25">
      <c r="A47" s="88" t="s">
        <v>99</v>
      </c>
      <c r="B47" s="88"/>
      <c r="C47" s="59"/>
      <c r="D47" s="59"/>
      <c r="E47" s="59"/>
      <c r="F47" s="89">
        <f>'DESPIECE (MATANALYSIS)'!G31</f>
        <v>861.30325000000005</v>
      </c>
      <c r="G47" s="89"/>
    </row>
    <row r="48" spans="1:7" s="1" customFormat="1" ht="22.7" customHeight="1" x14ac:dyDescent="0.25">
      <c r="A48" s="90" t="s">
        <v>100</v>
      </c>
      <c r="B48" s="90"/>
      <c r="C48" s="90"/>
      <c r="D48" s="90"/>
      <c r="E48" s="90"/>
      <c r="F48" s="90"/>
      <c r="G48" s="90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2025-05-06T09:25:50Z</dcterms:modified>
  <dc:language>es-ES</dc:language>
</cp:coreProperties>
</file>