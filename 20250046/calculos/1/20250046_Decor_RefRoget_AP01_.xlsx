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6\calculos\1\"/>
    </mc:Choice>
  </mc:AlternateContent>
  <xr:revisionPtr revIDLastSave="0" documentId="13_ncr:1_{EC67900F-14F6-42B8-B218-5CDFD3C07DF5}" xr6:coauthVersionLast="47" xr6:coauthVersionMax="47" xr10:uidLastSave="{00000000-0000-0000-0000-000000000000}"/>
  <bookViews>
    <workbookView xWindow="1335" yWindow="345" windowWidth="22965" windowHeight="1429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<sst xmlns="http://schemas.openxmlformats.org/spreadsheetml/2006/main" count="5398" uniqueCount="1447">
  <si>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</si>
  <si>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</si>
  <si>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</si>
  <si>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</si>
  <si>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</si>
  <si>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</si>
  <si>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</si>
  <si>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</si>
  <si>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</si>
  <si>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</si>
  <si>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</si>
  <si>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</si>
  <si>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</si>
  <si>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</si>
  <si>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</si>
  <si>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</si>
  <si>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</si>
  <si>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</si>
  <si>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</si>
  <si>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</si>
  <si>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</si>
  <si>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</si>
  <si>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</si>
  <si>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</si>
  <si>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</si>
  <si>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</si>
  <si>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</si>
  <si>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</si>
  <si>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</si>
  <si>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</si>
  <si>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</si>
  <si>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</si>
  <si>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</si>
  <si>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</si>
  <si>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</si>
  <si>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</si>
  <si>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</si>
  <si>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</si>
  <si>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</si>
  <si>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</si>
  <si>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</si>
  <si>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</si>
  <si>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</si>
  <si>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</si>
  <si>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</si>
  <si>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</si>
  <si>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</si>
  <si>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</si>
  <si>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</si>
  <si>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</si>
  <si>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</si>
  <si>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</si>
  <si>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</si>
  <si>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</si>
  <si>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</si>
  <si>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</si>
  <si>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</si>
  <si>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</si>
  <si>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</si>
  <si>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</si>
  <si>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</si>
  <si>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</si>
  <si>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</si>
  <si>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</si>
  <si>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</si>
  <si>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</si>
  <si>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</si>
  <si>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</si>
  <si>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</si>
  <si>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</si>
  <si>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</si>
  <si>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</si>
  <si>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</si>
  <si>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</si>
  <si>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</si>
  <si>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</si>
  <si>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</si>
  <si>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</si>
  <si>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</si>
  <si>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</si>
  <si>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</si>
  <si>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</si>
  <si>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</si>
  <si>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</si>
  <si>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</si>
  <si>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</si>
  <si>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</si>
  <si>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</si>
  <si>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</si>
  <si>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</si>
  <si>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</si>
  <si>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</si>
  <si>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</si>
  <si>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</si>
  <si>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</si>
  <si>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</si>
  <si>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</si>
  <si>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</si>
  <si>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</si>
  <si>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</si>
  <si>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</si>
  <si>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</si>
  <si>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</si>
  <si>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</si>
  <si>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</si>
  <si>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</si>
  <si>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</si>
  <si>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</si>
  <si>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</si>
  <si>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</si>
  <si>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</si>
  <si>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</si>
  <si>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</si>
  <si>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</si>
  <si>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</si>
  <si>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</si>
  <si>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</si>
  <si>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</si>
  <si>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</si>
  <si>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</si>
  <si>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</si>
  <si>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</si>
  <si>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</si>
  <si>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</si>
  <si>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</si>
  <si>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</si>
  <si>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</si>
  <si>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</si>
  <si>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</si>
  <si>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</si>
  <si>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</si>
  <si>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</si>
  <si>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</si>
  <si>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</si>
  <si>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</si>
  <si>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</si>
  <si>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</si>
  <si>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</si>
  <si>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</si>
  <si>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</si>
  <si>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</si>
  <si>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</si>
  <si>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</si>
  <si>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</si>
  <si>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</si>
  <si>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</si>
  <si>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</si>
  <si>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</si>
  <si>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</si>
  <si>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</si>
  <si>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</si>
  <si>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</si>
  <si>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</si>
  <si>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</si>
  <si>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</si>
  <si>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</si>
  <si>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</si>
  <si>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</si>
  <si>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</si>
  <si>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</si>
  <si>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</si>
  <si>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</si>
  <si>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</si>
  <si>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</si>
  <si>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</si>
  <si>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</si>
  <si>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</si>
  <si>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</si>
  <si>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</si>
  <si>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</si>
  <si>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</si>
  <si>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</si>
  <si>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</si>
  <si>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</si>
  <si>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</si>
  <si>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</si>
  <si>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</si>
  <si>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</si>
  <si>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</si>
  <si>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</si>
  <si>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</si>
  <si>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</si>
  <si>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</si>
  <si>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</si>
  <si>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</si>
  <si>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</si>
  <si>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</si>
  <si>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</si>
  <si>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</si>
  <si>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</si>
  <si>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</si>
  <si>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</si>
  <si>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</si>
  <si>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</si>
  <si>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</si>
  <si>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</si>
  <si>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</si>
  <si>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</si>
  <si>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</si>
  <si>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</si>
  <si>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</si>
  <si>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</si>
  <si>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</si>
  <si>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</si>
  <si>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</si>
  <si>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</si>
  <si>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</si>
  <si>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</si>
  <si>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</si>
  <si>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</si>
  <si>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</si>
  <si>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</si>
  <si>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</si>
  <si>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</si>
  <si>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</si>
  <si>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</si>
  <si>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</si>
  <si>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</si>
  <si>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</si>
  <si>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</si>
  <si>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</si>
  <si>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</si>
  <si>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</si>
  <si>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</si>
  <si>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</si>
  <si>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</si>
  <si>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</si>
  <si>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</si>
  <si>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</si>
  <si>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</si>
  <si>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</si>
  <si>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</si>
  <si>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</si>
  <si>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</si>
  <si>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</si>
  <si>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</si>
  <si>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</si>
  <si>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</si>
  <si>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</si>
  <si>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</si>
  <si>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</si>
  <si>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</si>
  <si>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</si>
  <si>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</si>
  <si>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</si>
  <si>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</si>
  <si>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</si>
  <si>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</si>
  <si>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</si>
  <si>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</si>
  <si>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</si>
  <si>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</si>
  <si>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</si>
  <si>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</si>
  <si>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</si>
  <si>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</si>
  <si>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</si>
  <si>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</si>
  <si>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</si>
  <si>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</si>
  <si>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</si>
  <si>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</si>
  <si>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</si>
  <si>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</si>
  <si>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</si>
  <si>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</si>
  <si>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</si>
  <si>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</si>
  <si>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</si>
  <si>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</si>
  <si>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</si>
  <si>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</si>
  <si>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</si>
  <si>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</si>
  <si>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</si>
  <si>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</si>
  <si>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</si>
  <si>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</si>
  <si>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</si>
  <si>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</si>
  <si>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</si>
  <si>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</si>
  <si>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</si>
  <si>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</si>
  <si>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</si>
  <si>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</si>
  <si>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</si>
  <si>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</si>
  <si>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</si>
  <si>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</si>
  <si>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</si>
  <si>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</si>
  <si>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</si>
  <si>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</si>
  <si>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</si>
  <si>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</si>
  <si>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</si>
  <si>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</si>
  <si>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</si>
  <si>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</si>
  <si>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</si>
  <si>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</si>
  <si>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</si>
  <si>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</si>
  <si>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</si>
  <si>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</si>
  <si>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</si>
  <si>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</si>
  <si>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</si>
  <si>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</si>
  <si>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</si>
  <si>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</si>
  <si>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</si>
  <si>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</si>
  <si>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</si>
  <si>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</si>
  <si>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</si>
  <si>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</si>
  <si>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</si>
  <si>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</si>
  <si>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</si>
  <si>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</si>
  <si>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</si>
  <si>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</si>
  <si>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</si>
  <si>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</si>
  <si>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</si>
  <si>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</si>
  <si>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</si>
  <si>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</si>
  <si>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</si>
  <si>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</si>
  <si>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</si>
  <si>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</si>
  <si>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</si>
  <si>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</si>
  <si>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</si>
  <si>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</si>
  <si>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</si>
  <si>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</si>
  <si>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</si>
  <si>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</si>
  <si>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</si>
  <si>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</si>
  <si>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</si>
  <si>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</si>
  <si>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</si>
  <si>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</si>
  <si>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</si>
  <si>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</si>
  <si>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</si>
  <si>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</si>
  <si>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</si>
  <si>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</si>
  <si>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</si>
  <si>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</si>
  <si>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</si>
  <si>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</si>
  <si>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</si>
  <si>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</si>
  <si>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</si>
  <si>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</si>
  <si>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</si>
  <si>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</si>
  <si>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</si>
  <si>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</si>
  <si>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</si>
  <si>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</si>
  <si>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</si>
  <si>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</si>
  <si>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</si>
  <si>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</si>
  <si>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</si>
  <si>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</si>
  <si>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</si>
  <si>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</si>
  <si>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</si>
  <si>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</si>
  <si>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</si>
  <si>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</si>
  <si>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</si>
  <si>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</si>
  <si>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</si>
  <si>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</si>
  <si>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</si>
  <si>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</si>
  <si>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</si>
  <si>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</si>
  <si>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</si>
  <si>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</si>
  <si>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</si>
  <si>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</si>
  <si>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</si>
  <si>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</si>
  <si>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</si>
  <si>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</si>
  <si>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</si>
  <si>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</si>
  <si>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</si>
  <si>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</si>
  <si>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</si>
  <si>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</si>
  <si>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</si>
  <si>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</si>
  <si>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</si>
  <si>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</si>
  <si>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</si>
  <si>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</si>
  <si>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</si>
  <si>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</si>
  <si>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</si>
  <si>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</si>
  <si>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</si>
  <si>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</si>
  <si>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</si>
  <si>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</si>
  <si>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</si>
  <si>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</si>
  <si>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</si>
  <si>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</si>
  <si>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</si>
  <si>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</si>
  <si>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</si>
  <si>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</si>
  <si>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</si>
  <si>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</si>
  <si>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</si>
  <si>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</si>
  <si>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</si>
  <si>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</si>
  <si>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</si>
  <si>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</si>
  <si>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</si>
  <si>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</si>
  <si>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</si>
  <si>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</si>
  <si>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</si>
  <si>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</si>
  <si>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</si>
  <si>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</si>
  <si>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</si>
  <si>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</si>
  <si>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</si>
  <si>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</si>
  <si>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</si>
  <si>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</si>
  <si>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</si>
  <si>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</si>
  <si>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</si>
  <si>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</si>
  <si>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</si>
  <si>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</si>
  <si>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</si>
  <si>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</si>
  <si>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</si>
  <si>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</si>
  <si>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</si>
  <si>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</si>
  <si>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</si>
  <si>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</si>
  <si>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</si>
  <si>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</si>
  <si>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</si>
  <si>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</si>
  <si>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</si>
  <si>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</si>
  <si>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</si>
  <si>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</si>
  <si>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</si>
  <si>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</si>
  <si>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</si>
  <si>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</si>
  <si>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</si>
  <si>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</si>
  <si>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</si>
  <si>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</si>
  <si>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</si>
  <si>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</si>
  <si>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</si>
  <si>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</si>
  <si>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</si>
  <si>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</si>
  <si>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</si>
  <si>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</si>
  <si>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</si>
  <si>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</si>
  <si>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</si>
  <si>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</si>
  <si>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</si>
  <si>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</si>
  <si>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</si>
  <si>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</si>
  <si>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</si>
  <si>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</si>
  <si>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</si>
  <si>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</si>
  <si>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</si>
  <si>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</si>
  <si>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</si>
  <si>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</si>
  <si>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</si>
  <si>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</si>
  <si>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</si>
  <si>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</si>
  <si>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</si>
  <si>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</si>
  <si>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</si>
  <si>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</si>
  <si>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</si>
  <si>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</si>
  <si>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</si>
  <si>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</si>
  <si>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</si>
  <si>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</si>
  <si>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</si>
  <si>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</si>
  <si>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</si>
  <si>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</si>
  <si>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</si>
  <si>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</si>
  <si>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</si>
  <si>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</si>
  <si>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</si>
  <si>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</si>
  <si>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</si>
  <si>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</si>
  <si>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</si>
  <si>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</si>
  <si>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</si>
  <si>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</si>
  <si>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</si>
  <si>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</si>
  <si>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</si>
  <si>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</si>
  <si>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</si>
  <si>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</si>
  <si>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</si>
  <si>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</si>
  <si>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</si>
  <si>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</si>
  <si>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</si>
  <si>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</si>
  <si>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</si>
  <si>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</si>
  <si>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</si>
  <si>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</si>
  <si>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</si>
  <si>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</si>
  <si>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</si>
  <si>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</si>
  <si>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</si>
  <si>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</si>
  <si>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</si>
  <si>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</si>
  <si>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</si>
  <si>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</si>
  <si>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</si>
  <si>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</si>
  <si>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</si>
  <si>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</si>
  <si>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</si>
  <si>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</si>
  <si>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</si>
  <si>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</si>
  <si>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</si>
  <si>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</si>
  <si>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</si>
  <si>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</si>
  <si>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</si>
  <si>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</si>
  <si>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</si>
  <si>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</si>
  <si>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</si>
  <si>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</si>
  <si>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</si>
  <si>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</si>
  <si>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</si>
  <si>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</si>
  <si>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</si>
  <si>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</si>
  <si>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</si>
  <si>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</si>
  <si>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</si>
  <si>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</si>
  <si>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</si>
  <si>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</si>
  <si>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</si>
  <si>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</si>
  <si>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</si>
  <si>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</si>
  <si>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</si>
  <si>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</si>
  <si>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</si>
  <si>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</si>
  <si>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</si>
  <si>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</si>
  <si>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</si>
  <si>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</si>
  <si>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</si>
  <si>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</si>
  <si>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</si>
  <si>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</si>
  <si>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</si>
  <si>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</si>
  <si>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</si>
  <si>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</si>
  <si>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</si>
  <si>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</si>
  <si>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</si>
  <si>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</si>
  <si>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</si>
  <si>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</si>
  <si>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</si>
  <si>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</si>
  <si>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</si>
  <si>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</si>
  <si>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</si>
  <si>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</si>
  <si>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</si>
  <si>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</si>
  <si>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</si>
  <si>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</si>
  <si>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</si>
  <si>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</si>
  <si>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</si>
  <si>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</si>
  <si>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</si>
  <si>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</si>
  <si>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</si>
  <si>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</si>
  <si>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</si>
  <si>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</si>
  <si>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</si>
  <si>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</si>
  <si>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</si>
  <si>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</si>
  <si>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</si>
  <si>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</si>
  <si>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</si>
  <si>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</si>
  <si>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</si>
  <si>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</si>
  <si>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</si>
  <si>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</si>
  <si>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</si>
  <si>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</si>
  <si>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</si>
  <si>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</si>
  <si>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</si>
  <si>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</si>
  <si>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</si>
  <si>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</si>
  <si>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</si>
  <si>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</si>
  <si>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</si>
  <si>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</si>
  <si>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</si>
  <si>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</si>
  <si>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</si>
  <si>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</si>
  <si>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</si>
  <si>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</si>
  <si>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</si>
  <si>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</si>
  <si>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</si>
  <si>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</si>
  <si>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</si>
  <si>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</si>
  <si>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</si>
  <si>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</si>
  <si>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</si>
  <si>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</si>
  <si>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</si>
  <si>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</si>
  <si>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</si>
  <si>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</si>
  <si>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</si>
  <si>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</si>
  <si>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</si>
  <si>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</si>
  <si>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</si>
  <si>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</si>
  <si>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</si>
  <si>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</si>
  <si>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</si>
  <si>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</si>
  <si>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</si>
  <si>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</si>
  <si>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</si>
  <si>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</si>
  <si>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</si>
  <si>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</si>
  <si>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</si>
  <si>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</si>
  <si>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</si>
  <si>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</si>
  <si>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</si>
  <si>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</si>
  <si>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</si>
  <si>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</si>
  <si>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</si>
  <si>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</si>
  <si>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</si>
  <si>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</si>
  <si>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</si>
  <si>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</si>
  <si>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</si>
  <si>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</si>
  <si>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</si>
  <si>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</si>
  <si>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</si>
  <si>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</si>
  <si>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</si>
  <si>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</si>
  <si>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</si>
  <si>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</si>
  <si>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</si>
  <si>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</si>
  <si>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</si>
  <si>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</si>
  <si>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</si>
  <si>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</si>
  <si>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</si>
  <si>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</si>
  <si>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</si>
  <si>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</si>
  <si>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</si>
  <si>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</si>
  <si>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</si>
  <si>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</si>
  <si>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</si>
  <si>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</si>
  <si>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</si>
  <si>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</si>
  <si>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</si>
  <si>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</si>
  <si>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</si>
  <si>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</si>
  <si>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</si>
  <si>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</si>
  <si>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</si>
  <si>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</si>
  <si>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</si>
  <si>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</si>
  <si>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</si>
  <si>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</si>
  <si>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</si>
  <si>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</si>
  <si>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</si>
  <si>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</si>
  <si>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</si>
  <si>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</si>
  <si>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</si>
  <si>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</si>
  <si>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</si>
  <si>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</si>
  <si>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</si>
  <si>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</si>
  <si>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</si>
  <si>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</si>
  <si>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</si>
  <si>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</si>
  <si>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</si>
  <si>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</si>
  <si>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</si>
  <si>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</si>
  <si>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</si>
  <si>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</si>
  <si>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</si>
  <si>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</si>
  <si>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</si>
  <si>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</si>
  <si>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</si>
  <si>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</si>
  <si>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</si>
  <si>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</si>
  <si>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</si>
  <si>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</si>
  <si>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</si>
  <si>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</si>
  <si>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</si>
  <si>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</si>
  <si>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</si>
  <si>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</si>
  <si>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</si>
  <si>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</si>
  <si>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</si>
  <si>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</si>
  <si>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</si>
  <si>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</si>
  <si>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</si>
  <si>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</si>
  <si>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</si>
  <si>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</si>
  <si>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</si>
  <si>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</si>
  <si>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</si>
  <si>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</si>
  <si>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</si>
  <si>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</si>
  <si>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</si>
  <si>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</si>
  <si>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</si>
  <si>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</si>
  <si>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</si>
  <si>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</si>
  <si>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</si>
  <si>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</si>
  <si>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</si>
  <si>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</si>
  <si>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</si>
  <si>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</si>
  <si>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</si>
  <si>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</si>
  <si>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</si>
  <si>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</si>
  <si>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</si>
  <si>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</si>
  <si>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</si>
  <si>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</si>
  <si>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</si>
  <si>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</si>
  <si>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</si>
  <si>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</si>
  <si>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</si>
  <si>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</si>
  <si>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</si>
  <si>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</si>
  <si>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</si>
  <si>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</si>
  <si>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</si>
  <si>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</si>
  <si>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</si>
  <si>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</si>
  <si>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</si>
  <si>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</si>
  <si>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</si>
  <si>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</si>
  <si>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</si>
  <si>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</si>
  <si>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</si>
  <si>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</si>
  <si>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</si>
  <si>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</si>
  <si>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</si>
  <si>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</si>
  <si>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</si>
  <si>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</si>
  <si>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</si>
  <si>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</si>
  <si>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</si>
  <si>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</si>
  <si>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</si>
  <si>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</si>
  <si>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</si>
  <si>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</si>
  <si>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</si>
  <si>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</si>
  <si>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</si>
  <si>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</si>
  <si>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</si>
  <si>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</si>
  <si>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</si>
  <si>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</si>
  <si>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</si>
  <si>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</si>
  <si>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</si>
  <si>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</si>
  <si>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</si>
  <si>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</si>
  <si>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</si>
  <si>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</si>
  <si>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</si>
  <si>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</si>
  <si>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</si>
  <si>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</si>
  <si>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</si>
  <si>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</si>
  <si>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</si>
  <si>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</si>
  <si>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</si>
  <si>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</si>
  <si>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</si>
  <si>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</si>
  <si>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</si>
  <si>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</si>
  <si>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</si>
  <si>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</si>
  <si>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</si>
  <si>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</si>
  <si>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</si>
  <si>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</si>
  <si>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</si>
  <si>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</si>
  <si>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</si>
  <si>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</si>
  <si>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</si>
  <si>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</si>
  <si>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</si>
  <si>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</si>
  <si>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</si>
  <si>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</si>
  <si>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</si>
  <si>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</si>
  <si>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</si>
  <si>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</si>
  <si>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</si>
  <si>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</si>
  <si>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</si>
  <si>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</si>
  <si>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</si>
  <si>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</si>
  <si>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</si>
  <si>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</si>
  <si>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</si>
  <si>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</si>
  <si>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</si>
  <si>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</si>
  <si>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</si>
  <si>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</si>
  <si>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</si>
  <si>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</si>
  <si>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</si>
  <si>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</si>
  <si>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</si>
  <si>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</si>
  <si>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</si>
  <si>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</si>
  <si>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</si>
  <si>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</si>
  <si>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</si>
  <si>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</si>
  <si>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</si>
  <si>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</si>
  <si>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</si>
  <si>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</si>
  <si>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</si>
  <si>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</si>
  <si>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</si>
  <si>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</si>
  <si>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</si>
  <si>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</si>
  <si>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</si>
  <si>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</si>
  <si>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</si>
  <si>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</si>
  <si>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</si>
  <si>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</si>
  <si>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</si>
  <si>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</si>
  <si>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</si>
  <si>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</si>
  <si>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</si>
  <si>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</si>
  <si>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</si>
  <si>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</si>
  <si>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</si>
  <si>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</si>
  <si>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</si>
  <si>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</si>
  <si>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</si>
  <si>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</si>
  <si>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</si>
  <si>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</si>
  <si>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</si>
  <si>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</si>
  <si>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</si>
  <si>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</si>
  <si>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</si>
  <si>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</si>
  <si>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</si>
  <si>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</si>
  <si>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</si>
  <si>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</si>
  <si>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</si>
  <si>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</si>
  <si>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</si>
  <si>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</si>
  <si>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</si>
  <si>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</si>
  <si>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</si>
  <si>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</si>
  <si>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</si>
  <si>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</si>
  <si>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</si>
  <si>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</si>
  <si>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</si>
  <si>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</si>
  <si>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</si>
  <si>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</si>
  <si>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</si>
  <si>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</si>
  <si>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</si>
  <si>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</si>
  <si>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</si>
  <si>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</si>
  <si>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</si>
  <si>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</si>
  <si>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</si>
  <si>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</si>
  <si>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</si>
  <si>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</si>
  <si>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</si>
  <si>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</si>
  <si>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</si>
  <si>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</si>
  <si>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</si>
  <si>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</si>
  <si>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</si>
  <si>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</si>
  <si>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</si>
  <si>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</si>
  <si>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</si>
  <si>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</si>
  <si>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</si>
  <si>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</si>
  <si>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</si>
  <si>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</si>
  <si>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</si>
  <si>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</si>
  <si>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</si>
  <si>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</si>
  <si>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</si>
  <si>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</si>
  <si>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</si>
  <si>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</si>
  <si>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</si>
  <si>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</si>
  <si>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</si>
  <si>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</si>
  <si>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</si>
  <si>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</si>
  <si>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</si>
  <si>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</si>
  <si>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</si>
  <si>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</si>
  <si>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</si>
  <si>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</si>
  <si>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</si>
  <si>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</si>
  <si>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</si>
  <si>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</si>
  <si>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</si>
  <si>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</si>
  <si>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</si>
  <si>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</si>
  <si>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</si>
  <si>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</si>
  <si>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</si>
  <si>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</si>
  <si>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</si>
  <si>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</si>
  <si>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</si>
  <si>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</si>
  <si>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</si>
  <si>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</si>
  <si>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</si>
  <si>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</si>
  <si>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</si>
  <si>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</si>
  <si>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</si>
  <si>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</si>
  <si>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</si>
  <si>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</si>
  <si>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</si>
  <si>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</si>
  <si>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</si>
  <si>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</si>
  <si>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</si>
  <si>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</si>
  <si>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</si>
  <si>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</si>
  <si>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</si>
  <si>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</si>
  <si>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</si>
  <si>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</si>
  <si>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</si>
  <si>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</si>
  <si>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</si>
  <si>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</si>
  <si>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</si>
  <si>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</si>
  <si>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</si>
  <si>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</si>
  <si>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</si>
  <si>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</si>
  <si>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</si>
  <si>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</si>
  <si>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</si>
  <si>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</si>
  <si>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</si>
  <si>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</si>
  <si>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</si>
  <si>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</si>
  <si>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</si>
  <si>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</si>
  <si>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</si>
  <si>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</si>
  <si>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</si>
  <si>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</si>
  <si>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</si>
  <si>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</si>
  <si>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</si>
  <si>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</si>
  <si>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</si>
  <si>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</si>
  <si>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</si>
  <si>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</si>
  <si>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</si>
  <si>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</si>
  <si>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</si>
  <si>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</si>
  <si>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</si>
  <si>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</si>
  <si>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</si>
  <si>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</si>
  <si>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</si>
  <si>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</si>
  <si>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</si>
  <si>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</si>
  <si>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</si>
  <si>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</si>
  <si>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</si>
  <si>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</si>
  <si>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</si>
  <si>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</si>
  <si>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</si>
  <si>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</si>
  <si>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</si>
  <si>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</si>
  <si>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</si>
  <si>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</si>
  <si>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</si>
  <si>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</si>
  <si>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</si>
  <si>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</si>
  <si>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</si>
  <si>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</si>
  <si>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</si>
  <si>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</si>
  <si>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</si>
  <si>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</si>
  <si>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</si>
  <si>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</si>
  <si>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</si>
  <si>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</si>
  <si>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</si>
  <si>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</si>
  <si>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</si>
  <si>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</si>
  <si>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</si>
  <si>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</si>
  <si>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</si>
  <si>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</si>
  <si>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</si>
  <si>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</si>
  <si>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</si>
  <si>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</si>
  <si>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</si>
  <si>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</si>
  <si>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</si>
  <si>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</si>
  <si>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</si>
  <si>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</si>
  <si>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</si>
  <si>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</si>
  <si>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</si>
  <si>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</si>
  <si>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</si>
  <si>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</si>
  <si>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</si>
  <si>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</si>
  <si>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</si>
  <si>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</si>
  <si>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</si>
  <si>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</si>
  <si>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</si>
  <si>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</si>
  <si>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</si>
  <si>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</si>
  <si>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</si>
  <si>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</si>
  <si>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</si>
  <si>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</si>
  <si>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</si>
  <si>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</si>
  <si>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</si>
  <si>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</si>
  <si>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</si>
  <si>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</si>
  <si>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</si>
  <si>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</si>
  <si>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</si>
  <si>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</si>
  <si>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</si>
  <si>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</si>
  <si>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</si>
  <si>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</si>
  <si>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</si>
  <si>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</si>
  <si>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</si>
  <si>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</si>
  <si>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</si>
  <si>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</si>
  <si>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</si>
  <si>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</si>
  <si>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</si>
  <si>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</si>
  <si>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</si>
  <si>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</si>
  <si>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</si>
  <si>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</si>
  <si>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</si>
  <si>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</si>
  <si>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</si>
  <si>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</si>
  <si>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</si>
  <si>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</si>
  <si>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</si>
  <si>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</si>
  <si>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</si>
  <si>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</si>
  <si>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</si>
  <si>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</si>
  <si>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</si>
  <si>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</si>
  <si>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</si>
  <si>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</si>
  <si>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</si>
  <si>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</si>
  <si>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</si>
  <si>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</si>
  <si>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</si>
  <si>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</si>
  <si>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</si>
  <si>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</si>
  <si>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</si>
  <si>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</si>
  <si>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</si>
  <si>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</si>
  <si>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</si>
  <si>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</si>
  <si>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</si>
  <si>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</si>
  <si>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</si>
  <si>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</si>
  <si>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</si>
  <si>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</si>
  <si>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</si>
  <si>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</si>
  <si>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</si>
  <si>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</si>
  <si>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</si>
  <si>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</si>
  <si>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</si>
  <si>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</si>
  <si>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</si>
  <si>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</si>
  <si>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</si>
  <si>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</si>
  <si>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</si>
  <si>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</si>
  <si>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</si>
  <si>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</si>
  <si>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</si>
  <si>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</si>
  <si>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</si>
  <si>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</si>
  <si>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</si>
  <si>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</si>
  <si>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</si>
  <si>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</si>
  <si>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</si>
  <si>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</si>
  <si>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</si>
  <si>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</si>
  <si>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</si>
  <si>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</si>
  <si>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</si>
  <si>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</si>
  <si>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</si>
  <si>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</si>
  <si>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</si>
  <si>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</si>
  <si>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</si>
  <si>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</si>
  <si>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</si>
  <si>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</si>
  <si>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</si>
  <si>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</si>
  <si>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</si>
  <si>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</si>
  <si>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</si>
  <si>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</si>
  <si>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</si>
  <si>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</si>
  <si>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</si>
  <si>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</si>
  <si>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</si>
  <si>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</si>
  <si>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</si>
  <si>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</si>
  <si>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</si>
  <si>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</si>
  <si>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</si>
  <si>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</si>
  <si>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</si>
  <si>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</si>
  <si>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</si>
  <si>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</si>
  <si>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</si>
  <si>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</si>
  <si>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</si>
  <si>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</si>
  <si>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</si>
  <si>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</si>
  <si>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</si>
  <si>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</si>
  <si>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</si>
  <si>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</si>
  <si>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</si>
  <si>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</si>
  <si>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</si>
  <si>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</si>
  <si>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</si>
  <si>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</si>
  <si>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</si>
  <si>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</si>
  <si>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</si>
  <si>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</si>
  <si>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</si>
  <si>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</si>
  <si>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</si>
  <si>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</si>
  <si>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</si>
  <si>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</si>
  <si>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</si>
  <si>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</si>
  <si>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</si>
  <si>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</si>
  <si>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</si>
  <si>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</si>
  <si>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</si>
  <si>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</si>
  <si>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</si>
  <si>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</si>
  <si>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</si>
  <si>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</si>
  <si>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</si>
  <si>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</si>
  <si>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</si>
  <si>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</si>
  <si>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</si>
  <si>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</si>
  <si>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</si>
  <si>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</si>
  <si>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</si>
  <si>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</si>
  <si>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</si>
  <si>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</si>
  <si>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</si>
  <si>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</si>
  <si>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</si>
  <si>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</si>
  <si>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</si>
  <si>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</si>
  <si>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</si>
  <si>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</si>
  <si>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</si>
  <si>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</si>
  <si>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</si>
  <si>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</si>
  <si>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</si>
  <si>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</si>
  <si>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</si>
  <si>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</si>
  <si>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</si>
  <si>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</si>
  <si>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</si>
  <si>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</si>
  <si>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</si>
  <si>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</si>
  <si>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</si>
  <si>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</si>
  <si>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</si>
  <si>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</si>
  <si>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</si>
  <si>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</si>
  <si>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</si>
  <si>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</si>
  <si>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</si>
  <si>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</si>
  <si>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</si>
  <si>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</si>
  <si>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</si>
  <si>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</si>
  <si>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</si>
  <si>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</si>
  <si>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</si>
  <si>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</si>
  <si>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</si>
  <si>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</si>
  <si>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</si>
  <si>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</si>
  <si>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</si>
  <si>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</si>
  <si>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</si>
  <si>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</si>
  <si>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</si>
  <si>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</si>
  <si>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</si>
  <si>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</si>
  <si>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</si>
  <si>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</si>
  <si>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</si>
  <si>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</si>
  <si>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</si>
  <si>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</si>
  <si>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</si>
  <si>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</si>
  <si>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</si>
  <si>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</si>
  <si>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</si>
  <si>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</si>
  <si>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</si>
  <si>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</si>
  <si>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</si>
  <si>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</si>
  <si>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</si>
  <si>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</si>
  <si>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</si>
  <si>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</si>
  <si>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</si>
  <si>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</si>
  <si>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</si>
  <si>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</si>
  <si>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</si>
  <si>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</si>
  <si>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</si>
  <si>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</si>
  <si>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</si>
  <si>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Alubenissa</t>
  </si>
  <si>
    <t>1800x2700 mm</t>
  </si>
  <si>
    <t>Magnético</t>
  </si>
  <si>
    <t>35056 - 30x180 mm</t>
  </si>
  <si>
    <t>Sí</t>
  </si>
  <si>
    <t>Roget - Decor practicable AP-01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</si>
</sst>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600075</xdr:colOff>
      <xdr:row>14</xdr:row>
      <xdr:rowOff>28575</xdr:rowOff>
    </xdr:from>
    <xdr:to>
      <xdr:col>5</xdr:col>
      <xdr:colOff>17017</xdr:colOff>
      <xdr:row>25</xdr:row>
      <xdr:rowOff>93075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888A3-8E7C-3B9E-763F-2C9FAF98C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2847975"/>
          <a:ext cx="168389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20250046</v>
      </c>
      <c r="G7" s="8">
        <f ca="1">TODAY()</f>
        <v>45715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711</v>
      </c>
      <c r="C13" s="83" t="str">
        <f>IFERROR(VLOOKUP($B13,Tarifa_all_20240711!$A$2:$G$660,2,FALSE()),"-")</f>
        <v>MARCO MAGNET PUERTA DOBLE LAC.NEGRO TEXTURADO</v>
      </c>
      <c r="D13" s="83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1433</v>
      </c>
      <c r="B14" s="16" t="s">
        <v>111</v>
      </c>
      <c r="C14" s="83" t="str">
        <f>IFERROR(VLOOKUP($B14,Tarifa_all_20240711!$A$2:$G$660,2,FALSE()),"-")</f>
        <v>KIT PA PIVOTANTE MAGNET LAC.NEGRO TEXTURADO</v>
      </c>
      <c r="D14" s="83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1434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/>
      <c r="C16" s="83" t="str">
        <f>IFERROR(VLOOKUP($B16,Tarifa_all_20240711!$A$2:$G$660,2,FALSE()),"-")</f>
        <v>-</v>
      </c>
      <c r="D16" s="83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77" t="s">
        <v>501</v>
      </c>
      <c r="C17" s="84" t="str">
        <f>IFERROR(VLOOKUP($B17,Tarifa_all_20240711!$A$2:$G$660,2,FALSE()),"-")</f>
        <v>TIRADOR L 30X180 LAC.NEGRO TEXTURADO: 2 UDS</v>
      </c>
      <c r="D17" s="84"/>
      <c r="E17" s="78">
        <v>2</v>
      </c>
      <c r="F17" s="79">
        <f>IFERROR(VLOOKUP($B17,Tarifa_all_20240711!$A$2:$G$660,5,FALSE()),"-")</f>
        <v>52.005000000000003</v>
      </c>
      <c r="G17" s="79">
        <f t="shared" si="0"/>
        <v>104.01</v>
      </c>
      <c r="H17" s="1"/>
    </row>
    <row r="18" spans="1:8" x14ac:dyDescent="0.25">
      <c r="A18" t="s">
        <v>14</v>
      </c>
      <c r="B18" s="16" t="s">
        <v>127</v>
      </c>
      <c r="C18" s="83" t="str">
        <f>IFERROR(VLOOKUP($B18,Tarifa_all_20240711!$A$2:$G$660,2,FALSE()),"-")</f>
        <v>PERFIL EMBELL.HORIZ. ADH LAC.NEGRO TEXTURADO</v>
      </c>
      <c r="D18" s="83"/>
      <c r="E18" s="17">
        <v>10</v>
      </c>
      <c r="F18" s="18">
        <f>IFERROR(VLOOKUP($B18,Tarifa_all_20240711!$A$2:$G$660,5,FALSE()),"-")</f>
        <v>21.794999999999998</v>
      </c>
      <c r="G18" s="18">
        <f t="shared" si="0"/>
        <v>217.95</v>
      </c>
      <c r="H18" s="1"/>
    </row>
    <row r="19" spans="1:8" x14ac:dyDescent="0.25">
      <c r="B19" s="16" t="s">
        <v>445</v>
      </c>
      <c r="C19" s="83" t="str">
        <f>IFERROR(VLOOKUP($B19,Tarifa_all_20240711!$A$2:$G$660,2,FALSE()),"-")</f>
        <v>MARCO FIJOS 35MM D-DECOR FIJO NEGRO TEXT 6,5 MTS</v>
      </c>
      <c r="D19" s="83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8" x14ac:dyDescent="0.25">
      <c r="B20" s="16" t="s">
        <v>425</v>
      </c>
      <c r="C20" s="83" t="str">
        <f>IFERROR(VLOOKUP($B20,Tarifa_all_20240711!$A$2:$G$660,2,FALSE()),"-")</f>
        <v>ANCLAJE TAPA 35MM D-DECOR FIJO NEGRO TEXT 6,5 MTS</v>
      </c>
      <c r="D20" s="83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8" x14ac:dyDescent="0.25">
      <c r="B21" s="16" t="s">
        <v>465</v>
      </c>
      <c r="C21" s="83" t="str">
        <f>IFERROR(VLOOKUP($B21,Tarifa_all_20240711!$A$2:$G$660,2,FALSE()),"-")</f>
        <v>TAPA MARCO 35MM D-DECOR FIJO NEGRO TEXT 6,5 MTS</v>
      </c>
      <c r="D21" s="83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8" x14ac:dyDescent="0.25">
      <c r="B22" s="16" t="s">
        <v>282</v>
      </c>
      <c r="C22" s="83" t="str">
        <f>IFERROR(VLOOKUP($B22,Tarifa_all_20240711!$A$2:$G$660,2,FALSE()),"-")</f>
        <v>Tope Domo Decor</v>
      </c>
      <c r="D22" s="83"/>
      <c r="E22" s="17">
        <v>8</v>
      </c>
      <c r="F22" s="18">
        <f>IFERROR(VLOOKUP($B22,Tarifa_all_20240711!$A$2:$G$660,5,FALSE()),"-")</f>
        <v>1.4175</v>
      </c>
      <c r="G22" s="18">
        <f t="shared" si="0"/>
        <v>11.34</v>
      </c>
      <c r="H22" s="1"/>
    </row>
    <row r="23" spans="1:8" x14ac:dyDescent="0.25">
      <c r="B23" s="16" t="s">
        <v>284</v>
      </c>
      <c r="C23" s="83" t="str">
        <f>IFERROR(VLOOKUP($B23,Tarifa_all_20240711!$A$2:$G$660,2,FALSE()),"-")</f>
        <v>PERFIL 3 MTS REDUCTOR PARA VIDRIO 6mm</v>
      </c>
      <c r="D23" s="83"/>
      <c r="E23" s="17">
        <v>2</v>
      </c>
      <c r="F23" s="18">
        <f>IFERROR(VLOOKUP($B23,Tarifa_all_20240711!$A$2:$G$660,5,FALSE()),"-")</f>
        <v>3.4275000000000002</v>
      </c>
      <c r="G23" s="18">
        <f t="shared" si="0"/>
        <v>6.8550000000000004</v>
      </c>
      <c r="H23" s="1"/>
    </row>
    <row r="24" spans="1:8" x14ac:dyDescent="0.25">
      <c r="B24" s="16">
        <v>31229</v>
      </c>
      <c r="C24" s="83" t="str">
        <f>IFERROR(VLOOKUP($B24,Tarifa_all_20240711!$A$2:$G$660,2,FALSE()),"-")</f>
        <v>COMPLEMENTO FIJACION DOMO DECOR: BARRAS 3 MTS</v>
      </c>
      <c r="D24" s="83"/>
      <c r="E24" s="17">
        <v>2</v>
      </c>
      <c r="F24" s="18">
        <f>IFERROR(VLOOKUP($B24,Tarifa_all_20240711!$A$2:$G$660,5,FALSE()),"-")</f>
        <v>11.317499999999999</v>
      </c>
      <c r="G24" s="18">
        <f t="shared" si="0"/>
        <v>22.634999999999998</v>
      </c>
      <c r="H24" s="1"/>
    </row>
    <row r="25" spans="1:8" x14ac:dyDescent="0.25">
      <c r="B25" s="16"/>
      <c r="C25" s="83" t="str">
        <f>IFERROR(VLOOKUP($B25,Tarifa_all_20240711!$A$2:$G$660,2,FALSE()),"-")</f>
        <v>-</v>
      </c>
      <c r="D25" s="83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3" t="str">
        <f>IFERROR(VLOOKUP($B26,Tarifa_all_20240711!$A$2:$G$660,2,FALSE()),"-")</f>
        <v>-</v>
      </c>
      <c r="D26" s="83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3" t="str">
        <f>IFERROR(VLOOKUP($B27,Tarifa_all_20240711!$A$2:$G$660,2,FALSE()),"-")</f>
        <v>-</v>
      </c>
      <c r="D27" s="83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3" t="str">
        <f>IFERROR(VLOOKUP($B28,Tarifa_all_20240711!$A$2:$G$660,2,FALSE()),"-")</f>
        <v>-</v>
      </c>
      <c r="D28" s="83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1187.865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5"/>
      <c r="E52" s="85"/>
      <c r="F52" s="85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zoomScale="60" zoomScaleNormal="100" workbookViewId="0">
      <selection activeCell="D19" sqref="D1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70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71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1" t="str">
        <f>'DESPIECE (MATANALYSIS)'!C8</f>
        <v>Alubenissa</v>
      </c>
      <c r="C9" s="91"/>
      <c r="D9" s="91"/>
      <c r="F9" s="3" t="s">
        <v>73</v>
      </c>
      <c r="G9" s="44">
        <f ca="1">TODAY()</f>
        <v>45715</v>
      </c>
    </row>
    <row r="10" spans="1:7" x14ac:dyDescent="0.25">
      <c r="A10" s="3" t="s">
        <v>74</v>
      </c>
      <c r="B10" s="11" t="str">
        <f>'DESPIECE (MATANALYSIS)'!C9</f>
        <v>Roget - Decor practicable AP-01</v>
      </c>
      <c r="C10" s="45"/>
      <c r="D10" s="45"/>
      <c r="E10" s="46"/>
      <c r="F10" s="47" t="s">
        <v>75</v>
      </c>
      <c r="G10" s="7">
        <f>'DESPIECE (MATANALYSIS)'!C7</f>
        <v>20250046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1442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1443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1443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/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1444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1445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6"/>
      <c r="B45" s="86"/>
      <c r="C45" s="72"/>
      <c r="D45" s="72"/>
      <c r="E45" s="72"/>
      <c r="F45" s="73"/>
      <c r="G45" s="74"/>
    </row>
    <row r="46" spans="1:7" ht="22.7" customHeight="1" x14ac:dyDescent="0.25">
      <c r="A46" s="87" t="s">
        <v>83</v>
      </c>
      <c r="B46" s="87"/>
      <c r="C46" s="59"/>
      <c r="D46" s="59"/>
      <c r="E46" s="59"/>
      <c r="F46" s="88">
        <f>'DESPIECE (MATANALYSIS)'!G31</f>
        <v>1187.865</v>
      </c>
      <c r="G46" s="88"/>
    </row>
    <row r="47" spans="1:7" s="1" customFormat="1" ht="22.7" customHeight="1" x14ac:dyDescent="0.25">
      <c r="A47" s="89" t="s">
        <v>84</v>
      </c>
      <c r="B47" s="89"/>
      <c r="C47" s="89"/>
      <c r="D47" s="89"/>
      <c r="E47" s="89"/>
      <c r="F47" s="89"/>
      <c r="G47" s="89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2025-02-27T08:10:39Z</dcterms:modified>
  <dc:language>es-ES</dc:language>
</cp:coreProperties>
</file>