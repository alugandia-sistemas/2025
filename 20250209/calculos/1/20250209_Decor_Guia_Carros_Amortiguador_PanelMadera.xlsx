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9\calculos\1\"/>
    </mc:Choice>
  </mc:AlternateContent>
  <xr:revisionPtr revIDLastSave="0" documentId="13_ncr:1_{6B2ABD11-1069-4249-843A-2604597CB14E}" xr6:coauthVersionLast="47" xr6:coauthVersionMax="47" xr10:uidLastSave="{00000000-0000-0000-0000-000000000000}"/>
  <bookViews>
    <workbookView xWindow="6300" yWindow="810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<sst xmlns="http://schemas.openxmlformats.org/spreadsheetml/2006/main" count="5398" uniqueCount="1454">
  <si>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</si>
  <si>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</si>
  <si>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</si>
  <si>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</si>
  <si>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</si>
  <si>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</si>
  <si>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</si>
  <si>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</si>
  <si>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</si>
  <si>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</si>
  <si>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</si>
  <si>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</si>
  <si>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</si>
  <si>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</si>
  <si>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</si>
  <si>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</si>
  <si>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</si>
  <si>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</si>
  <si>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</si>
  <si>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</si>
  <si>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</si>
  <si>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</si>
  <si>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</si>
  <si>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</si>
  <si>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</si>
  <si>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</si>
  <si>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</si>
  <si>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</si>
  <si>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</si>
  <si>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</si>
  <si>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</si>
  <si>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</si>
  <si>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</si>
  <si>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</si>
  <si>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</si>
  <si>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</si>
  <si>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</si>
  <si>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</si>
  <si>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</si>
  <si>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</si>
  <si>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</si>
  <si>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</si>
  <si>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</si>
  <si>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</si>
  <si>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</si>
  <si>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</si>
  <si>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</si>
  <si>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</si>
  <si>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</si>
  <si>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</si>
  <si>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</si>
  <si>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</si>
  <si>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</si>
  <si>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</si>
  <si>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</si>
  <si>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</si>
  <si>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</si>
  <si>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</si>
  <si>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</si>
  <si>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</si>
  <si>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</si>
  <si>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</si>
  <si>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</si>
  <si>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</si>
  <si>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</si>
  <si>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</si>
  <si>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</si>
  <si>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</si>
  <si>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</si>
  <si>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</si>
  <si>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</si>
  <si>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</si>
  <si>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</si>
  <si>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</si>
  <si>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</si>
  <si>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</si>
  <si>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</si>
  <si>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</si>
  <si>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</si>
  <si>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</si>
  <si>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</si>
  <si>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</si>
  <si>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</si>
  <si>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</si>
  <si>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</si>
  <si>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</si>
  <si>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</si>
  <si>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</si>
  <si>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</si>
  <si>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</si>
  <si>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</si>
  <si>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</si>
  <si>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</si>
  <si>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</si>
  <si>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</si>
  <si>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</si>
  <si>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</si>
  <si>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</si>
  <si>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</si>
  <si>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</si>
  <si>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</si>
  <si>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</si>
  <si>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</si>
  <si>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</si>
  <si>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</si>
  <si>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</si>
  <si>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</si>
  <si>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</si>
  <si>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</si>
  <si>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</si>
  <si>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</si>
  <si>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</si>
  <si>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</si>
  <si>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</si>
  <si>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</si>
  <si>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</si>
  <si>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</si>
  <si>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</si>
  <si>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</si>
  <si>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</si>
  <si>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</si>
  <si>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</si>
  <si>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</si>
  <si>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</si>
  <si>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</si>
  <si>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</si>
  <si>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</si>
  <si>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</si>
  <si>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</si>
  <si>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</si>
  <si>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</si>
  <si>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</si>
  <si>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</si>
  <si>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</si>
  <si>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</si>
  <si>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</si>
  <si>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</si>
  <si>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</si>
  <si>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</si>
  <si>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</si>
  <si>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</si>
  <si>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</si>
  <si>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</si>
  <si>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</si>
  <si>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</si>
  <si>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</si>
  <si>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</si>
  <si>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</si>
  <si>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</si>
  <si>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</si>
  <si>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</si>
  <si>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</si>
  <si>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</si>
  <si>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</si>
  <si>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</si>
  <si>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</si>
  <si>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</si>
  <si>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</si>
  <si>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</si>
  <si>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</si>
  <si>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</si>
  <si>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</si>
  <si>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</si>
  <si>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</si>
  <si>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</si>
  <si>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</si>
  <si>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</si>
  <si>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</si>
  <si>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</si>
  <si>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</si>
  <si>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</si>
  <si>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</si>
  <si>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</si>
  <si>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</si>
  <si>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</si>
  <si>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</si>
  <si>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</si>
  <si>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</si>
  <si>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</si>
  <si>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</si>
  <si>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</si>
  <si>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</si>
  <si>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</si>
  <si>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</si>
  <si>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</si>
  <si>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</si>
  <si>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</si>
  <si>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</si>
  <si>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</si>
  <si>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</si>
  <si>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</si>
  <si>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</si>
  <si>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</si>
  <si>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</si>
  <si>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</si>
  <si>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</si>
  <si>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</si>
  <si>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</si>
  <si>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</si>
  <si>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</si>
  <si>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</si>
  <si>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</si>
  <si>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</si>
  <si>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</si>
  <si>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</si>
  <si>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</si>
  <si>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</si>
  <si>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</si>
  <si>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</si>
  <si>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</si>
  <si>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</si>
  <si>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</si>
  <si>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</si>
  <si>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</si>
  <si>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</si>
  <si>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</si>
  <si>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</si>
  <si>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</si>
  <si>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</si>
  <si>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</si>
  <si>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</si>
  <si>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</si>
  <si>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</si>
  <si>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</si>
  <si>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</si>
  <si>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</si>
  <si>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</si>
  <si>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</si>
  <si>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</si>
  <si>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</si>
  <si>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</si>
  <si>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</si>
  <si>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</si>
  <si>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</si>
  <si>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</si>
  <si>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</si>
  <si>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</si>
  <si>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</si>
  <si>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</si>
  <si>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</si>
  <si>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</si>
  <si>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</si>
  <si>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</si>
  <si>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</si>
  <si>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</si>
  <si>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</si>
  <si>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</si>
  <si>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</si>
  <si>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</si>
  <si>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</si>
  <si>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</si>
  <si>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</si>
  <si>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</si>
  <si>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</si>
  <si>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</si>
  <si>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</si>
  <si>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</si>
  <si>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</si>
  <si>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</si>
  <si>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</si>
  <si>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</si>
  <si>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</si>
  <si>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</si>
  <si>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</si>
  <si>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</si>
  <si>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</si>
  <si>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</si>
  <si>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</si>
  <si>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</si>
  <si>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</si>
  <si>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</si>
  <si>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</si>
  <si>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</si>
  <si>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</si>
  <si>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</si>
  <si>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</si>
  <si>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</si>
  <si>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</si>
  <si>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</si>
  <si>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</si>
  <si>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</si>
  <si>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</si>
  <si>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</si>
  <si>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</si>
  <si>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</si>
  <si>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</si>
  <si>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</si>
  <si>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</si>
  <si>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</si>
  <si>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</si>
  <si>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</si>
  <si>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</si>
  <si>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</si>
  <si>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</si>
  <si>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</si>
  <si>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</si>
  <si>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</si>
  <si>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</si>
  <si>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</si>
  <si>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</si>
  <si>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</si>
  <si>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</si>
  <si>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</si>
  <si>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</si>
  <si>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</si>
  <si>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</si>
  <si>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</si>
  <si>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</si>
  <si>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</si>
  <si>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</si>
  <si>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</si>
  <si>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</si>
  <si>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</si>
  <si>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</si>
  <si>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</si>
  <si>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</si>
  <si>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</si>
  <si>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</si>
  <si>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</si>
  <si>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</si>
  <si>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</si>
  <si>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</si>
  <si>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</si>
  <si>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</si>
  <si>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</si>
  <si>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</si>
  <si>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</si>
  <si>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</si>
  <si>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</si>
  <si>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</si>
  <si>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</si>
  <si>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</si>
  <si>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</si>
  <si>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</si>
  <si>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</si>
  <si>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</si>
  <si>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</si>
  <si>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</si>
  <si>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</si>
  <si>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</si>
  <si>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</si>
  <si>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</si>
  <si>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</si>
  <si>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</si>
  <si>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</si>
  <si>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</si>
  <si>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</si>
  <si>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</si>
  <si>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</si>
  <si>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</si>
  <si>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</si>
  <si>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</si>
  <si>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</si>
  <si>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</si>
  <si>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</si>
  <si>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</si>
  <si>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</si>
  <si>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</si>
  <si>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</si>
  <si>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</si>
  <si>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</si>
  <si>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</si>
  <si>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</si>
  <si>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</si>
  <si>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</si>
  <si>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</si>
  <si>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</si>
  <si>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</si>
  <si>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</si>
  <si>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</si>
  <si>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</si>
  <si>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</si>
  <si>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</si>
  <si>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</si>
  <si>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</si>
  <si>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</si>
  <si>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</si>
  <si>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</si>
  <si>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</si>
  <si>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</si>
  <si>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</si>
  <si>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</si>
  <si>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</si>
  <si>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</si>
  <si>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</si>
  <si>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</si>
  <si>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</si>
  <si>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</si>
  <si>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</si>
  <si>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</si>
  <si>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</si>
  <si>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</si>
  <si>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</si>
  <si>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</si>
  <si>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</si>
  <si>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</si>
  <si>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</si>
  <si>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</si>
  <si>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</si>
  <si>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</si>
  <si>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</si>
  <si>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</si>
  <si>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</si>
  <si>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</si>
  <si>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</si>
  <si>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</si>
  <si>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</si>
  <si>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</si>
  <si>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</si>
  <si>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</si>
  <si>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</si>
  <si>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</si>
  <si>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</si>
  <si>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</si>
  <si>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</si>
  <si>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</si>
  <si>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</si>
  <si>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</si>
  <si>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</si>
  <si>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</si>
  <si>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</si>
  <si>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</si>
  <si>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</si>
  <si>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</si>
  <si>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</si>
  <si>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</si>
  <si>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</si>
  <si>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</si>
  <si>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</si>
  <si>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</si>
  <si>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</si>
  <si>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</si>
  <si>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</si>
  <si>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</si>
  <si>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</si>
  <si>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</si>
  <si>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</si>
  <si>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</si>
  <si>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</si>
  <si>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</si>
  <si>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</si>
  <si>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</si>
  <si>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</si>
  <si>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</si>
  <si>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</si>
  <si>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</si>
  <si>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</si>
  <si>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</si>
  <si>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</si>
  <si>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</si>
  <si>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</si>
  <si>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</si>
  <si>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</si>
  <si>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</si>
  <si>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</si>
  <si>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</si>
  <si>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</si>
  <si>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</si>
  <si>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</si>
  <si>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</si>
  <si>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</si>
  <si>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</si>
  <si>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</si>
  <si>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</si>
  <si>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</si>
  <si>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</si>
  <si>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</si>
  <si>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</si>
  <si>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</si>
  <si>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</si>
  <si>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</si>
  <si>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</si>
  <si>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</si>
  <si>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</si>
  <si>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</si>
  <si>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</si>
  <si>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</si>
  <si>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</si>
  <si>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</si>
  <si>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</si>
  <si>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</si>
  <si>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</si>
  <si>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</si>
  <si>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</si>
  <si>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</si>
  <si>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</si>
  <si>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</si>
  <si>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</si>
  <si>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</si>
  <si>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</si>
  <si>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</si>
  <si>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</si>
  <si>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</si>
  <si>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</si>
  <si>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</si>
  <si>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</si>
  <si>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</si>
  <si>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</si>
  <si>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</si>
  <si>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</si>
  <si>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</si>
  <si>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</si>
  <si>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</si>
  <si>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</si>
  <si>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</si>
  <si>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</si>
  <si>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</si>
  <si>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</si>
  <si>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</si>
  <si>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</si>
  <si>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</si>
  <si>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</si>
  <si>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</si>
  <si>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</si>
  <si>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</si>
  <si>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</si>
  <si>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</si>
  <si>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</si>
  <si>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</si>
  <si>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</si>
  <si>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</si>
  <si>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</si>
  <si>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</si>
  <si>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</si>
  <si>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</si>
  <si>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</si>
  <si>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</si>
  <si>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</si>
  <si>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</si>
  <si>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</si>
  <si>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</si>
  <si>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</si>
  <si>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</si>
  <si>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</si>
  <si>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</si>
  <si>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</si>
  <si>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</si>
  <si>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</si>
  <si>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</si>
  <si>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</si>
  <si>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</si>
  <si>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</si>
  <si>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</si>
  <si>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</si>
  <si>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</si>
  <si>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</si>
  <si>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</si>
  <si>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</si>
  <si>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</si>
  <si>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</si>
  <si>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</si>
  <si>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</si>
  <si>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</si>
  <si>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</si>
  <si>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</si>
  <si>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</si>
  <si>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</si>
  <si>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</si>
  <si>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</si>
  <si>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</si>
  <si>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</si>
  <si>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</si>
  <si>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</si>
  <si>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</si>
  <si>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</si>
  <si>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</si>
  <si>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</si>
  <si>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</si>
  <si>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</si>
  <si>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</si>
  <si>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</si>
  <si>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</si>
  <si>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</si>
  <si>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</si>
  <si>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</si>
  <si>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</si>
  <si>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</si>
  <si>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</si>
  <si>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</si>
  <si>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</si>
  <si>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</si>
  <si>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</si>
  <si>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</si>
  <si>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</si>
  <si>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</si>
  <si>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</si>
  <si>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</si>
  <si>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</si>
  <si>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</si>
  <si>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</si>
  <si>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</si>
  <si>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</si>
  <si>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</si>
  <si>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</si>
  <si>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</si>
  <si>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</si>
  <si>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</si>
  <si>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</si>
  <si>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</si>
  <si>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</si>
  <si>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</si>
  <si>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</si>
  <si>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</si>
  <si>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</si>
  <si>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</si>
  <si>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</si>
  <si>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</si>
  <si>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</si>
  <si>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</si>
  <si>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</si>
  <si>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</si>
  <si>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</si>
  <si>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</si>
  <si>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</si>
  <si>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</si>
  <si>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</si>
  <si>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</si>
  <si>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</si>
  <si>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</si>
  <si>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</si>
  <si>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</si>
  <si>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</si>
  <si>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</si>
  <si>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</si>
  <si>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</si>
  <si>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</si>
  <si>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</si>
  <si>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</si>
  <si>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</si>
  <si>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</si>
  <si>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</si>
  <si>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</si>
  <si>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</si>
  <si>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</si>
  <si>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</si>
  <si>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</si>
  <si>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</si>
  <si>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</si>
  <si>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</si>
  <si>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</si>
  <si>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</si>
  <si>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</si>
  <si>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</si>
  <si>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</si>
  <si>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</si>
  <si>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</si>
  <si>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</si>
  <si>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</si>
  <si>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</si>
  <si>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</si>
  <si>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</si>
  <si>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</si>
  <si>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</si>
  <si>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</si>
  <si>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</si>
  <si>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</si>
  <si>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</si>
  <si>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</si>
  <si>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</si>
  <si>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</si>
  <si>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</si>
  <si>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</si>
  <si>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</si>
  <si>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</si>
  <si>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</si>
  <si>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</si>
  <si>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</si>
  <si>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</si>
  <si>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</si>
  <si>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</si>
  <si>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</si>
  <si>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</si>
  <si>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</si>
  <si>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</si>
  <si>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</si>
  <si>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</si>
  <si>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</si>
  <si>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</si>
  <si>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</si>
  <si>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</si>
  <si>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</si>
  <si>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</si>
  <si>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</si>
  <si>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</si>
  <si>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</si>
  <si>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</si>
  <si>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</si>
  <si>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</si>
  <si>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</si>
  <si>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</si>
  <si>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</si>
  <si>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</si>
  <si>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</si>
  <si>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</si>
  <si>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</si>
  <si>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</si>
  <si>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</si>
  <si>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</si>
  <si>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</si>
  <si>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</si>
  <si>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</si>
  <si>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</si>
  <si>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</si>
  <si>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</si>
  <si>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</si>
  <si>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</si>
  <si>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</si>
  <si>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</si>
  <si>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</si>
  <si>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</si>
  <si>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</si>
  <si>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</si>
  <si>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</si>
  <si>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</si>
  <si>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</si>
  <si>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</si>
  <si>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</si>
  <si>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</si>
  <si>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</si>
  <si>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</si>
  <si>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</si>
  <si>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</si>
  <si>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</si>
  <si>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</si>
  <si>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</si>
  <si>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</si>
  <si>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</si>
  <si>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</si>
  <si>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</si>
  <si>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</si>
  <si>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</si>
  <si>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</si>
  <si>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</si>
  <si>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</si>
  <si>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</si>
  <si>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</si>
  <si>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</si>
  <si>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</si>
  <si>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</si>
  <si>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</si>
  <si>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</si>
  <si>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</si>
  <si>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</si>
  <si>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</si>
  <si>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</si>
  <si>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</si>
  <si>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</si>
  <si>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</si>
  <si>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</si>
  <si>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</si>
  <si>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</si>
  <si>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</si>
  <si>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</si>
  <si>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</si>
  <si>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</si>
  <si>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</si>
  <si>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</si>
  <si>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</si>
  <si>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</si>
  <si>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</si>
  <si>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</si>
  <si>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</si>
  <si>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</si>
  <si>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</si>
  <si>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</si>
  <si>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</si>
  <si>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</si>
  <si>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</si>
  <si>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</si>
  <si>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</si>
  <si>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</si>
  <si>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</si>
  <si>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</si>
  <si>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</si>
  <si>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</si>
  <si>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</si>
  <si>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</si>
  <si>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</si>
  <si>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</si>
  <si>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</si>
  <si>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</si>
  <si>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</si>
  <si>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</si>
  <si>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</si>
  <si>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</si>
  <si>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</si>
  <si>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</si>
  <si>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</si>
  <si>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</si>
  <si>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</si>
  <si>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</si>
  <si>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</si>
  <si>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</si>
  <si>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</si>
  <si>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</si>
  <si>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</si>
  <si>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</si>
  <si>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</si>
  <si>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</si>
  <si>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</si>
  <si>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</si>
  <si>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</si>
  <si>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</si>
  <si>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</si>
  <si>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</si>
  <si>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</si>
  <si>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</si>
  <si>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</si>
  <si>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</si>
  <si>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</si>
  <si>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</si>
  <si>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</si>
  <si>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</si>
  <si>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</si>
  <si>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</si>
  <si>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</si>
  <si>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</si>
  <si>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</si>
  <si>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</si>
  <si>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</si>
  <si>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</si>
  <si>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</si>
  <si>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</si>
  <si>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</si>
  <si>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</si>
  <si>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</si>
  <si>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</si>
  <si>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</si>
  <si>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</si>
  <si>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</si>
  <si>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</si>
  <si>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</si>
  <si>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</si>
  <si>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</si>
  <si>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</si>
  <si>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</si>
  <si>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</si>
  <si>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</si>
  <si>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</si>
  <si>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</si>
  <si>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</si>
  <si>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</si>
  <si>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</si>
  <si>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</si>
  <si>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</si>
  <si>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</si>
  <si>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</si>
  <si>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</si>
  <si>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</si>
  <si>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</si>
  <si>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</si>
  <si>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</si>
  <si>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</si>
  <si>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</si>
  <si>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</si>
  <si>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</si>
  <si>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</si>
  <si>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</si>
  <si>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</si>
  <si>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</si>
  <si>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</si>
  <si>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</si>
  <si>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</si>
  <si>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</si>
  <si>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</si>
  <si>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</si>
  <si>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</si>
  <si>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</si>
  <si>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</si>
  <si>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</si>
  <si>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</si>
  <si>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</si>
  <si>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</si>
  <si>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</si>
  <si>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</si>
  <si>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</si>
  <si>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</si>
  <si>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</si>
  <si>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</si>
  <si>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</si>
  <si>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</si>
  <si>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</si>
  <si>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</si>
  <si>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</si>
  <si>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</si>
  <si>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</si>
  <si>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</si>
  <si>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</si>
  <si>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</si>
  <si>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</si>
  <si>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</si>
  <si>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</si>
  <si>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</si>
  <si>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</si>
  <si>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</si>
  <si>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</si>
  <si>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</si>
  <si>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</si>
  <si>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</si>
  <si>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</si>
  <si>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</si>
  <si>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</si>
  <si>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</si>
  <si>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</si>
  <si>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</si>
  <si>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</si>
  <si>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</si>
  <si>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</si>
  <si>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</si>
  <si>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</si>
  <si>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</si>
  <si>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</si>
  <si>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</si>
  <si>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</si>
  <si>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</si>
  <si>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</si>
  <si>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</si>
  <si>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</si>
  <si>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</si>
  <si>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</si>
  <si>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</si>
  <si>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</si>
  <si>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</si>
  <si>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</si>
  <si>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</si>
  <si>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</si>
  <si>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</si>
  <si>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</si>
  <si>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</si>
  <si>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</si>
  <si>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</si>
  <si>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</si>
  <si>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</si>
  <si>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</si>
  <si>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</si>
  <si>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</si>
  <si>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</si>
  <si>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</si>
  <si>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</si>
  <si>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</si>
  <si>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</si>
  <si>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</si>
  <si>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</si>
  <si>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</si>
  <si>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</si>
  <si>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</si>
  <si>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</si>
  <si>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</si>
  <si>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</si>
  <si>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</si>
  <si>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</si>
  <si>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</si>
  <si>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</si>
  <si>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</si>
  <si>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</si>
  <si>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</si>
  <si>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</si>
  <si>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</si>
  <si>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</si>
  <si>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</si>
  <si>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</si>
  <si>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</si>
  <si>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</si>
  <si>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</si>
  <si>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</si>
  <si>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</si>
  <si>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</si>
  <si>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</si>
  <si>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</si>
  <si>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</si>
  <si>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</si>
  <si>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</si>
  <si>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</si>
  <si>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</si>
  <si>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</si>
  <si>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</si>
  <si>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</si>
  <si>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</si>
  <si>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</si>
  <si>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</si>
  <si>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</si>
  <si>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</si>
  <si>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</si>
  <si>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</si>
  <si>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</si>
  <si>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</si>
  <si>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</si>
  <si>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</si>
  <si>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</si>
  <si>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</si>
  <si>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</si>
  <si>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</si>
  <si>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</si>
  <si>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</si>
  <si>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</si>
  <si>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</si>
  <si>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</si>
  <si>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</si>
  <si>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</si>
  <si>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</si>
  <si>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</si>
  <si>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</si>
  <si>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</si>
  <si>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</si>
  <si>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</si>
  <si>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</si>
  <si>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</si>
  <si>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</si>
  <si>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</si>
  <si>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</si>
  <si>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</si>
  <si>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</si>
  <si>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</si>
  <si>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</si>
  <si>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</si>
  <si>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</si>
  <si>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</si>
  <si>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</si>
  <si>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</si>
  <si>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</si>
  <si>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</si>
  <si>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</si>
  <si>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</si>
  <si>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</si>
  <si>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</si>
  <si>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</si>
  <si>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</si>
  <si>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</si>
  <si>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</si>
  <si>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</si>
  <si>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</si>
  <si>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</si>
  <si>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</si>
  <si>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</si>
  <si>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</si>
  <si>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</si>
  <si>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</si>
  <si>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</si>
  <si>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</si>
  <si>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</si>
  <si>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</si>
  <si>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</si>
  <si>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</si>
  <si>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</si>
  <si>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</si>
  <si>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</si>
  <si>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</si>
  <si>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</si>
  <si>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</si>
  <si>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</si>
  <si>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</si>
  <si>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</si>
  <si>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</si>
  <si>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</si>
  <si>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</si>
  <si>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</si>
  <si>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</si>
  <si>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</si>
  <si>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</si>
  <si>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</si>
  <si>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</si>
  <si>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</si>
  <si>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</si>
  <si>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</si>
  <si>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</si>
  <si>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</si>
  <si>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</si>
  <si>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</si>
  <si>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</si>
  <si>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</si>
  <si>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</si>
  <si>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</si>
  <si>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</si>
  <si>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</si>
  <si>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</si>
  <si>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</si>
  <si>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</si>
  <si>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</si>
  <si>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</si>
  <si>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</si>
  <si>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</si>
  <si>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</si>
  <si>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</si>
  <si>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</si>
  <si>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</si>
  <si>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</si>
  <si>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</si>
  <si>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</si>
  <si>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</si>
  <si>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</si>
  <si>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</si>
  <si>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</si>
  <si>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</si>
  <si>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</si>
  <si>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</si>
  <si>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</si>
  <si>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</si>
  <si>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</si>
  <si>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</si>
  <si>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</si>
  <si>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</si>
  <si>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</si>
  <si>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</si>
  <si>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</si>
  <si>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</si>
  <si>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</si>
  <si>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</si>
  <si>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</si>
  <si>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</si>
  <si>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</si>
  <si>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</si>
  <si>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</si>
  <si>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</si>
  <si>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</si>
  <si>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</si>
  <si>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</si>
  <si>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</si>
  <si>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</si>
  <si>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</si>
  <si>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</si>
  <si>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</si>
  <si>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</si>
  <si>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</si>
  <si>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</si>
  <si>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</si>
  <si>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</si>
  <si>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</si>
  <si>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</si>
  <si>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</si>
  <si>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</si>
  <si>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</si>
  <si>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</si>
  <si>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</si>
  <si>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</si>
  <si>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</si>
  <si>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</si>
  <si>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</si>
  <si>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</si>
  <si>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</si>
  <si>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</si>
  <si>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</si>
  <si>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</si>
  <si>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</si>
  <si>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</si>
  <si>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</si>
  <si>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</si>
  <si>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</si>
  <si>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</si>
  <si>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</si>
  <si>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</si>
  <si>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</si>
  <si>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</si>
  <si>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</si>
  <si>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</si>
  <si>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</si>
  <si>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</si>
  <si>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</si>
  <si>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</si>
  <si>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</si>
  <si>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</si>
  <si>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</si>
  <si>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</si>
  <si>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</si>
  <si>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</si>
  <si>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</si>
  <si>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</si>
  <si>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</si>
  <si>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</si>
  <si>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</si>
  <si>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</si>
  <si>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</si>
  <si>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</si>
  <si>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</si>
  <si>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</si>
  <si>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</si>
  <si>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</si>
  <si>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</si>
  <si>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</si>
  <si>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</si>
  <si>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</si>
  <si>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</si>
  <si>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</si>
  <si>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</si>
  <si>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</si>
  <si>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</si>
  <si>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</si>
  <si>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</si>
  <si>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</si>
  <si>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</si>
  <si>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</si>
  <si>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</si>
  <si>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</si>
  <si>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</si>
  <si>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</si>
  <si>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</si>
  <si>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</si>
  <si>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</si>
  <si>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</si>
  <si>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</si>
  <si>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</si>
  <si>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</si>
  <si>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</si>
  <si>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</si>
  <si>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</si>
  <si>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</si>
  <si>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</si>
  <si>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</si>
  <si>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</si>
  <si>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</si>
  <si>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</si>
  <si>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</si>
  <si>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</si>
  <si>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</si>
  <si>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</si>
  <si>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</si>
  <si>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</si>
  <si>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</si>
  <si>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</si>
  <si>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</si>
  <si>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</si>
  <si>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</si>
  <si>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</si>
  <si>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</si>
  <si>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</si>
  <si>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</si>
  <si>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</si>
  <si>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</si>
  <si>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</si>
  <si>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</si>
  <si>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</si>
  <si>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</si>
  <si>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</si>
  <si>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</si>
  <si>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</si>
  <si>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</si>
  <si>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</si>
  <si>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</si>
  <si>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</si>
  <si>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</si>
  <si>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</si>
  <si>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</si>
  <si>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</si>
  <si>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</si>
  <si>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</si>
  <si>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</si>
  <si>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</si>
  <si>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</si>
  <si>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</si>
  <si>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</si>
  <si>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</si>
  <si>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</si>
  <si>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</si>
  <si>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</si>
  <si>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</si>
  <si>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</si>
  <si>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</si>
  <si>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</si>
  <si>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</si>
  <si>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</si>
  <si>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</si>
  <si>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</si>
  <si>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</si>
  <si>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</si>
  <si>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</si>
  <si>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</si>
  <si>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</si>
  <si>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</si>
  <si>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</si>
  <si>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</si>
  <si>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</si>
  <si>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</si>
  <si>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</si>
  <si>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</si>
  <si>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</si>
  <si>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</si>
  <si>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</si>
  <si>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</si>
  <si>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</si>
  <si>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</si>
  <si>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</si>
  <si>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</si>
  <si>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</si>
  <si>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</si>
  <si>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</si>
  <si>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</si>
  <si>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</si>
  <si>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</si>
  <si>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</si>
  <si>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</si>
  <si>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</si>
  <si>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</si>
  <si>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</si>
  <si>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</si>
  <si>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</si>
  <si>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</si>
  <si>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</si>
  <si>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</si>
  <si>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</si>
  <si>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</si>
  <si>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</si>
  <si>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</si>
  <si>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</si>
  <si>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</si>
  <si>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</si>
  <si>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</si>
  <si>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</si>
  <si>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</si>
  <si>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</si>
  <si>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</si>
  <si>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</si>
  <si>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</si>
  <si>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</si>
  <si>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</si>
  <si>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</si>
  <si>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</si>
  <si>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</si>
  <si>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</si>
  <si>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</si>
  <si>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</si>
  <si>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</si>
  <si>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</si>
  <si>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</si>
  <si>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</si>
  <si>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</si>
  <si>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</si>
  <si>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</si>
  <si>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</si>
  <si>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</si>
  <si>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</si>
  <si>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</si>
  <si>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</si>
  <si>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</si>
  <si>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</si>
  <si>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</si>
  <si>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</si>
  <si>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</si>
  <si>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</si>
  <si>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</si>
  <si>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</si>
  <si>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</si>
  <si>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</si>
  <si>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</si>
  <si>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</si>
  <si>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</si>
  <si>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</si>
  <si>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</si>
  <si>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</si>
  <si>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</si>
  <si>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</si>
  <si>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</si>
  <si>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</si>
  <si>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</si>
  <si>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</si>
  <si>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</si>
  <si>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</si>
  <si>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</si>
  <si>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</si>
  <si>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</si>
  <si>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</si>
  <si>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</si>
  <si>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</si>
  <si>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</si>
  <si>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</si>
  <si>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</si>
  <si>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</si>
  <si>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</si>
  <si>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</si>
  <si>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</si>
  <si>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</si>
  <si>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</si>
  <si>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</si>
  <si>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</si>
  <si>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</si>
  <si>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</si>
  <si>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</si>
  <si>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</si>
  <si>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</si>
  <si>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</si>
  <si>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</si>
  <si>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</si>
  <si>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</si>
  <si>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</si>
  <si>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</si>
  <si>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</si>
  <si>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</si>
  <si>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</si>
  <si>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</si>
  <si>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</si>
  <si>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</si>
  <si>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</si>
  <si>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</si>
  <si>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</si>
  <si>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</si>
  <si>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</si>
  <si>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</si>
  <si>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</si>
  <si>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</si>
  <si>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</si>
  <si>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</si>
  <si>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</si>
  <si>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</si>
  <si>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</si>
  <si>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</si>
  <si>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</si>
  <si>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</si>
  <si>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</si>
  <si>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</si>
  <si>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</si>
  <si>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</si>
  <si>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</si>
  <si>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</si>
  <si>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</si>
  <si>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</si>
  <si>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</si>
  <si>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</si>
  <si>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</si>
  <si>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</si>
  <si>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</si>
  <si>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</si>
  <si>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</si>
  <si>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</si>
  <si>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</si>
  <si>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</si>
  <si>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</si>
  <si>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</si>
  <si>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</si>
  <si>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</si>
  <si>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</si>
  <si>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</si>
  <si>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</si>
  <si>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</si>
  <si>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</si>
  <si>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</si>
  <si>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</si>
  <si>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</si>
  <si>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</si>
  <si>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</si>
  <si>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</si>
  <si>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</si>
  <si>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</si>
  <si>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</si>
  <si>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</si>
  <si>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</si>
  <si>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</si>
  <si>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</si>
  <si>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</si>
  <si>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</si>
  <si>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</si>
  <si>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</si>
  <si>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</si>
  <si>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</si>
  <si>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Cerrajr. Muixara</t>
  </si>
  <si>
    <t>SK.C.60 Adinor</t>
  </si>
  <si>
    <t>Guía y herraje, Panel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</si>
</sst>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20250209</v>
      </c>
      <c r="G7" s="8">
        <f ca="1">TODAY()</f>
        <v>45957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1419</v>
      </c>
      <c r="C13" s="79" t="str">
        <f>IFERROR(VLOOKUP($B13,Tarifa_all_20240711!$A$2:$G$660,2,FALSE()),"-")</f>
        <v>GUIA SUP TECHO PLUS LAC.NEGRO TEXTURADO-2 MTS</v>
      </c>
      <c r="D13" s="79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 t="s">
        <v>1443</v>
      </c>
      <c r="C14" s="79" t="str">
        <f>IFERROR(VLOOKUP($B14,Tarifa_all_20240711!$A$2:$G$660,2,FALSE()),"-")</f>
        <v>TAPETA LAT. GUIA TECHO NEGRO</v>
      </c>
      <c r="D14" s="79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341</v>
      </c>
      <c r="C16" s="79" t="str">
        <f>IFERROR(VLOOKUP($B16,Tarifa_all_20240711!$A$2:$G$660,2,FALSE()),"-")</f>
        <v>KIT AMORTIGUADOR SKY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/>
      <c r="C17" s="79" t="str">
        <f>IFERROR(VLOOKUP($B17,Tarifa_all_20240711!$A$2:$G$660,2,FALSE()),"-")</f>
        <v>-</v>
      </c>
      <c r="D17" s="79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88" t="s">
        <v>335</v>
      </c>
      <c r="C18" s="89" t="str">
        <f>IFERROR(VLOOKUP($B18,Tarifa_all_20240711!$A$2:$G$660,2,FALSE()),"-")</f>
        <v>CARRO SKY MADERA 60KG</v>
      </c>
      <c r="D18" s="89"/>
      <c r="E18" s="90">
        <v>1</v>
      </c>
      <c r="F18" s="91">
        <v>22.64</v>
      </c>
      <c r="G18" s="91">
        <f t="shared" si="0"/>
        <v>22.64</v>
      </c>
      <c r="H18" s="87" t="s">
        <v>1452</v>
      </c>
    </row>
    <row r="19" spans="1:8" x14ac:dyDescent="0.25">
      <c r="A19" t="s">
        <v>20</v>
      </c>
      <c r="B19" s="16"/>
      <c r="C19" s="79" t="str">
        <f>IFERROR(VLOOKUP($B19,Tarifa_all_20240711!$A$2:$G$660,2,FALSE()),"-")</f>
        <v>-</v>
      </c>
      <c r="D19" s="79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79" t="str">
        <f>IFERROR(VLOOKUP($B20,Tarifa_all_20240711!$A$2:$G$660,2,FALSE()),"-")</f>
        <v>-</v>
      </c>
      <c r="D20" s="79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117.6725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3" footer="0.3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Cerrajr. Muixara</v>
      </c>
      <c r="C9" s="86"/>
      <c r="D9" s="86"/>
      <c r="F9" s="3" t="s">
        <v>81</v>
      </c>
      <c r="G9" s="44">
        <f ca="1">TODAY()</f>
        <v>45957</v>
      </c>
    </row>
    <row r="10" spans="1:7" x14ac:dyDescent="0.25">
      <c r="A10" s="3" t="s">
        <v>82</v>
      </c>
      <c r="B10" s="11" t="str">
        <f>'DESPIECE (MATANALYSIS)'!C9</f>
        <v>Guía y herraje, Panel madera</v>
      </c>
      <c r="C10" s="45"/>
      <c r="D10" s="45"/>
      <c r="E10" s="46"/>
      <c r="F10" s="47" t="s">
        <v>83</v>
      </c>
      <c r="G10" s="7">
        <f>'DESPIECE (MATANALYSIS)'!C7</f>
        <v>20250209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117.6725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2025-10-27T17:12:39Z</cp:lastPrinted>
  <dcterms:created xsi:type="dcterms:W3CDTF">2024-04-15T12:43:19Z</dcterms:created>
  <dcterms:modified xsi:type="dcterms:W3CDTF">2025-10-27T17:13:27Z</dcterms:modified>
  <dc:language>es-ES</dc:language>
</cp:coreProperties>
</file>