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61\calculos\1\"/>
    </mc:Choice>
  </mc:AlternateContent>
  <xr:revisionPtr revIDLastSave="0" documentId="13_ncr:1_{6EDDE699-09A4-47CF-82B7-61CFDC21CE7C}" xr6:coauthVersionLast="47" xr6:coauthVersionMax="47" xr10:uidLastSave="{00000000-0000-0000-0000-000000000000}"/>
  <bookViews>
    <workbookView xWindow="-24525" yWindow="375" windowWidth="22500" windowHeight="1458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<sst xmlns="http://schemas.openxmlformats.org/spreadsheetml/2006/main" count="5409" uniqueCount="1455">
  <si>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</si>
  <si>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</si>
  <si>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</si>
  <si>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</si>
  <si>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</si>
  <si>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</si>
  <si>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</si>
  <si>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</si>
  <si>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</si>
  <si>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</si>
  <si>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</si>
  <si>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</si>
  <si>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</si>
  <si>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</si>
  <si>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</si>
  <si>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</si>
  <si>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</si>
  <si>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</si>
  <si>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</si>
  <si>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</si>
  <si>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</si>
  <si>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</si>
  <si>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</si>
  <si>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</si>
  <si>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</si>
  <si>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</si>
  <si>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</si>
  <si>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</si>
  <si>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</si>
  <si>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</si>
  <si>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</si>
  <si>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</si>
  <si>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</si>
  <si>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</si>
  <si>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</si>
  <si>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</si>
  <si>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</si>
  <si>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</si>
  <si>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</si>
  <si>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</si>
  <si>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</si>
  <si>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</si>
  <si>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</si>
  <si>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</si>
  <si>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</si>
  <si>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</si>
  <si>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</si>
  <si>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</si>
  <si>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</si>
  <si>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</si>
  <si>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</si>
  <si>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</si>
  <si>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</si>
  <si>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</si>
  <si>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</si>
  <si>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</si>
  <si>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</si>
  <si>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</si>
  <si>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</si>
  <si>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</si>
  <si>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</si>
  <si>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</si>
  <si>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</si>
  <si>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</si>
  <si>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</si>
  <si>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</si>
  <si>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</si>
  <si>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</si>
  <si>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</si>
  <si>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</si>
  <si>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</si>
  <si>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</si>
  <si>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</si>
  <si>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</si>
  <si>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</si>
  <si>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</si>
  <si>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</si>
  <si>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</si>
  <si>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</si>
  <si>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</si>
  <si>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</si>
  <si>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</si>
  <si>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</si>
  <si>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</si>
  <si>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</si>
  <si>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</si>
  <si>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</si>
  <si>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</si>
  <si>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</si>
  <si>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</si>
  <si>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</si>
  <si>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</si>
  <si>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</si>
  <si>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</si>
  <si>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</si>
  <si>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</si>
  <si>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</si>
  <si>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</si>
  <si>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</si>
  <si>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</si>
  <si>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</si>
  <si>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</si>
  <si>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</si>
  <si>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</si>
  <si>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</si>
  <si>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</si>
  <si>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</si>
  <si>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</si>
  <si>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</si>
  <si>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</si>
  <si>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</si>
  <si>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</si>
  <si>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</si>
  <si>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</si>
  <si>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</si>
  <si>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</si>
  <si>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</si>
  <si>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</si>
  <si>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</si>
  <si>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</si>
  <si>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</si>
  <si>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</si>
  <si>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</si>
  <si>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</si>
  <si>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</si>
  <si>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</si>
  <si>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</si>
  <si>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</si>
  <si>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</si>
  <si>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</si>
  <si>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</si>
  <si>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</si>
  <si>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</si>
  <si>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</si>
  <si>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</si>
  <si>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</si>
  <si>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</si>
  <si>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</si>
  <si>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</si>
  <si>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</si>
  <si>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</si>
  <si>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</si>
  <si>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</si>
  <si>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</si>
  <si>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</si>
  <si>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</si>
  <si>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</si>
  <si>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</si>
  <si>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</si>
  <si>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</si>
  <si>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</si>
  <si>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</si>
  <si>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</si>
  <si>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</si>
  <si>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</si>
  <si>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</si>
  <si>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</si>
  <si>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</si>
  <si>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</si>
  <si>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</si>
  <si>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</si>
  <si>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</si>
  <si>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</si>
  <si>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</si>
  <si>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</si>
  <si>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</si>
  <si>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</si>
  <si>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</si>
  <si>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</si>
  <si>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</si>
  <si>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</si>
  <si>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</si>
  <si>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</si>
  <si>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</si>
  <si>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</si>
  <si>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</si>
  <si>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</si>
  <si>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</si>
  <si>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</si>
  <si>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</si>
  <si>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</si>
  <si>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</si>
  <si>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</si>
  <si>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</si>
  <si>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</si>
  <si>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</si>
  <si>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</si>
  <si>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</si>
  <si>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</si>
  <si>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</si>
  <si>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</si>
  <si>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</si>
  <si>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</si>
  <si>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</si>
  <si>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</si>
  <si>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</si>
  <si>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</si>
  <si>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</si>
  <si>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</si>
  <si>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</si>
  <si>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</si>
  <si>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</si>
  <si>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</si>
  <si>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</si>
  <si>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</si>
  <si>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</si>
  <si>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</si>
  <si>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</si>
  <si>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</si>
  <si>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</si>
  <si>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</si>
  <si>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</si>
  <si>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</si>
  <si>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</si>
  <si>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</si>
  <si>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</si>
  <si>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</si>
  <si>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</si>
  <si>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</si>
  <si>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</si>
  <si>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</si>
  <si>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</si>
  <si>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</si>
  <si>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</si>
  <si>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</si>
  <si>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</si>
  <si>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</si>
  <si>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</si>
  <si>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</si>
  <si>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</si>
  <si>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</si>
  <si>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</si>
  <si>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</si>
  <si>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</si>
  <si>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</si>
  <si>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</si>
  <si>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</si>
  <si>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</si>
  <si>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</si>
  <si>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</si>
  <si>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</si>
  <si>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</si>
  <si>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</si>
  <si>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</si>
  <si>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</si>
  <si>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</si>
  <si>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</si>
  <si>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</si>
  <si>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</si>
  <si>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</si>
  <si>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</si>
  <si>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</si>
  <si>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</si>
  <si>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</si>
  <si>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</si>
  <si>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</si>
  <si>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</si>
  <si>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</si>
  <si>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</si>
  <si>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</si>
  <si>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</si>
  <si>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</si>
  <si>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</si>
  <si>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</si>
  <si>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</si>
  <si>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</si>
  <si>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</si>
  <si>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</si>
  <si>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</si>
  <si>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</si>
  <si>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</si>
  <si>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</si>
  <si>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</si>
  <si>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</si>
  <si>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</si>
  <si>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</si>
  <si>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</si>
  <si>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</si>
  <si>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</si>
  <si>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</si>
  <si>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</si>
  <si>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</si>
  <si>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</si>
  <si>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</si>
  <si>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</si>
  <si>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</si>
  <si>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</si>
  <si>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</si>
  <si>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</si>
  <si>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</si>
  <si>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</si>
  <si>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</si>
  <si>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</si>
  <si>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</si>
  <si>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</si>
  <si>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</si>
  <si>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</si>
  <si>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</si>
  <si>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</si>
  <si>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</si>
  <si>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</si>
  <si>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</si>
  <si>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</si>
  <si>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</si>
  <si>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</si>
  <si>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</si>
  <si>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</si>
  <si>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</si>
  <si>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</si>
  <si>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</si>
  <si>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</si>
  <si>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</si>
  <si>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</si>
  <si>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</si>
  <si>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</si>
  <si>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</si>
  <si>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</si>
  <si>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</si>
  <si>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</si>
  <si>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</si>
  <si>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</si>
  <si>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</si>
  <si>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</si>
  <si>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</si>
  <si>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</si>
  <si>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</si>
  <si>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</si>
  <si>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</si>
  <si>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</si>
  <si>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</si>
  <si>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</si>
  <si>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</si>
  <si>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</si>
  <si>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</si>
  <si>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</si>
  <si>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</si>
  <si>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</si>
  <si>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</si>
  <si>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</si>
  <si>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</si>
  <si>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</si>
  <si>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</si>
  <si>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</si>
  <si>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</si>
  <si>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</si>
  <si>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</si>
  <si>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</si>
  <si>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</si>
  <si>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</si>
  <si>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</si>
  <si>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</si>
  <si>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</si>
  <si>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</si>
  <si>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</si>
  <si>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</si>
  <si>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</si>
  <si>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</si>
  <si>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</si>
  <si>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</si>
  <si>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</si>
  <si>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</si>
  <si>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</si>
  <si>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</si>
  <si>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</si>
  <si>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</si>
  <si>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</si>
  <si>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</si>
  <si>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</si>
  <si>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</si>
  <si>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</si>
  <si>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</si>
  <si>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</si>
  <si>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</si>
  <si>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</si>
  <si>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</si>
  <si>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</si>
  <si>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</si>
  <si>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</si>
  <si>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</si>
  <si>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</si>
  <si>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</si>
  <si>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</si>
  <si>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</si>
  <si>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</si>
  <si>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</si>
  <si>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</si>
  <si>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</si>
  <si>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</si>
  <si>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</si>
  <si>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</si>
  <si>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</si>
  <si>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</si>
  <si>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</si>
  <si>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</si>
  <si>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</si>
  <si>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</si>
  <si>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</si>
  <si>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</si>
  <si>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</si>
  <si>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</si>
  <si>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</si>
  <si>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</si>
  <si>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</si>
  <si>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</si>
  <si>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</si>
  <si>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</si>
  <si>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</si>
  <si>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</si>
  <si>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</si>
  <si>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</si>
  <si>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</si>
  <si>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</si>
  <si>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</si>
  <si>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</si>
  <si>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</si>
  <si>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</si>
  <si>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</si>
  <si>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</si>
  <si>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</si>
  <si>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</si>
  <si>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</si>
  <si>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</si>
  <si>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</si>
  <si>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</si>
  <si>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</si>
  <si>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</si>
  <si>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</si>
  <si>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</si>
  <si>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</si>
  <si>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</si>
  <si>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</si>
  <si>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</si>
  <si>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</si>
  <si>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</si>
  <si>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</si>
  <si>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</si>
  <si>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</si>
  <si>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</si>
  <si>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</si>
  <si>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</si>
  <si>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</si>
  <si>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</si>
  <si>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</si>
  <si>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</si>
  <si>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</si>
  <si>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</si>
  <si>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</si>
  <si>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</si>
  <si>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</si>
  <si>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</si>
  <si>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</si>
  <si>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</si>
  <si>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</si>
  <si>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</si>
  <si>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</si>
  <si>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</si>
  <si>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</si>
  <si>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</si>
  <si>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</si>
  <si>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</si>
  <si>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</si>
  <si>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</si>
  <si>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</si>
  <si>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</si>
  <si>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</si>
  <si>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</si>
  <si>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</si>
  <si>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</si>
  <si>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</si>
  <si>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</si>
  <si>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</si>
  <si>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</si>
  <si>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</si>
  <si>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</si>
  <si>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</si>
  <si>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</si>
  <si>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</si>
  <si>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</si>
  <si>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</si>
  <si>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</si>
  <si>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</si>
  <si>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</si>
  <si>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</si>
  <si>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</si>
  <si>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</si>
  <si>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</si>
  <si>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</si>
  <si>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</si>
  <si>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</si>
  <si>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</si>
  <si>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</si>
  <si>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</si>
  <si>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</si>
  <si>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</si>
  <si>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</si>
  <si>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</si>
  <si>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</si>
  <si>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</si>
  <si>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</si>
  <si>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</si>
  <si>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</si>
  <si>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</si>
  <si>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</si>
  <si>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</si>
  <si>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</si>
  <si>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</si>
  <si>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</si>
  <si>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</si>
  <si>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</si>
  <si>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</si>
  <si>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</si>
  <si>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</si>
  <si>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</si>
  <si>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</si>
  <si>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</si>
  <si>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</si>
  <si>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</si>
  <si>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</si>
  <si>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</si>
  <si>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</si>
  <si>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</si>
  <si>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</si>
  <si>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</si>
  <si>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</si>
  <si>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</si>
  <si>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</si>
  <si>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</si>
  <si>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</si>
  <si>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</si>
  <si>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</si>
  <si>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</si>
  <si>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</si>
  <si>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</si>
  <si>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</si>
  <si>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</si>
  <si>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</si>
  <si>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</si>
  <si>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</si>
  <si>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</si>
  <si>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</si>
  <si>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</si>
  <si>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</si>
  <si>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</si>
  <si>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</si>
  <si>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</si>
  <si>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</si>
  <si>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</si>
  <si>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</si>
  <si>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</si>
  <si>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</si>
  <si>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</si>
  <si>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</si>
  <si>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</si>
  <si>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</si>
  <si>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</si>
  <si>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</si>
  <si>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</si>
  <si>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</si>
  <si>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</si>
  <si>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</si>
  <si>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</si>
  <si>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</si>
  <si>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</si>
  <si>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</si>
  <si>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</si>
  <si>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</si>
  <si>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</si>
  <si>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</si>
  <si>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</si>
  <si>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</si>
  <si>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</si>
  <si>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</si>
  <si>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</si>
  <si>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</si>
  <si>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</si>
  <si>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</si>
  <si>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</si>
  <si>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</si>
  <si>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</si>
  <si>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</si>
  <si>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</si>
  <si>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</si>
  <si>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</si>
  <si>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</si>
  <si>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</si>
  <si>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</si>
  <si>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</si>
  <si>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</si>
  <si>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</si>
  <si>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</si>
  <si>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</si>
  <si>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</si>
  <si>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</si>
  <si>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</si>
  <si>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</si>
  <si>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</si>
  <si>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</si>
  <si>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</si>
  <si>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</si>
  <si>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</si>
  <si>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</si>
  <si>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</si>
  <si>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</si>
  <si>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</si>
  <si>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</si>
  <si>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</si>
  <si>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</si>
  <si>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</si>
  <si>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</si>
  <si>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</si>
  <si>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</si>
  <si>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</si>
  <si>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</si>
  <si>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</si>
  <si>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</si>
  <si>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</si>
  <si>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</si>
  <si>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</si>
  <si>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</si>
  <si>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</si>
  <si>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</si>
  <si>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</si>
  <si>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</si>
  <si>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</si>
  <si>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</si>
  <si>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</si>
  <si>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</si>
  <si>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</si>
  <si>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</si>
  <si>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</si>
  <si>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</si>
  <si>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</si>
  <si>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</si>
  <si>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</si>
  <si>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</si>
  <si>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</si>
  <si>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</si>
  <si>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</si>
  <si>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</si>
  <si>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</si>
  <si>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</si>
  <si>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</si>
  <si>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</si>
  <si>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</si>
  <si>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</si>
  <si>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</si>
  <si>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</si>
  <si>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</si>
  <si>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</si>
  <si>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</si>
  <si>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</si>
  <si>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</si>
  <si>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</si>
  <si>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</si>
  <si>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</si>
  <si>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</si>
  <si>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</si>
  <si>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</si>
  <si>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</si>
  <si>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</si>
  <si>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</si>
  <si>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</si>
  <si>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</si>
  <si>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</si>
  <si>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</si>
  <si>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</si>
  <si>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</si>
  <si>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</si>
  <si>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</si>
  <si>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</si>
  <si>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</si>
  <si>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</si>
  <si>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</si>
  <si>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</si>
  <si>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</si>
  <si>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</si>
  <si>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</si>
  <si>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</si>
  <si>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</si>
  <si>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</si>
  <si>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</si>
  <si>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</si>
  <si>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</si>
  <si>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</si>
  <si>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</si>
  <si>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</si>
  <si>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</si>
  <si>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</si>
  <si>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</si>
  <si>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</si>
  <si>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</si>
  <si>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</si>
  <si>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</si>
  <si>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</si>
  <si>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</si>
  <si>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</si>
  <si>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</si>
  <si>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</si>
  <si>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</si>
  <si>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</si>
  <si>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</si>
  <si>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</si>
  <si>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</si>
  <si>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</si>
  <si>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</si>
  <si>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</si>
  <si>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</si>
  <si>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</si>
  <si>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</si>
  <si>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</si>
  <si>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</si>
  <si>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</si>
  <si>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</si>
  <si>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</si>
  <si>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</si>
  <si>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</si>
  <si>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</si>
  <si>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</si>
  <si>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</si>
  <si>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</si>
  <si>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</si>
  <si>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</si>
  <si>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</si>
  <si>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</si>
  <si>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</si>
  <si>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</si>
  <si>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</si>
  <si>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</si>
  <si>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</si>
  <si>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</si>
  <si>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</si>
  <si>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</si>
  <si>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</si>
  <si>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</si>
  <si>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</si>
  <si>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</si>
  <si>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</si>
  <si>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</si>
  <si>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</si>
  <si>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</si>
  <si>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</si>
  <si>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</si>
  <si>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</si>
  <si>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</si>
  <si>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</si>
  <si>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</si>
  <si>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</si>
  <si>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</si>
  <si>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</si>
  <si>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</si>
  <si>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</si>
  <si>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</si>
  <si>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</si>
  <si>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</si>
  <si>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</si>
  <si>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</si>
  <si>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</si>
  <si>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</si>
  <si>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</si>
  <si>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</si>
  <si>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</si>
  <si>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</si>
  <si>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</si>
  <si>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</si>
  <si>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</si>
  <si>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</si>
  <si>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</si>
  <si>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</si>
  <si>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</si>
  <si>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</si>
  <si>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</si>
  <si>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</si>
  <si>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</si>
  <si>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</si>
  <si>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</si>
  <si>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</si>
  <si>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</si>
  <si>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</si>
  <si>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</si>
  <si>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</si>
  <si>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</si>
  <si>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</si>
  <si>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</si>
  <si>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</si>
  <si>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</si>
  <si>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</si>
  <si>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</si>
  <si>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</si>
  <si>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</si>
  <si>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</si>
  <si>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</si>
  <si>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</si>
  <si>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</si>
  <si>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</si>
  <si>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</si>
  <si>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</si>
  <si>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</si>
  <si>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</si>
  <si>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</si>
  <si>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</si>
  <si>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</si>
  <si>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</si>
  <si>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</si>
  <si>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</si>
  <si>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</si>
  <si>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</si>
  <si>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</si>
  <si>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</si>
  <si>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</si>
  <si>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</si>
  <si>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</si>
  <si>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</si>
  <si>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</si>
  <si>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</si>
  <si>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</si>
  <si>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</si>
  <si>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</si>
  <si>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</si>
  <si>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</si>
  <si>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</si>
  <si>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</si>
  <si>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</si>
  <si>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</si>
  <si>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</si>
  <si>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</si>
  <si>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</si>
  <si>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</si>
  <si>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</si>
  <si>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</si>
  <si>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</si>
  <si>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</si>
  <si>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</si>
  <si>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</si>
  <si>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</si>
  <si>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</si>
  <si>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</si>
  <si>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</si>
  <si>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</si>
  <si>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</si>
  <si>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</si>
  <si>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</si>
  <si>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</si>
  <si>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</si>
  <si>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</si>
  <si>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</si>
  <si>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</si>
  <si>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</si>
  <si>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</si>
  <si>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</si>
  <si>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</si>
  <si>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</si>
  <si>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</si>
  <si>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</si>
  <si>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</si>
  <si>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</si>
  <si>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</si>
  <si>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</si>
  <si>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</si>
  <si>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</si>
  <si>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</si>
  <si>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</si>
  <si>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</si>
  <si>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</si>
  <si>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</si>
  <si>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</si>
  <si>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</si>
  <si>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</si>
  <si>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</si>
  <si>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</si>
  <si>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</si>
  <si>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</si>
  <si>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</si>
  <si>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</si>
  <si>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</si>
  <si>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</si>
  <si>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</si>
  <si>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</si>
  <si>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</si>
  <si>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</si>
  <si>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</si>
  <si>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</si>
  <si>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</si>
  <si>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</si>
  <si>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</si>
  <si>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</si>
  <si>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</si>
  <si>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</si>
  <si>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</si>
  <si>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</si>
  <si>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</si>
  <si>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</si>
  <si>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</si>
  <si>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</si>
  <si>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</si>
  <si>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</si>
  <si>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</si>
  <si>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</si>
  <si>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</si>
  <si>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</si>
  <si>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</si>
  <si>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</si>
  <si>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</si>
  <si>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</si>
  <si>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</si>
  <si>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</si>
  <si>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</si>
  <si>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</si>
  <si>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</si>
  <si>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</si>
  <si>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</si>
  <si>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</si>
  <si>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</si>
  <si>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</si>
  <si>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</si>
  <si>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</si>
  <si>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</si>
  <si>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</si>
  <si>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</si>
  <si>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</si>
  <si>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</si>
  <si>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</si>
  <si>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</si>
  <si>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</si>
  <si>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</si>
  <si>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</si>
  <si>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</si>
  <si>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</si>
  <si>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</si>
  <si>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</si>
  <si>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</si>
  <si>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</si>
  <si>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</si>
  <si>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</si>
  <si>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</si>
  <si>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</si>
  <si>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</si>
  <si>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</si>
  <si>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</si>
  <si>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</si>
  <si>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</si>
  <si>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</si>
  <si>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</si>
  <si>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</si>
  <si>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</si>
  <si>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</si>
  <si>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</si>
  <si>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</si>
  <si>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</si>
  <si>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</si>
  <si>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</si>
  <si>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</si>
  <si>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</si>
  <si>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</si>
  <si>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</si>
  <si>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</si>
  <si>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</si>
  <si>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</si>
  <si>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</si>
  <si>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</si>
  <si>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</si>
  <si>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</si>
  <si>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</si>
  <si>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</si>
  <si>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</si>
  <si>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</si>
  <si>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</si>
  <si>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</si>
  <si>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</si>
  <si>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</si>
  <si>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</si>
  <si>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</si>
  <si>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</si>
  <si>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</si>
  <si>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</si>
  <si>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</si>
  <si>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</si>
  <si>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</si>
  <si>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</si>
  <si>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</si>
  <si>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</si>
  <si>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</si>
  <si>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</si>
  <si>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</si>
  <si>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</si>
  <si>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</si>
  <si>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</si>
  <si>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</si>
  <si>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</si>
  <si>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</si>
  <si>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</si>
  <si>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</si>
  <si>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</si>
  <si>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</si>
  <si>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</si>
  <si>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</si>
  <si>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</si>
  <si>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</si>
  <si>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</si>
  <si>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</si>
  <si>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</si>
  <si>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</si>
  <si>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</si>
  <si>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</si>
  <si>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</si>
  <si>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</si>
  <si>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</si>
  <si>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</si>
  <si>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</si>
  <si>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</si>
  <si>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</si>
  <si>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</si>
  <si>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</si>
  <si>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</si>
  <si>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</si>
  <si>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</si>
  <si>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</si>
  <si>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</si>
  <si>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</si>
  <si>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</si>
  <si>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</si>
  <si>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</si>
  <si>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</si>
  <si>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</si>
  <si>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</si>
  <si>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</si>
  <si>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</si>
  <si>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</si>
  <si>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</si>
  <si>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</si>
  <si>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</si>
  <si>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</si>
  <si>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</si>
  <si>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</si>
  <si>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</si>
  <si>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</si>
  <si>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</si>
  <si>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</si>
  <si>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</si>
  <si>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</si>
  <si>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</si>
  <si>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</si>
  <si>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</si>
  <si>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</si>
  <si>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</si>
  <si>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</si>
  <si>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</si>
  <si>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</si>
  <si>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</si>
  <si>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</si>
  <si>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</si>
  <si>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</si>
  <si>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</si>
  <si>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</si>
  <si>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</si>
  <si>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</si>
  <si>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</si>
  <si>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</si>
  <si>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</si>
  <si>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</si>
  <si>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</si>
  <si>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</si>
  <si>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</si>
  <si>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</si>
  <si>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</si>
  <si>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</si>
  <si>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</si>
  <si>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</si>
  <si>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</si>
  <si>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</si>
  <si>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</si>
  <si>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</si>
  <si>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</si>
  <si>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</si>
  <si>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</si>
  <si>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</si>
  <si>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</si>
  <si>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</si>
  <si>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</si>
  <si>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</si>
  <si>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</si>
  <si>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</si>
  <si>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</si>
  <si>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</si>
  <si>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</si>
  <si>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</si>
  <si>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</si>
  <si>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</si>
  <si>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</si>
  <si>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</si>
  <si>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</si>
  <si>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</si>
  <si>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</si>
  <si>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</si>
  <si>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</si>
  <si>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</si>
  <si>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</si>
  <si>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</si>
  <si>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</si>
  <si>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</si>
  <si>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</si>
  <si>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</si>
  <si>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</si>
  <si>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</si>
  <si>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</si>
  <si>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</si>
  <si>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</si>
  <si>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</si>
  <si>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</si>
  <si>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</si>
  <si>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</si>
  <si>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</si>
  <si>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</si>
  <si>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</si>
  <si>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</si>
  <si>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</si>
  <si>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</si>
  <si>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</si>
  <si>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</si>
  <si>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</si>
  <si>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</si>
  <si>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</si>
  <si>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</si>
  <si>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</si>
  <si>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</si>
  <si>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</si>
  <si>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</si>
  <si>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</si>
  <si>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</si>
  <si>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</si>
  <si>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</si>
  <si>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</si>
  <si>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</si>
  <si>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</si>
  <si>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</si>
  <si>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</si>
  <si>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</si>
  <si>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</si>
  <si>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</si>
  <si>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</si>
  <si>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</si>
  <si>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</si>
  <si>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</si>
  <si>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</si>
  <si>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</si>
  <si>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</si>
  <si>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</si>
  <si>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</si>
  <si>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</si>
  <si>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</si>
  <si>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</si>
  <si>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</si>
  <si>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</si>
  <si>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</si>
  <si>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</si>
  <si>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</si>
  <si>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</si>
  <si>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</si>
  <si>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</si>
  <si>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</si>
  <si>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</si>
  <si>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</si>
  <si>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</si>
  <si>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</si>
  <si>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</si>
  <si>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</si>
  <si>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</si>
  <si>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</si>
  <si>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</si>
  <si>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</si>
  <si>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</si>
  <si>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</si>
  <si>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</si>
  <si>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</si>
  <si>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</si>
  <si>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</si>
  <si>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</si>
  <si>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</si>
  <si>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</si>
  <si>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</si>
  <si>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</si>
  <si>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</si>
  <si>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</si>
  <si>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</si>
  <si>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</si>
  <si>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</si>
  <si>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</si>
  <si>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</si>
  <si>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</si>
  <si>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</si>
  <si>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</si>
  <si>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</si>
  <si>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</si>
  <si>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</si>
  <si>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</si>
  <si>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</si>
  <si>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</si>
  <si>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</si>
  <si>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</si>
  <si>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</si>
  <si>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</si>
  <si>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</si>
  <si>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</si>
  <si>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</si>
  <si>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</si>
  <si>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</si>
  <si>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</si>
  <si>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</si>
  <si>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</si>
  <si>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</si>
  <si>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</si>
  <si>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</si>
  <si>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</si>
  <si>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</si>
  <si>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</si>
  <si>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</si>
  <si>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</si>
  <si>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</si>
  <si>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</si>
  <si>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</si>
  <si>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</si>
  <si>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</si>
  <si>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</si>
  <si>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</si>
  <si>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</si>
  <si>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</si>
  <si>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</si>
  <si>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</si>
  <si>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</si>
  <si>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</si>
  <si>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</si>
  <si>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</si>
  <si>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</si>
  <si>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</si>
  <si>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</si>
  <si>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</si>
  <si>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</si>
  <si>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</si>
  <si>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</si>
  <si>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</si>
  <si>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</si>
  <si>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</si>
  <si>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</si>
  <si>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</si>
  <si>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</si>
  <si>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</si>
  <si>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</si>
  <si>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</si>
  <si>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</si>
  <si>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</si>
  <si>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</si>
  <si>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</si>
  <si>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</si>
  <si>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</si>
  <si>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</si>
  <si>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</si>
  <si>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</si>
  <si>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</si>
  <si>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</si>
  <si>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</si>
  <si>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</si>
  <si>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</si>
  <si>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</si>
  <si>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</si>
  <si>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</si>
  <si>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</si>
  <si>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</si>
  <si>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</si>
  <si>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</si>
  <si>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</si>
  <si>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</si>
  <si>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</si>
  <si>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</si>
  <si>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</si>
  <si>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</si>
  <si>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</si>
  <si>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</si>
  <si>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</si>
  <si>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</si>
  <si>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</si>
  <si>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</si>
  <si>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</si>
  <si>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</si>
  <si>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</si>
  <si>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</si>
  <si>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</si>
  <si>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</si>
  <si>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</si>
  <si>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</si>
  <si>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</si>
  <si>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</si>
  <si>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</si>
  <si>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</si>
  <si>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</si>
  <si>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</si>
  <si>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</si>
  <si>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</si>
  <si>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</si>
  <si>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</si>
  <si>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</si>
  <si>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</si>
  <si>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</si>
  <si>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</si>
  <si>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</si>
  <si>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</si>
  <si>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</si>
  <si>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</si>
  <si>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</si>
  <si>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</si>
  <si>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</si>
  <si>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</si>
  <si>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</si>
  <si>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</si>
  <si>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</si>
  <si>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</si>
  <si>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</si>
  <si>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</si>
  <si>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</si>
  <si>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</si>
  <si>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</si>
  <si>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</si>
  <si>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</si>
  <si>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</si>
  <si>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</si>
  <si>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</si>
  <si>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</si>
  <si>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</si>
  <si>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</si>
  <si>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</si>
  <si>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</si>
  <si>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</si>
  <si>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</si>
  <si>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</si>
  <si>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</si>
  <si>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</si>
  <si>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</si>
  <si>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</si>
  <si>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</si>
  <si>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</si>
  <si>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</si>
  <si>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</si>
  <si>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</si>
  <si>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</si>
  <si>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</si>
  <si>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</si>
  <si>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</si>
  <si>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</si>
  <si>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</si>
  <si>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</si>
  <si>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</si>
  <si>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</si>
  <si>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</si>
  <si>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</si>
  <si>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</si>
  <si>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</si>
  <si>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</si>
  <si>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</si>
  <si>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</si>
  <si>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</si>
  <si>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</si>
  <si>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</si>
  <si>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</si>
  <si>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</si>
  <si>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</si>
  <si>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</si>
  <si>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</si>
  <si>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</si>
  <si>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</si>
  <si>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</si>
  <si>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</si>
  <si>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</si>
  <si>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</si>
  <si>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</si>
  <si>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</si>
  <si>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</si>
  <si>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</si>
  <si>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</si>
  <si>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</si>
  <si>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</si>
  <si>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</si>
  <si>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</si>
  <si>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</si>
  <si>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</si>
  <si>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</si>
  <si>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</si>
  <si>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</si>
  <si>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</si>
  <si>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</si>
  <si>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</si>
  <si>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</si>
  <si>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</si>
  <si>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</si>
  <si>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</si>
  <si>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</si>
  <si>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</si>
  <si>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</si>
  <si>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</si>
  <si>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</si>
  <si>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</si>
  <si>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</si>
  <si>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</si>
  <si>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</si>
  <si>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</si>
  <si>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</si>
  <si>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</si>
  <si>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</si>
  <si>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</si>
  <si>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</si>
  <si>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</si>
  <si>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</si>
  <si>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</si>
  <si>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</si>
  <si>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</si>
  <si>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</si>
  <si>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</si>
  <si>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</si>
  <si>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</si>
  <si>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</si>
  <si>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</si>
  <si>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</si>
  <si>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</si>
  <si>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</si>
  <si>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</si>
  <si>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</si>
  <si>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</si>
  <si>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</si>
  <si>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</si>
  <si>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</si>
  <si>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</si>
  <si>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</si>
  <si>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</si>
  <si>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</si>
  <si>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</si>
  <si>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</si>
  <si>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</si>
  <si>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</si>
  <si>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</si>
  <si>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</si>
  <si>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</si>
  <si>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</si>
  <si>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</si>
  <si>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</si>
  <si>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</si>
  <si>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</si>
  <si>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</si>
  <si>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</si>
  <si>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</si>
  <si>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</si>
  <si>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Joan López Neometal</t>
  </si>
  <si>
    <t>Corredera BL</t>
  </si>
  <si>
    <t>2000x2400 mm</t>
  </si>
  <si>
    <t>35007 - Techo vista, 2m</t>
  </si>
  <si>
    <t>35040 - 60 Kgrs</t>
  </si>
  <si>
    <t>35037 - 60 Kgrs.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</si>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</sst>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287475</xdr:colOff>
      <xdr:row>14</xdr:row>
      <xdr:rowOff>16379</xdr:rowOff>
    </xdr:from>
    <xdr:to>
      <xdr:col>4</xdr:col>
      <xdr:colOff>601253</xdr:colOff>
      <xdr:row>25</xdr:row>
      <xdr:rowOff>80879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7A85B-F3B4-9441-0A35-29B25C711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379" y="2829917"/>
          <a:ext cx="1867086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20250061</v>
      </c>
      <c r="G7" s="8">
        <f ca="1">TODAY()</f>
        <v>45733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</v>
      </c>
      <c r="C13" s="82" t="str">
        <f>IFERROR(VLOOKUP($B13,Tarifa_all_20240711!$A$2:$G$660,2,FALSE()),"-")</f>
        <v>GUIA SUP TECHO PLUS LAC.BLANCO MATE 9003-2 MTS</v>
      </c>
      <c r="D13" s="82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1437</v>
      </c>
      <c r="C14" s="82" t="str">
        <f>IFERROR(VLOOKUP($B14,Tarifa_all_20240711!$A$2:$G$660,2,FALSE()),"-")</f>
        <v>TAPETA LAT. GUIA TECHO BLANCO</v>
      </c>
      <c r="D14" s="82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125</v>
      </c>
      <c r="C17" s="82" t="str">
        <f>IFERROR(VLOOKUP($B17,Tarifa_all_20240711!$A$2:$G$660,2,FALSE()),"-")</f>
        <v>KIT PUERTA PA CORREDERA LAC.BLANCO MATE 9003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371</v>
      </c>
      <c r="C19" s="82" t="str">
        <f>IFERROR(VLOOKUP($B19,Tarifa_all_20240711!$A$2:$G$660,2,FALSE()),"-")</f>
        <v>TIRADOR RECT.ADH CAVE LAC.BLANCO MATE 9003: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318</v>
      </c>
      <c r="C20" s="82" t="str">
        <f>IFERROR(VLOOKUP($B20,Tarifa_all_20240711!$A$2:$G$660,2,FALSE()),"-")</f>
        <v>GUIADOR FIJO PA LAC.BLANCO MATE 9003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136</v>
      </c>
      <c r="C21" s="83" t="str">
        <f>IFERROR(VLOOKUP($B21,Tarifa_all_20240711!$A$2:$G$660,2,FALSE()),"-")</f>
        <v>PERFIL EMBELL.HORIZ. ADH LAC.BLANCO MATE 9003</v>
      </c>
      <c r="D21" s="83"/>
      <c r="E21" s="77">
        <v>4</v>
      </c>
      <c r="F21" s="78">
        <f>IFERROR(VLOOKUP($B21,Tarifa_all_20240711!$A$2:$G$660,5,FALSE()),"-")</f>
        <v>21.794999999999998</v>
      </c>
      <c r="G21" s="78">
        <f t="shared" si="0"/>
        <v>87.179999999999993</v>
      </c>
      <c r="H21" s="1"/>
    </row>
    <row r="22" spans="1:8" x14ac:dyDescent="0.25">
      <c r="B22" s="16" t="s">
        <v>458</v>
      </c>
      <c r="C22" s="82" t="str">
        <f>IFERROR(VLOOKUP($B22,Tarifa_all_20240711!$A$2:$G$660,2,FALSE()),"-")</f>
        <v>MARCO FIJOS 35MM D-DECOR FIJO BLAN 9003 MATE 3 MT</v>
      </c>
      <c r="D22" s="82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438</v>
      </c>
      <c r="C23" s="82" t="str">
        <f>IFERROR(VLOOKUP($B23,Tarifa_all_20240711!$A$2:$G$660,2,FALSE()),"-")</f>
        <v>ANCLAJE TAPA 35MM D-DECOR FIJO BLANCO 9003 M 3 MT</v>
      </c>
      <c r="D23" s="82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478</v>
      </c>
      <c r="C24" s="82" t="str">
        <f>IFERROR(VLOOKUP($B24,Tarifa_all_20240711!$A$2:$G$660,2,FALSE()),"-")</f>
        <v>TAPA MARCO 35MM D-DECOR FIJO BLANCO 9003 MATE 3 MT</v>
      </c>
      <c r="D24" s="82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448</v>
      </c>
      <c r="C25" s="82" t="str">
        <f>IFERROR(VLOOKUP($B25,Tarifa_all_20240711!$A$2:$G$660,2,FALSE()),"-")</f>
        <v>PERFIL MINIMALISTA D-DECOR FIJO BLANCO 9003 M 3 MT</v>
      </c>
      <c r="D25" s="82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82" t="str">
        <f>IFERROR(VLOOKUP($B26,Tarifa_all_20240711!$A$2:$G$660,2,FALSE()),"-")</f>
        <v>Tope Domo Decor</v>
      </c>
      <c r="D26" s="82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82" t="str">
        <f>IFERROR(VLOOKUP($B27,Tarifa_all_20240711!$A$2:$G$660,2,FALSE()),"-")</f>
        <v>PERFIL 3 MTS REDUCTOR PARA VIDRIO 6mm</v>
      </c>
      <c r="D27" s="82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673.72500000000002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G18" sqref="G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Joan López Neometal</v>
      </c>
      <c r="C9" s="90"/>
      <c r="D9" s="90"/>
      <c r="F9" s="3" t="s">
        <v>81</v>
      </c>
      <c r="G9" s="44">
        <f ca="1">TODAY()</f>
        <v>45733</v>
      </c>
    </row>
    <row r="10" spans="1:7" x14ac:dyDescent="0.25">
      <c r="A10" s="3" t="s">
        <v>82</v>
      </c>
      <c r="B10" s="11" t="str">
        <f>'DESPIECE (MATANALYSIS)'!C9</f>
        <v>Corredera BL</v>
      </c>
      <c r="C10" s="45"/>
      <c r="D10" s="45"/>
      <c r="E10" s="46"/>
      <c r="F10" s="47" t="s">
        <v>83</v>
      </c>
      <c r="G10" s="7">
        <f>'DESPIECE (MATANALYSIS)'!C7</f>
        <v>20250061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673.72500000000002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2025-03-17T07:17:15Z</dcterms:modified>
  <dc:language>es-ES</dc:language>
</cp:coreProperties>
</file>