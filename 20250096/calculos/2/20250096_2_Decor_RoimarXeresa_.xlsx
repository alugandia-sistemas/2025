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96\calculos\2\"/>
    </mc:Choice>
  </mc:AlternateContent>
  <xr:revisionPtr revIDLastSave="0" documentId="13_ncr:1_{7B2E9B33-1712-4944-ADBD-5AE564E4BCEE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<sst xmlns="http://schemas.openxmlformats.org/spreadsheetml/2006/main" count="5402" uniqueCount="1453">
  <si>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</si>
  <si>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</si>
  <si>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</si>
  <si>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</si>
  <si>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</si>
  <si>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</si>
  <si>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</si>
  <si>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</si>
  <si>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</si>
  <si>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</si>
  <si>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</si>
  <si>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</si>
  <si>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</si>
  <si>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</si>
  <si>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</si>
  <si>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</si>
  <si>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</si>
  <si>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</si>
  <si>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</si>
  <si>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</si>
  <si>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</si>
  <si>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</si>
  <si>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</si>
  <si>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</si>
  <si>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</si>
  <si>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</si>
  <si>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</si>
  <si>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</si>
  <si>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</si>
  <si>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</si>
  <si>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</si>
  <si>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</si>
  <si>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</si>
  <si>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</si>
  <si>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</si>
  <si>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</si>
  <si>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</si>
  <si>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</si>
  <si>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</si>
  <si>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</si>
  <si>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</si>
  <si>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</si>
  <si>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</si>
  <si>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</si>
  <si>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</si>
  <si>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</si>
  <si>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</si>
  <si>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</si>
  <si>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</si>
  <si>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</si>
  <si>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</si>
  <si>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</si>
  <si>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</si>
  <si>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</si>
  <si>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</si>
  <si>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</si>
  <si>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</si>
  <si>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</si>
  <si>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</si>
  <si>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</si>
  <si>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</si>
  <si>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</si>
  <si>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</si>
  <si>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</si>
  <si>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</si>
  <si>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</si>
  <si>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</si>
  <si>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</si>
  <si>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</si>
  <si>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</si>
  <si>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</si>
  <si>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</si>
  <si>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</si>
  <si>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</si>
  <si>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</si>
  <si>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</si>
  <si>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</si>
  <si>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</si>
  <si>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</si>
  <si>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</si>
  <si>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</si>
  <si>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</si>
  <si>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</si>
  <si>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</si>
  <si>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</si>
  <si>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</si>
  <si>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</si>
  <si>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</si>
  <si>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</si>
  <si>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</si>
  <si>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</si>
  <si>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</si>
  <si>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</si>
  <si>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</si>
  <si>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</si>
  <si>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</si>
  <si>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</si>
  <si>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</si>
  <si>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</si>
  <si>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</si>
  <si>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</si>
  <si>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</si>
  <si>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</si>
  <si>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</si>
  <si>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</si>
  <si>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</si>
  <si>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</si>
  <si>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</si>
  <si>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</si>
  <si>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</si>
  <si>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</si>
  <si>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</si>
  <si>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</si>
  <si>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</si>
  <si>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</si>
  <si>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</si>
  <si>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</si>
  <si>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</si>
  <si>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</si>
  <si>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</si>
  <si>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</si>
  <si>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</si>
  <si>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</si>
  <si>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</si>
  <si>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</si>
  <si>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</si>
  <si>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</si>
  <si>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</si>
  <si>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</si>
  <si>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</si>
  <si>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</si>
  <si>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</si>
  <si>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</si>
  <si>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</si>
  <si>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</si>
  <si>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</si>
  <si>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</si>
  <si>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</si>
  <si>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</si>
  <si>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</si>
  <si>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</si>
  <si>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</si>
  <si>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</si>
  <si>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</si>
  <si>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</si>
  <si>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</si>
  <si>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</si>
  <si>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</si>
  <si>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</si>
  <si>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</si>
  <si>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</si>
  <si>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</si>
  <si>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</si>
  <si>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</si>
  <si>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</si>
  <si>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</si>
  <si>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</si>
  <si>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</si>
  <si>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</si>
  <si>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</si>
  <si>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</si>
  <si>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</si>
  <si>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</si>
  <si>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</si>
  <si>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</si>
  <si>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</si>
  <si>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</si>
  <si>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</si>
  <si>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</si>
  <si>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</si>
  <si>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</si>
  <si>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</si>
  <si>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</si>
  <si>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</si>
  <si>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</si>
  <si>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</si>
  <si>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</si>
  <si>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</si>
  <si>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</si>
  <si>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</si>
  <si>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</si>
  <si>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</si>
  <si>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</si>
  <si>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</si>
  <si>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</si>
  <si>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</si>
  <si>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</si>
  <si>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</si>
  <si>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</si>
  <si>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</si>
  <si>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</si>
  <si>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</si>
  <si>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</si>
  <si>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</si>
  <si>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</si>
  <si>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</si>
  <si>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</si>
  <si>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</si>
  <si>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</si>
  <si>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</si>
  <si>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</si>
  <si>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</si>
  <si>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</si>
  <si>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</si>
  <si>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</si>
  <si>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</si>
  <si>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</si>
  <si>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</si>
  <si>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</si>
  <si>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</si>
  <si>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</si>
  <si>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</si>
  <si>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</si>
  <si>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</si>
  <si>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</si>
  <si>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</si>
  <si>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</si>
  <si>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</si>
  <si>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</si>
  <si>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</si>
  <si>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</si>
  <si>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</si>
  <si>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</si>
  <si>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</si>
  <si>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</si>
  <si>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</si>
  <si>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</si>
  <si>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</si>
  <si>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</si>
  <si>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</si>
  <si>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</si>
  <si>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</si>
  <si>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</si>
  <si>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</si>
  <si>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</si>
  <si>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</si>
  <si>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</si>
  <si>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</si>
  <si>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</si>
  <si>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</si>
  <si>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</si>
  <si>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</si>
  <si>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</si>
  <si>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</si>
  <si>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</si>
  <si>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</si>
  <si>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</si>
  <si>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</si>
  <si>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</si>
  <si>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</si>
  <si>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</si>
  <si>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</si>
  <si>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</si>
  <si>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</si>
  <si>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</si>
  <si>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</si>
  <si>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</si>
  <si>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</si>
  <si>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</si>
  <si>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</si>
  <si>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</si>
  <si>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</si>
  <si>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</si>
  <si>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</si>
  <si>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</si>
  <si>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</si>
  <si>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</si>
  <si>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</si>
  <si>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</si>
  <si>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</si>
  <si>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</si>
  <si>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</si>
  <si>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</si>
  <si>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</si>
  <si>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</si>
  <si>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</si>
  <si>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</si>
  <si>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</si>
  <si>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</si>
  <si>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</si>
  <si>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</si>
  <si>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</si>
  <si>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</si>
  <si>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</si>
  <si>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</si>
  <si>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</si>
  <si>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</si>
  <si>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</si>
  <si>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</si>
  <si>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</si>
  <si>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</si>
  <si>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</si>
  <si>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</si>
  <si>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</si>
  <si>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</si>
  <si>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</si>
  <si>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</si>
  <si>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</si>
  <si>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</si>
  <si>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</si>
  <si>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</si>
  <si>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</si>
  <si>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</si>
  <si>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</si>
  <si>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</si>
  <si>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</si>
  <si>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</si>
  <si>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</si>
  <si>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</si>
  <si>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</si>
  <si>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</si>
  <si>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</si>
  <si>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</si>
  <si>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</si>
  <si>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</si>
  <si>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</si>
  <si>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</si>
  <si>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</si>
  <si>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</si>
  <si>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</si>
  <si>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</si>
  <si>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</si>
  <si>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</si>
  <si>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</si>
  <si>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</si>
  <si>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</si>
  <si>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</si>
  <si>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</si>
  <si>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</si>
  <si>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</si>
  <si>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</si>
  <si>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</si>
  <si>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</si>
  <si>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</si>
  <si>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</si>
  <si>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</si>
  <si>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</si>
  <si>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</si>
  <si>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</si>
  <si>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</si>
  <si>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</si>
  <si>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</si>
  <si>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</si>
  <si>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</si>
  <si>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</si>
  <si>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</si>
  <si>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</si>
  <si>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</si>
  <si>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</si>
  <si>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</si>
  <si>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</si>
  <si>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</si>
  <si>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</si>
  <si>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</si>
  <si>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</si>
  <si>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</si>
  <si>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</si>
  <si>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</si>
  <si>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</si>
  <si>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</si>
  <si>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</si>
  <si>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</si>
  <si>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</si>
  <si>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</si>
  <si>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</si>
  <si>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</si>
  <si>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</si>
  <si>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</si>
  <si>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</si>
  <si>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</si>
  <si>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</si>
  <si>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</si>
  <si>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</si>
  <si>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</si>
  <si>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</si>
  <si>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</si>
  <si>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</si>
  <si>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</si>
  <si>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</si>
  <si>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</si>
  <si>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</si>
  <si>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</si>
  <si>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</si>
  <si>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</si>
  <si>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</si>
  <si>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</si>
  <si>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</si>
  <si>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</si>
  <si>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</si>
  <si>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</si>
  <si>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</si>
  <si>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</si>
  <si>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</si>
  <si>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</si>
  <si>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</si>
  <si>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</si>
  <si>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</si>
  <si>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</si>
  <si>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</si>
  <si>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</si>
  <si>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</si>
  <si>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</si>
  <si>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</si>
  <si>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</si>
  <si>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</si>
  <si>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</si>
  <si>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</si>
  <si>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</si>
  <si>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</si>
  <si>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</si>
  <si>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</si>
  <si>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</si>
  <si>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</si>
  <si>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</si>
  <si>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</si>
  <si>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</si>
  <si>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</si>
  <si>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</si>
  <si>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</si>
  <si>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</si>
  <si>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</si>
  <si>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</si>
  <si>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</si>
  <si>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</si>
  <si>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</si>
  <si>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</si>
  <si>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</si>
  <si>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</si>
  <si>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</si>
  <si>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</si>
  <si>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</si>
  <si>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</si>
  <si>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</si>
  <si>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</si>
  <si>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</si>
  <si>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</si>
  <si>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</si>
  <si>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</si>
  <si>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</si>
  <si>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</si>
  <si>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</si>
  <si>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</si>
  <si>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</si>
  <si>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</si>
  <si>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</si>
  <si>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</si>
  <si>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</si>
  <si>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</si>
  <si>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</si>
  <si>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</si>
  <si>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</si>
  <si>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</si>
  <si>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</si>
  <si>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</si>
  <si>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</si>
  <si>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</si>
  <si>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</si>
  <si>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</si>
  <si>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</si>
  <si>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</si>
  <si>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</si>
  <si>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</si>
  <si>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</si>
  <si>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</si>
  <si>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</si>
  <si>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</si>
  <si>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</si>
  <si>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</si>
  <si>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</si>
  <si>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</si>
  <si>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</si>
  <si>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</si>
  <si>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</si>
  <si>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</si>
  <si>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</si>
  <si>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</si>
  <si>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</si>
  <si>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</si>
  <si>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</si>
  <si>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</si>
  <si>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</si>
  <si>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</si>
  <si>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</si>
  <si>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</si>
  <si>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</si>
  <si>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</si>
  <si>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</si>
  <si>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</si>
  <si>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</si>
  <si>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</si>
  <si>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</si>
  <si>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</si>
  <si>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</si>
  <si>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</si>
  <si>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</si>
  <si>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</si>
  <si>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</si>
  <si>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</si>
  <si>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</si>
  <si>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</si>
  <si>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</si>
  <si>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</si>
  <si>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</si>
  <si>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</si>
  <si>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</si>
  <si>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</si>
  <si>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</si>
  <si>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</si>
  <si>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</si>
  <si>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</si>
  <si>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</si>
  <si>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</si>
  <si>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</si>
  <si>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</si>
  <si>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</si>
  <si>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</si>
  <si>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</si>
  <si>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</si>
  <si>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</si>
  <si>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</si>
  <si>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</si>
  <si>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</si>
  <si>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</si>
  <si>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</si>
  <si>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</si>
  <si>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</si>
  <si>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</si>
  <si>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</si>
  <si>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</si>
  <si>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</si>
  <si>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</si>
  <si>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</si>
  <si>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</si>
  <si>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</si>
  <si>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</si>
  <si>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</si>
  <si>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</si>
  <si>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</si>
  <si>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</si>
  <si>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</si>
  <si>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</si>
  <si>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</si>
  <si>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</si>
  <si>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</si>
  <si>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</si>
  <si>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</si>
  <si>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</si>
  <si>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</si>
  <si>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</si>
  <si>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</si>
  <si>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</si>
  <si>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</si>
  <si>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</si>
  <si>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</si>
  <si>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</si>
  <si>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</si>
  <si>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</si>
  <si>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</si>
  <si>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</si>
  <si>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</si>
  <si>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</si>
  <si>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</si>
  <si>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</si>
  <si>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</si>
  <si>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</si>
  <si>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</si>
  <si>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</si>
  <si>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</si>
  <si>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</si>
  <si>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</si>
  <si>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</si>
  <si>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</si>
  <si>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</si>
  <si>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</si>
  <si>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</si>
  <si>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</si>
  <si>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</si>
  <si>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</si>
  <si>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</si>
  <si>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</si>
  <si>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</si>
  <si>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</si>
  <si>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</si>
  <si>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</si>
  <si>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</si>
  <si>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</si>
  <si>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</si>
  <si>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</si>
  <si>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</si>
  <si>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</si>
  <si>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</si>
  <si>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</si>
  <si>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</si>
  <si>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</si>
  <si>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</si>
  <si>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</si>
  <si>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</si>
  <si>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</si>
  <si>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</si>
  <si>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</si>
  <si>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</si>
  <si>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</si>
  <si>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</si>
  <si>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</si>
  <si>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</si>
  <si>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</si>
  <si>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</si>
  <si>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</si>
  <si>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</si>
  <si>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</si>
  <si>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</si>
  <si>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</si>
  <si>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</si>
  <si>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</si>
  <si>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</si>
  <si>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</si>
  <si>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</si>
  <si>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</si>
  <si>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</si>
  <si>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</si>
  <si>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</si>
  <si>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</si>
  <si>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</si>
  <si>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</si>
  <si>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</si>
  <si>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</si>
  <si>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</si>
  <si>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</si>
  <si>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</si>
  <si>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</si>
  <si>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</si>
  <si>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</si>
  <si>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</si>
  <si>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</si>
  <si>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</si>
  <si>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</si>
  <si>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</si>
  <si>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</si>
  <si>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</si>
  <si>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</si>
  <si>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</si>
  <si>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</si>
  <si>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</si>
  <si>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</si>
  <si>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</si>
  <si>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</si>
  <si>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</si>
  <si>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</si>
  <si>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</si>
  <si>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</si>
  <si>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</si>
  <si>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</si>
  <si>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</si>
  <si>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</si>
  <si>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</si>
  <si>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</si>
  <si>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</si>
  <si>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</si>
  <si>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</si>
  <si>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</si>
  <si>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</si>
  <si>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</si>
  <si>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</si>
  <si>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</si>
  <si>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</si>
  <si>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</si>
  <si>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</si>
  <si>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</si>
  <si>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</si>
  <si>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</si>
  <si>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</si>
  <si>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</si>
  <si>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</si>
  <si>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</si>
  <si>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</si>
  <si>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</si>
  <si>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</si>
  <si>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</si>
  <si>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</si>
  <si>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</si>
  <si>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</si>
  <si>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</si>
  <si>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</si>
  <si>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</si>
  <si>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</si>
  <si>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</si>
  <si>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</si>
  <si>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</si>
  <si>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</si>
  <si>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</si>
  <si>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</si>
  <si>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</si>
  <si>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</si>
  <si>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</si>
  <si>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</si>
  <si>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</si>
  <si>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</si>
  <si>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</si>
  <si>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</si>
  <si>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</si>
  <si>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</si>
  <si>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</si>
  <si>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</si>
  <si>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</si>
  <si>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</si>
  <si>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</si>
  <si>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</si>
  <si>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</si>
  <si>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</si>
  <si>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</si>
  <si>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</si>
  <si>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</si>
  <si>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</si>
  <si>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</si>
  <si>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</si>
  <si>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</si>
  <si>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</si>
  <si>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</si>
  <si>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</si>
  <si>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</si>
  <si>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</si>
  <si>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</si>
  <si>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</si>
  <si>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</si>
  <si>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</si>
  <si>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</si>
  <si>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</si>
  <si>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</si>
  <si>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</si>
  <si>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</si>
  <si>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</si>
  <si>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</si>
  <si>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</si>
  <si>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</si>
  <si>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</si>
  <si>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</si>
  <si>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</si>
  <si>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</si>
  <si>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</si>
  <si>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</si>
  <si>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</si>
  <si>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</si>
  <si>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</si>
  <si>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</si>
  <si>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</si>
  <si>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</si>
  <si>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</si>
  <si>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</si>
  <si>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</si>
  <si>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</si>
  <si>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</si>
  <si>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</si>
  <si>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</si>
  <si>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</si>
  <si>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</si>
  <si>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</si>
  <si>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</si>
  <si>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</si>
  <si>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</si>
  <si>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</si>
  <si>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</si>
  <si>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</si>
  <si>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</si>
  <si>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</si>
  <si>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</si>
  <si>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</si>
  <si>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</si>
  <si>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</si>
  <si>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</si>
  <si>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</si>
  <si>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</si>
  <si>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</si>
  <si>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</si>
  <si>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</si>
  <si>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</si>
  <si>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</si>
  <si>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</si>
  <si>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</si>
  <si>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</si>
  <si>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</si>
  <si>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</si>
  <si>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</si>
  <si>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</si>
  <si>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</si>
  <si>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</si>
  <si>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</si>
  <si>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</si>
  <si>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</si>
  <si>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</si>
  <si>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</si>
  <si>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</si>
  <si>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</si>
  <si>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</si>
  <si>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</si>
  <si>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</si>
  <si>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</si>
  <si>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</si>
  <si>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</si>
  <si>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</si>
  <si>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</si>
  <si>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</si>
  <si>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</si>
  <si>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</si>
  <si>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</si>
  <si>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</si>
  <si>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</si>
  <si>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</si>
  <si>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</si>
  <si>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</si>
  <si>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</si>
  <si>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</si>
  <si>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</si>
  <si>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</si>
  <si>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</si>
  <si>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</si>
  <si>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</si>
  <si>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</si>
  <si>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</si>
  <si>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</si>
  <si>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</si>
  <si>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</si>
  <si>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</si>
  <si>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</si>
  <si>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</si>
  <si>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</si>
  <si>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</si>
  <si>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</si>
  <si>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</si>
  <si>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</si>
  <si>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</si>
  <si>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</si>
  <si>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</si>
  <si>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</si>
  <si>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</si>
  <si>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</si>
  <si>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</si>
  <si>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</si>
  <si>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</si>
  <si>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</si>
  <si>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</si>
  <si>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</si>
  <si>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</si>
  <si>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</si>
  <si>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</si>
  <si>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</si>
  <si>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</si>
  <si>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</si>
  <si>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</si>
  <si>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</si>
  <si>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</si>
  <si>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</si>
  <si>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</si>
  <si>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</si>
  <si>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</si>
  <si>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</si>
  <si>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</si>
  <si>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</si>
  <si>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</si>
  <si>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</si>
  <si>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</si>
  <si>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</si>
  <si>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</si>
  <si>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</si>
  <si>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</si>
  <si>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</si>
  <si>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</si>
  <si>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</si>
  <si>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</si>
  <si>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</si>
  <si>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</si>
  <si>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</si>
  <si>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</si>
  <si>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</si>
  <si>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</si>
  <si>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</si>
  <si>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</si>
  <si>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</si>
  <si>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</si>
  <si>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</si>
  <si>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</si>
  <si>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</si>
  <si>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</si>
  <si>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</si>
  <si>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</si>
  <si>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</si>
  <si>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</si>
  <si>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</si>
  <si>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</si>
  <si>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</si>
  <si>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</si>
  <si>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</si>
  <si>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</si>
  <si>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</si>
  <si>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</si>
  <si>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</si>
  <si>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</si>
  <si>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</si>
  <si>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</si>
  <si>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</si>
  <si>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</si>
  <si>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</si>
  <si>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</si>
  <si>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</si>
  <si>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</si>
  <si>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</si>
  <si>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</si>
  <si>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</si>
  <si>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</si>
  <si>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</si>
  <si>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</si>
  <si>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</si>
  <si>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</si>
  <si>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</si>
  <si>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</si>
  <si>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</si>
  <si>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</si>
  <si>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</si>
  <si>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</si>
  <si>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</si>
  <si>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</si>
  <si>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</si>
  <si>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</si>
  <si>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</si>
  <si>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</si>
  <si>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</si>
  <si>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</si>
  <si>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</si>
  <si>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</si>
  <si>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</si>
  <si>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</si>
  <si>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</si>
  <si>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</si>
  <si>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</si>
  <si>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</si>
  <si>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</si>
  <si>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</si>
  <si>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</si>
  <si>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</si>
  <si>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</si>
  <si>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</si>
  <si>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</si>
  <si>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</si>
  <si>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</si>
  <si>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</si>
  <si>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</si>
  <si>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</si>
  <si>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</si>
  <si>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</si>
  <si>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</si>
  <si>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</si>
  <si>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</si>
  <si>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</si>
  <si>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</si>
  <si>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</si>
  <si>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</si>
  <si>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</si>
  <si>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</si>
  <si>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</si>
  <si>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</si>
  <si>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</si>
  <si>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</si>
  <si>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</si>
  <si>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</si>
  <si>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</si>
  <si>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</si>
  <si>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</si>
  <si>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</si>
  <si>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</si>
  <si>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</si>
  <si>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</si>
  <si>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</si>
  <si>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</si>
  <si>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</si>
  <si>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</si>
  <si>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</si>
  <si>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</si>
  <si>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</si>
  <si>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</si>
  <si>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</si>
  <si>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</si>
  <si>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</si>
  <si>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</si>
  <si>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</si>
  <si>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</si>
  <si>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</si>
  <si>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</si>
  <si>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</si>
  <si>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</si>
  <si>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</si>
  <si>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</si>
  <si>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</si>
  <si>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</si>
  <si>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</si>
  <si>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</si>
  <si>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</si>
  <si>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</si>
  <si>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</si>
  <si>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</si>
  <si>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</si>
  <si>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</si>
  <si>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</si>
  <si>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</si>
  <si>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</si>
  <si>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</si>
  <si>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</si>
  <si>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</si>
  <si>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</si>
  <si>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</si>
  <si>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</si>
  <si>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</si>
  <si>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</si>
  <si>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</si>
  <si>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</si>
  <si>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</si>
  <si>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</si>
  <si>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</si>
  <si>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</si>
  <si>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</si>
  <si>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</si>
  <si>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</si>
  <si>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</si>
  <si>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</si>
  <si>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</si>
  <si>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</si>
  <si>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</si>
  <si>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</si>
  <si>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</si>
  <si>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</si>
  <si>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</si>
  <si>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</si>
  <si>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</si>
  <si>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</si>
  <si>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</si>
  <si>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</si>
  <si>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</si>
  <si>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</si>
  <si>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</si>
  <si>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</si>
  <si>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</si>
  <si>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</si>
  <si>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</si>
  <si>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</si>
  <si>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</si>
  <si>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</si>
  <si>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</si>
  <si>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</si>
  <si>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</si>
  <si>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</si>
  <si>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</si>
  <si>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</si>
  <si>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</si>
  <si>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</si>
  <si>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</si>
  <si>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</si>
  <si>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</si>
  <si>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</si>
  <si>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</si>
  <si>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</si>
  <si>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</si>
  <si>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</si>
  <si>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</si>
  <si>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</si>
  <si>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</si>
  <si>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</si>
  <si>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</si>
  <si>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</si>
  <si>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</si>
  <si>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</si>
  <si>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</si>
  <si>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</si>
  <si>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</si>
  <si>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</si>
  <si>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</si>
  <si>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</si>
  <si>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</si>
  <si>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</si>
  <si>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</si>
  <si>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</si>
  <si>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</si>
  <si>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</si>
  <si>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</si>
  <si>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</si>
  <si>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</si>
  <si>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</si>
  <si>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</si>
  <si>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</si>
  <si>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</si>
  <si>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</si>
  <si>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</si>
  <si>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</si>
  <si>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</si>
  <si>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</si>
  <si>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</si>
  <si>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</si>
  <si>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</si>
  <si>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</si>
  <si>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</si>
  <si>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</si>
  <si>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</si>
  <si>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</si>
  <si>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</si>
  <si>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</si>
  <si>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</si>
  <si>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</si>
  <si>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</si>
  <si>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</si>
  <si>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</si>
  <si>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</si>
  <si>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</si>
  <si>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</si>
  <si>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</si>
  <si>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</si>
  <si>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</si>
  <si>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</si>
  <si>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</si>
  <si>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</si>
  <si>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</si>
  <si>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</si>
  <si>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</si>
  <si>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</si>
  <si>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</si>
  <si>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</si>
  <si>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</si>
  <si>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</si>
  <si>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</si>
  <si>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</si>
  <si>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</si>
  <si>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</si>
  <si>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</si>
  <si>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</si>
  <si>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</si>
  <si>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</si>
  <si>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</si>
  <si>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</si>
  <si>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</si>
  <si>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</si>
  <si>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</si>
  <si>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</si>
  <si>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</si>
  <si>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</si>
  <si>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</si>
  <si>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</si>
  <si>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</si>
  <si>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</si>
  <si>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</si>
  <si>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</si>
  <si>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</si>
  <si>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</si>
  <si>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</si>
  <si>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</si>
  <si>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</si>
  <si>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</si>
  <si>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</si>
  <si>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</si>
  <si>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</si>
  <si>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</si>
  <si>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</si>
  <si>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</si>
  <si>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</si>
  <si>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</si>
  <si>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</si>
  <si>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</si>
  <si>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</si>
  <si>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</si>
  <si>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</si>
  <si>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</si>
  <si>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</si>
  <si>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</si>
  <si>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</si>
  <si>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</si>
  <si>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</si>
  <si>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</si>
  <si>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</si>
  <si>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</si>
  <si>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</si>
  <si>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</si>
  <si>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</si>
  <si>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</si>
  <si>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</si>
  <si>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</si>
  <si>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</si>
  <si>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</si>
  <si>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</si>
  <si>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</si>
  <si>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</si>
  <si>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</si>
  <si>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</si>
  <si>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</si>
  <si>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</si>
  <si>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</si>
  <si>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</si>
  <si>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</si>
  <si>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</si>
  <si>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</si>
  <si>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</si>
  <si>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</si>
  <si>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</si>
  <si>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</si>
  <si>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</si>
  <si>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</si>
  <si>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</si>
  <si>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</si>
  <si>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</si>
  <si>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</si>
  <si>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</si>
  <si>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</si>
  <si>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</si>
  <si>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</si>
  <si>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</si>
  <si>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</si>
  <si>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</si>
  <si>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</si>
  <si>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</si>
  <si>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</si>
  <si>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</si>
  <si>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</si>
  <si>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</si>
  <si>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</si>
  <si>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</si>
  <si>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</si>
  <si>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</si>
  <si>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</si>
  <si>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</si>
  <si>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</si>
  <si>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</si>
  <si>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</si>
  <si>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</si>
  <si>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</si>
  <si>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</si>
  <si>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</si>
  <si>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</si>
  <si>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</si>
  <si>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</si>
  <si>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</si>
  <si>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</si>
  <si>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</si>
  <si>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</si>
  <si>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</si>
  <si>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</si>
  <si>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</si>
  <si>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</si>
  <si>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</si>
  <si>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</si>
  <si>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</si>
  <si>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</si>
  <si>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</si>
  <si>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</si>
  <si>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</si>
  <si>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</si>
  <si>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</si>
  <si>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</si>
  <si>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</si>
  <si>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</si>
  <si>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</si>
  <si>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</si>
  <si>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</si>
  <si>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</si>
  <si>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</si>
  <si>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</si>
  <si>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</si>
  <si>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</si>
  <si>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</si>
  <si>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</si>
  <si>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</si>
  <si>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</si>
  <si>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</si>
  <si>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</si>
  <si>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</si>
  <si>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</si>
  <si>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</si>
  <si>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</si>
  <si>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</si>
  <si>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</si>
  <si>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</si>
  <si>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</si>
  <si>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</si>
  <si>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</si>
  <si>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</si>
  <si>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</si>
  <si>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</si>
  <si>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</si>
  <si>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</si>
  <si>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</si>
  <si>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</si>
  <si>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</si>
  <si>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</si>
  <si>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</si>
  <si>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</si>
  <si>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</si>
  <si>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</si>
  <si>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</si>
  <si>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</si>
  <si>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</si>
  <si>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</si>
  <si>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</si>
  <si>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</si>
  <si>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</si>
  <si>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</si>
  <si>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</si>
  <si>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</si>
  <si>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</si>
  <si>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</si>
  <si>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</si>
  <si>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</si>
  <si>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</si>
  <si>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</si>
  <si>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</si>
  <si>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</si>
  <si>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</si>
  <si>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</si>
  <si>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</si>
  <si>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</si>
  <si>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</si>
  <si>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</si>
  <si>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</si>
  <si>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</si>
  <si>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</si>
  <si>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</si>
  <si>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</si>
  <si>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</si>
  <si>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</si>
  <si>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</si>
  <si>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</si>
  <si>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</si>
  <si>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</si>
  <si>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</si>
  <si>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</si>
  <si>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</si>
  <si>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</si>
  <si>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</si>
  <si>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</si>
  <si>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</si>
  <si>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</si>
  <si>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</si>
  <si>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</si>
  <si>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</si>
  <si>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</si>
  <si>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</si>
  <si>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</si>
  <si>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</si>
  <si>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</si>
  <si>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</si>
  <si>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</si>
  <si>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</si>
  <si>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</si>
  <si>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</si>
  <si>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</si>
  <si>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</si>
  <si>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</si>
  <si>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</si>
  <si>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</si>
  <si>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</si>
  <si>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</si>
  <si>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</si>
  <si>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</si>
  <si>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</si>
  <si>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</si>
  <si>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</si>
  <si>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</si>
  <si>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</si>
  <si>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</si>
  <si>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</si>
  <si>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</si>
  <si>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</si>
  <si>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</si>
  <si>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</si>
  <si>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</si>
  <si>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</si>
  <si>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</si>
  <si>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</si>
  <si>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</si>
  <si>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</si>
  <si>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</si>
  <si>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</si>
  <si>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</si>
  <si>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</si>
  <si>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</si>
  <si>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</si>
  <si>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</si>
  <si>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</si>
  <si>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</si>
  <si>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</si>
  <si>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</si>
  <si>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</si>
  <si>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</si>
  <si>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</si>
  <si>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</si>
  <si>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</si>
  <si>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</si>
  <si>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</si>
  <si>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</si>
  <si>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</si>
  <si>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</si>
  <si>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</si>
  <si>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</si>
  <si>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</si>
  <si>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</si>
  <si>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</si>
  <si>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</si>
  <si>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</si>
  <si>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</si>
  <si>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</si>
  <si>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</si>
  <si>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</si>
  <si>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</si>
  <si>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</si>
  <si>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</si>
  <si>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</si>
  <si>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</si>
  <si>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</si>
  <si>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</si>
  <si>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</si>
  <si>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</si>
  <si>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</si>
  <si>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</si>
  <si>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</si>
  <si>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</si>
  <si>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</si>
  <si>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</si>
  <si>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</si>
  <si>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</si>
  <si>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</si>
  <si>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</si>
  <si>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</si>
  <si>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</si>
  <si>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</si>
  <si>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</si>
  <si>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</si>
  <si>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</si>
  <si>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</si>
  <si>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</si>
  <si>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</si>
  <si>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</si>
  <si>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</si>
  <si>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</si>
  <si>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</si>
  <si>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</si>
  <si>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</si>
  <si>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</si>
  <si>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</si>
  <si>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</si>
  <si>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</si>
  <si>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</si>
  <si>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</si>
  <si>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</si>
  <si>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</si>
  <si>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</si>
  <si>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</si>
  <si>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</si>
  <si>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</si>
  <si>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</si>
  <si>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Melchor Mañó</t>
  </si>
  <si>
    <t>Roimar Xeresa cálculo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</si>
</sst>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FFC000"/>
      <name val="Calibri"/>
      <family val="2"/>
    </font>
    <font>
      <sz val="11"/>
      <color rgb="FF00B05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14" borderId="0" xfId="0" applyFill="1"/>
    <xf numFmtId="0" fontId="15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100" workbookViewId="0">
      <selection activeCell="G20" sqref="G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20250096</v>
      </c>
      <c r="G7" s="8">
        <f ca="1">TODAY()</f>
        <v>45804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s="76" t="s">
        <v>14</v>
      </c>
      <c r="B13" s="16" t="s">
        <v>1320</v>
      </c>
      <c r="C13" s="81" t="str">
        <f>IFERROR(VLOOKUP($B13,Tarifa_all_20240711!$A$2:$G$660,2,FALSE()),"-")</f>
        <v>CASC.TRIPLE GUIA DESM.LAC.6 ESP.2-4 MTS</v>
      </c>
      <c r="D13" s="81"/>
      <c r="E13" s="17">
        <v>1</v>
      </c>
      <c r="F13" s="18">
        <f>IFERROR(VLOOKUP($B13,Tarifa_all_20240711!$A$2:$G$660,5,FALSE()),"-")</f>
        <v>290.3175</v>
      </c>
      <c r="G13" s="89">
        <f t="shared" ref="G13:G30" si="0">IFERROR(E13*F13,"-")</f>
        <v>290.3175</v>
      </c>
      <c r="H13" s="1">
        <v>1</v>
      </c>
    </row>
    <row r="14" spans="1:12" x14ac:dyDescent="0.25">
      <c r="A14" s="76" t="s">
        <v>15</v>
      </c>
      <c r="B14" s="16" t="s">
        <v>980</v>
      </c>
      <c r="C14" s="81" t="str">
        <f>IFERROR(VLOOKUP($B14,Tarifa_all_20240711!$A$2:$G$660,2,FALSE()),"-")</f>
        <v>GUIA SKY PLUS DESMONT.LAC.6 ESP.2-4 MTS</v>
      </c>
      <c r="D14" s="81"/>
      <c r="E14" s="17">
        <v>3</v>
      </c>
      <c r="F14" s="18">
        <f>IFERROR(VLOOKUP($B14,Tarifa_all_20240711!$A$2:$G$660,5,FALSE()),"-")</f>
        <v>95.8125</v>
      </c>
      <c r="G14" s="89">
        <f t="shared" si="0"/>
        <v>287.4375</v>
      </c>
      <c r="H14" s="1">
        <v>3</v>
      </c>
    </row>
    <row r="15" spans="1:12" x14ac:dyDescent="0.25">
      <c r="A15" s="76" t="s">
        <v>16</v>
      </c>
      <c r="B15" s="16" t="s">
        <v>297</v>
      </c>
      <c r="C15" s="81" t="str">
        <f>IFERROR(VLOOKUP($B15,Tarifa_all_20240711!$A$2:$G$660,2,FALSE()),"-")</f>
        <v>KIT ANCLAJE TECHO PARA GUIA PLADUR PLUS DEMONTABLE</v>
      </c>
      <c r="D15" s="81"/>
      <c r="E15" s="17">
        <v>9</v>
      </c>
      <c r="F15" s="18">
        <f>IFERROR(VLOOKUP($B15,Tarifa_all_20240711!$A$2:$G$660,5,FALSE()),"-")</f>
        <v>11.737500000000001</v>
      </c>
      <c r="G15" s="89">
        <f t="shared" si="0"/>
        <v>105.6375</v>
      </c>
      <c r="H15" s="1">
        <v>9</v>
      </c>
    </row>
    <row r="16" spans="1:12" x14ac:dyDescent="0.25">
      <c r="A16" s="76" t="s">
        <v>17</v>
      </c>
      <c r="B16" s="16" t="s">
        <v>566</v>
      </c>
      <c r="C16" s="81" t="str">
        <f>IFERROR(VLOOKUP($B16,Tarifa_all_20240711!$A$2:$G$660,2,FALSE()),"-")</f>
        <v>KIT AMORTIGUADOR SKY GUIA DESMONT. BIDIRECCIONAL 60KG</v>
      </c>
      <c r="D16" s="81"/>
      <c r="E16" s="17">
        <v>3</v>
      </c>
      <c r="F16" s="18">
        <f>IFERROR(VLOOKUP($B16,Tarifa_all_20240711!$A$2:$G$660,5,FALSE()),"-")</f>
        <v>30.599999999999998</v>
      </c>
      <c r="G16" s="89">
        <f t="shared" si="0"/>
        <v>91.8</v>
      </c>
      <c r="H16" s="1">
        <v>3</v>
      </c>
    </row>
    <row r="17" spans="1:8" x14ac:dyDescent="0.25">
      <c r="A17" s="76" t="s">
        <v>18</v>
      </c>
      <c r="B17" s="16" t="s">
        <v>134</v>
      </c>
      <c r="C17" s="81" t="str">
        <f>IFERROR(VLOOKUP($B17,Tarifa_all_20240711!$A$2:$G$660,2,FALSE()),"-")</f>
        <v>KIT PUERTA PA CORREDERA LAC.NEGRO TEXTURADO</v>
      </c>
      <c r="D17" s="81"/>
      <c r="E17" s="17">
        <v>3</v>
      </c>
      <c r="F17" s="18">
        <f>IFERROR(VLOOKUP($B17,Tarifa_all_20240711!$A$2:$G$660,5,FALSE()),"-")</f>
        <v>215.65500000000003</v>
      </c>
      <c r="G17" s="89">
        <f t="shared" si="0"/>
        <v>646.96500000000015</v>
      </c>
      <c r="H17" s="1">
        <v>3</v>
      </c>
    </row>
    <row r="18" spans="1:8" x14ac:dyDescent="0.25">
      <c r="A18" s="76" t="s">
        <v>19</v>
      </c>
      <c r="B18" s="16" t="s">
        <v>335</v>
      </c>
      <c r="C18" s="81" t="str">
        <f>IFERROR(VLOOKUP($B18,Tarifa_all_20240711!$A$2:$G$660,2,FALSE()),"-")</f>
        <v>CARRO SKY MADERA 60KG</v>
      </c>
      <c r="D18" s="81"/>
      <c r="E18" s="17">
        <v>3</v>
      </c>
      <c r="F18" s="18">
        <f>IFERROR(VLOOKUP($B18,Tarifa_all_20240711!$A$2:$G$660,5,FALSE()),"-")</f>
        <v>16.634999999999998</v>
      </c>
      <c r="G18" s="89">
        <f t="shared" si="0"/>
        <v>49.904999999999994</v>
      </c>
      <c r="H18" s="1">
        <v>3</v>
      </c>
    </row>
    <row r="19" spans="1:8" x14ac:dyDescent="0.25">
      <c r="A19" s="76" t="s">
        <v>20</v>
      </c>
      <c r="B19" s="16" t="s">
        <v>515</v>
      </c>
      <c r="C19" s="81" t="str">
        <f>IFERROR(VLOOKUP($B19,Tarifa_all_20240711!$A$2:$G$660,2,FALSE()),"-")</f>
        <v>TIRADOR RECT.ADH CAVE LAC.NEGRO TEXTURADO: 2 UDS</v>
      </c>
      <c r="D19" s="81"/>
      <c r="E19" s="17">
        <v>3</v>
      </c>
      <c r="F19" s="18">
        <f>IFERROR(VLOOKUP($B19,Tarifa_all_20240711!$A$2:$G$660,5,FALSE()),"-")</f>
        <v>59.122500000000002</v>
      </c>
      <c r="G19" s="18">
        <f t="shared" si="0"/>
        <v>177.36750000000001</v>
      </c>
      <c r="H19" s="77">
        <v>2</v>
      </c>
    </row>
    <row r="20" spans="1:8" x14ac:dyDescent="0.25">
      <c r="A20" s="76" t="s">
        <v>21</v>
      </c>
      <c r="B20" s="16" t="s">
        <v>1136</v>
      </c>
      <c r="C20" s="81" t="str">
        <f>IFERROR(VLOOKUP($B20,Tarifa_all_20240711!$A$2:$G$660,2,FALSE()),"-")</f>
        <v>GUIADOR FIJO PA LAC.NEGRO TEXTURADO</v>
      </c>
      <c r="D20" s="81"/>
      <c r="E20" s="17">
        <v>3</v>
      </c>
      <c r="F20" s="18">
        <f>IFERROR(VLOOKUP($B20,Tarifa_all_20240711!$A$2:$G$660,5,FALSE()),"-")</f>
        <v>8.61</v>
      </c>
      <c r="G20" s="89">
        <f t="shared" si="0"/>
        <v>25.83</v>
      </c>
      <c r="H20" s="1">
        <v>3</v>
      </c>
    </row>
    <row r="21" spans="1:8" x14ac:dyDescent="0.25">
      <c r="A21" t="s">
        <v>22</v>
      </c>
      <c r="B21" s="16"/>
      <c r="C21" s="81" t="str">
        <f>IFERROR(VLOOKUP($B21,Tarifa_all_20240711!$A$2:$G$660,2,FALSE()),"-")</f>
        <v>-</v>
      </c>
      <c r="D21" s="81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A22" s="76"/>
      <c r="B22" s="16" t="s">
        <v>333</v>
      </c>
      <c r="C22" s="81" t="str">
        <f>IFERROR(VLOOKUP($B22,Tarifa_all_20240711!$A$2:$G$660,2,FALSE()),"-")</f>
        <v>ARRASTRE PUERTA PA IZQ LAC.NEGRO MATE</v>
      </c>
      <c r="D22" s="81"/>
      <c r="E22" s="17">
        <v>2</v>
      </c>
      <c r="F22" s="18">
        <f>IFERROR(VLOOKUP($B22,Tarifa_all_20240711!$A$2:$G$660,5,FALSE()),"-")</f>
        <v>13.86</v>
      </c>
      <c r="G22" s="89">
        <f t="shared" si="0"/>
        <v>27.72</v>
      </c>
      <c r="H22" s="1">
        <v>2</v>
      </c>
    </row>
    <row r="23" spans="1:8" x14ac:dyDescent="0.25">
      <c r="B23" s="16"/>
      <c r="C23" s="81" t="str">
        <f>IFERROR(VLOOKUP($B23,Tarifa_all_20240711!$A$2:$G$660,2,FALSE()),"-")</f>
        <v>-</v>
      </c>
      <c r="D23" s="81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1" t="str">
        <f>IFERROR(VLOOKUP($B24,Tarifa_all_20240711!$A$2:$G$660,2,FALSE()),"-")</f>
        <v>-</v>
      </c>
      <c r="D24" s="81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1" t="str">
        <f>IFERROR(VLOOKUP($B25,Tarifa_all_20240711!$A$2:$G$660,2,FALSE()),"-")</f>
        <v>-</v>
      </c>
      <c r="D25" s="81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1" t="str">
        <f>IFERROR(VLOOKUP($B26,Tarifa_all_20240711!$A$2:$G$660,2,FALSE()),"-")</f>
        <v>-</v>
      </c>
      <c r="D26" s="81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1" t="str">
        <f>IFERROR(VLOOKUP($B27,Tarifa_all_20240711!$A$2:$G$660,2,FALSE()),"-")</f>
        <v>-</v>
      </c>
      <c r="D27" s="81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1" t="str">
        <f>IFERROR(VLOOKUP($B28,Tarifa_all_20240711!$A$2:$G$660,2,FALSE()),"-")</f>
        <v>-</v>
      </c>
      <c r="D28" s="81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1" t="str">
        <f>IFERROR(VLOOKUP($B29,Tarifa_all_20240711!$A$2:$G$660,2,FALSE()),"-")</f>
        <v>-</v>
      </c>
      <c r="D29" s="8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1" t="str">
        <f>IFERROR(VLOOKUP($B30,Tarifa_all_20240711!$A$2:$G$660,2,FALSE()),"-")</f>
        <v>-</v>
      </c>
      <c r="D30" s="8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1702.9800000000002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2"/>
      <c r="E52" s="82"/>
      <c r="F52" s="82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7" t="s">
        <v>79</v>
      </c>
      <c r="B6" s="87"/>
      <c r="C6" s="87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8" t="str">
        <f>'DESPIECE (MATANALYSIS)'!C8</f>
        <v>Melchor Mañó</v>
      </c>
      <c r="C9" s="88"/>
      <c r="D9" s="88"/>
      <c r="F9" s="3" t="s">
        <v>81</v>
      </c>
      <c r="G9" s="44">
        <f ca="1">TODAY()</f>
        <v>45804</v>
      </c>
    </row>
    <row r="10" spans="1:7" x14ac:dyDescent="0.25">
      <c r="A10" s="3" t="s">
        <v>82</v>
      </c>
      <c r="B10" s="11" t="str">
        <f>'DESPIECE (MATANALYSIS)'!C9</f>
        <v>Roimar Xeresa cálculo 2</v>
      </c>
      <c r="C10" s="45"/>
      <c r="D10" s="45"/>
      <c r="E10" s="46"/>
      <c r="F10" s="47" t="s">
        <v>83</v>
      </c>
      <c r="G10" s="7">
        <f>'DESPIECE (MATANALYSIS)'!C7</f>
        <v>20250096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3"/>
      <c r="B46" s="83"/>
      <c r="C46" s="71"/>
      <c r="D46" s="71"/>
      <c r="E46" s="71"/>
      <c r="F46" s="72"/>
      <c r="G46" s="73"/>
    </row>
    <row r="47" spans="1:7" ht="22.7" customHeight="1" x14ac:dyDescent="0.25">
      <c r="A47" s="84" t="s">
        <v>99</v>
      </c>
      <c r="B47" s="84"/>
      <c r="C47" s="59"/>
      <c r="D47" s="59"/>
      <c r="E47" s="59"/>
      <c r="F47" s="85">
        <f>'DESPIECE (MATANALYSIS)'!G31</f>
        <v>1702.9800000000002</v>
      </c>
      <c r="G47" s="85"/>
    </row>
    <row r="48" spans="1:7" s="1" customFormat="1" ht="22.7" customHeight="1" x14ac:dyDescent="0.25">
      <c r="A48" s="86" t="s">
        <v>100</v>
      </c>
      <c r="B48" s="86"/>
      <c r="C48" s="86"/>
      <c r="D48" s="86"/>
      <c r="E48" s="86"/>
      <c r="F48" s="86"/>
      <c r="G48" s="86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2025-05-27T15:42:35Z</dcterms:modified>
  <dc:language>es-ES</dc:language>
</cp:coreProperties>
</file>