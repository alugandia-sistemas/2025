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6\calculos\1\"/>
    </mc:Choice>
  </mc:AlternateContent>
  <xr:revisionPtr revIDLastSave="0" documentId="13_ncr:1_{F8EE14BB-56ED-4ADD-AF53-E1620E9C8E52}" xr6:coauthVersionLast="47" xr6:coauthVersionMax="47" xr10:uidLastSave="{00000000-0000-0000-0000-000000000000}"/>
  <bookViews>
    <workbookView xWindow="-15555" yWindow="0" windowWidth="1566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<sst xmlns="http://schemas.openxmlformats.org/spreadsheetml/2006/main" count="5402" uniqueCount="1453">
  <si>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</si>
  <si>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</si>
  <si>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</si>
  <si>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</si>
  <si>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</si>
  <si>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</si>
  <si>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</si>
  <si>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</si>
  <si>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</si>
  <si>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</si>
  <si>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</si>
  <si>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</si>
  <si>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</si>
  <si>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</si>
  <si>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</si>
  <si>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</si>
  <si>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</si>
  <si>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</si>
  <si>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</si>
  <si>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</si>
  <si>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</si>
  <si>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</si>
  <si>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</si>
  <si>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</si>
  <si>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</si>
  <si>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</si>
  <si>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</si>
  <si>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</si>
  <si>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</si>
  <si>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</si>
  <si>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</si>
  <si>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</si>
  <si>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</si>
  <si>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</si>
  <si>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</si>
  <si>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</si>
  <si>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</si>
  <si>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</si>
  <si>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</si>
  <si>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</si>
  <si>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</si>
  <si>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</si>
  <si>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</si>
  <si>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</si>
  <si>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</si>
  <si>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</si>
  <si>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</si>
  <si>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</si>
  <si>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</si>
  <si>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</si>
  <si>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</si>
  <si>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</si>
  <si>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</si>
  <si>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</si>
  <si>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</si>
  <si>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</si>
  <si>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</si>
  <si>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</si>
  <si>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</si>
  <si>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</si>
  <si>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</si>
  <si>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</si>
  <si>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</si>
  <si>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</si>
  <si>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</si>
  <si>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</si>
  <si>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</si>
  <si>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</si>
  <si>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</si>
  <si>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</si>
  <si>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</si>
  <si>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</si>
  <si>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</si>
  <si>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</si>
  <si>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</si>
  <si>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</si>
  <si>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</si>
  <si>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</si>
  <si>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</si>
  <si>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</si>
  <si>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</si>
  <si>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</si>
  <si>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</si>
  <si>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</si>
  <si>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</si>
  <si>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</si>
  <si>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</si>
  <si>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</si>
  <si>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</si>
  <si>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</si>
  <si>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</si>
  <si>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</si>
  <si>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</si>
  <si>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</si>
  <si>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</si>
  <si>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</si>
  <si>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</si>
  <si>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</si>
  <si>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</si>
  <si>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</si>
  <si>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</si>
  <si>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</si>
  <si>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</si>
  <si>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</si>
  <si>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</si>
  <si>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</si>
  <si>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</si>
  <si>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</si>
  <si>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</si>
  <si>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</si>
  <si>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</si>
  <si>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</si>
  <si>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</si>
  <si>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</si>
  <si>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</si>
  <si>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</si>
  <si>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</si>
  <si>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</si>
  <si>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</si>
  <si>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</si>
  <si>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</si>
  <si>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</si>
  <si>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</si>
  <si>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</si>
  <si>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</si>
  <si>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</si>
  <si>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</si>
  <si>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</si>
  <si>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</si>
  <si>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</si>
  <si>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</si>
  <si>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</si>
  <si>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</si>
  <si>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</si>
  <si>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</si>
  <si>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</si>
  <si>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</si>
  <si>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</si>
  <si>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</si>
  <si>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</si>
  <si>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</si>
  <si>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</si>
  <si>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</si>
  <si>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</si>
  <si>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</si>
  <si>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</si>
  <si>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</si>
  <si>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</si>
  <si>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</si>
  <si>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</si>
  <si>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</si>
  <si>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</si>
  <si>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</si>
  <si>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</si>
  <si>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</si>
  <si>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</si>
  <si>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</si>
  <si>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</si>
  <si>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</si>
  <si>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</si>
  <si>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</si>
  <si>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</si>
  <si>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</si>
  <si>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</si>
  <si>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</si>
  <si>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</si>
  <si>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</si>
  <si>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</si>
  <si>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</si>
  <si>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</si>
  <si>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</si>
  <si>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</si>
  <si>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</si>
  <si>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</si>
  <si>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</si>
  <si>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</si>
  <si>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</si>
  <si>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</si>
  <si>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</si>
  <si>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</si>
  <si>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</si>
  <si>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</si>
  <si>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</si>
  <si>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</si>
  <si>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</si>
  <si>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</si>
  <si>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</si>
  <si>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</si>
  <si>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</si>
  <si>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</si>
  <si>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</si>
  <si>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</si>
  <si>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</si>
  <si>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</si>
  <si>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</si>
  <si>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</si>
  <si>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</si>
  <si>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</si>
  <si>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</si>
  <si>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</si>
  <si>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</si>
  <si>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</si>
  <si>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</si>
  <si>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</si>
  <si>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</si>
  <si>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</si>
  <si>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</si>
  <si>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</si>
  <si>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</si>
  <si>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</si>
  <si>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</si>
  <si>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</si>
  <si>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</si>
  <si>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</si>
  <si>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</si>
  <si>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</si>
  <si>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</si>
  <si>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</si>
  <si>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</si>
  <si>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</si>
  <si>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</si>
  <si>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</si>
  <si>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</si>
  <si>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</si>
  <si>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</si>
  <si>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</si>
  <si>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</si>
  <si>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</si>
  <si>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</si>
  <si>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</si>
  <si>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</si>
  <si>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</si>
  <si>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</si>
  <si>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</si>
  <si>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</si>
  <si>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</si>
  <si>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</si>
  <si>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</si>
  <si>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</si>
  <si>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</si>
  <si>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</si>
  <si>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</si>
  <si>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</si>
  <si>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</si>
  <si>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</si>
  <si>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</si>
  <si>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</si>
  <si>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</si>
  <si>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</si>
  <si>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</si>
  <si>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</si>
  <si>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</si>
  <si>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</si>
  <si>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</si>
  <si>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</si>
  <si>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</si>
  <si>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</si>
  <si>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</si>
  <si>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</si>
  <si>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</si>
  <si>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</si>
  <si>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</si>
  <si>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</si>
  <si>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</si>
  <si>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</si>
  <si>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</si>
  <si>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</si>
  <si>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</si>
  <si>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</si>
  <si>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</si>
  <si>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</si>
  <si>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</si>
  <si>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</si>
  <si>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</si>
  <si>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</si>
  <si>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</si>
  <si>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</si>
  <si>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</si>
  <si>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</si>
  <si>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</si>
  <si>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</si>
  <si>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</si>
  <si>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</si>
  <si>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</si>
  <si>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</si>
  <si>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</si>
  <si>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</si>
  <si>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</si>
  <si>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</si>
  <si>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</si>
  <si>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</si>
  <si>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</si>
  <si>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</si>
  <si>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</si>
  <si>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</si>
  <si>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</si>
  <si>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</si>
  <si>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</si>
  <si>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</si>
  <si>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</si>
  <si>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</si>
  <si>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</si>
  <si>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</si>
  <si>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</si>
  <si>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</si>
  <si>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</si>
  <si>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</si>
  <si>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</si>
  <si>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</si>
  <si>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</si>
  <si>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</si>
  <si>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</si>
  <si>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</si>
  <si>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</si>
  <si>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</si>
  <si>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</si>
  <si>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</si>
  <si>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</si>
  <si>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</si>
  <si>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</si>
  <si>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</si>
  <si>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</si>
  <si>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</si>
  <si>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</si>
  <si>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</si>
  <si>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</si>
  <si>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</si>
  <si>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</si>
  <si>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</si>
  <si>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</si>
  <si>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</si>
  <si>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</si>
  <si>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</si>
  <si>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</si>
  <si>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</si>
  <si>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</si>
  <si>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</si>
  <si>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</si>
  <si>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</si>
  <si>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</si>
  <si>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</si>
  <si>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</si>
  <si>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</si>
  <si>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</si>
  <si>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</si>
  <si>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</si>
  <si>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</si>
  <si>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</si>
  <si>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</si>
  <si>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</si>
  <si>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</si>
  <si>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</si>
  <si>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</si>
  <si>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</si>
  <si>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</si>
  <si>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</si>
  <si>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</si>
  <si>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</si>
  <si>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</si>
  <si>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</si>
  <si>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</si>
  <si>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</si>
  <si>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</si>
  <si>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</si>
  <si>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</si>
  <si>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</si>
  <si>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</si>
  <si>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</si>
  <si>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</si>
  <si>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</si>
  <si>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</si>
  <si>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</si>
  <si>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</si>
  <si>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</si>
  <si>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</si>
  <si>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</si>
  <si>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</si>
  <si>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</si>
  <si>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</si>
  <si>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</si>
  <si>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</si>
  <si>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</si>
  <si>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</si>
  <si>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</si>
  <si>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</si>
  <si>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</si>
  <si>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</si>
  <si>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</si>
  <si>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</si>
  <si>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</si>
  <si>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</si>
  <si>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</si>
  <si>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</si>
  <si>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</si>
  <si>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</si>
  <si>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</si>
  <si>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</si>
  <si>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</si>
  <si>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</si>
  <si>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</si>
  <si>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</si>
  <si>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</si>
  <si>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</si>
  <si>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</si>
  <si>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</si>
  <si>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</si>
  <si>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</si>
  <si>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</si>
  <si>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</si>
  <si>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</si>
  <si>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</si>
  <si>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</si>
  <si>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</si>
  <si>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</si>
  <si>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</si>
  <si>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</si>
  <si>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</si>
  <si>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</si>
  <si>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</si>
  <si>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</si>
  <si>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</si>
  <si>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</si>
  <si>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</si>
  <si>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</si>
  <si>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</si>
  <si>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</si>
  <si>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</si>
  <si>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</si>
  <si>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</si>
  <si>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</si>
  <si>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</si>
  <si>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</si>
  <si>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</si>
  <si>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</si>
  <si>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</si>
  <si>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</si>
  <si>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</si>
  <si>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</si>
  <si>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</si>
  <si>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</si>
  <si>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</si>
  <si>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</si>
  <si>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</si>
  <si>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</si>
  <si>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</si>
  <si>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</si>
  <si>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</si>
  <si>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</si>
  <si>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</si>
  <si>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</si>
  <si>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</si>
  <si>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</si>
  <si>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</si>
  <si>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</si>
  <si>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</si>
  <si>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</si>
  <si>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</si>
  <si>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</si>
  <si>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</si>
  <si>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</si>
  <si>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</si>
  <si>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</si>
  <si>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</si>
  <si>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</si>
  <si>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</si>
  <si>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</si>
  <si>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</si>
  <si>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</si>
  <si>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</si>
  <si>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</si>
  <si>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</si>
  <si>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</si>
  <si>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</si>
  <si>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</si>
  <si>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</si>
  <si>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</si>
  <si>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</si>
  <si>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</si>
  <si>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</si>
  <si>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</si>
  <si>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</si>
  <si>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</si>
  <si>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</si>
  <si>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</si>
  <si>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</si>
  <si>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</si>
  <si>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</si>
  <si>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</si>
  <si>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</si>
  <si>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</si>
  <si>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</si>
  <si>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</si>
  <si>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</si>
  <si>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</si>
  <si>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</si>
  <si>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</si>
  <si>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</si>
  <si>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</si>
  <si>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</si>
  <si>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</si>
  <si>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</si>
  <si>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</si>
  <si>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</si>
  <si>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</si>
  <si>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</si>
  <si>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</si>
  <si>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</si>
  <si>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</si>
  <si>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</si>
  <si>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</si>
  <si>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</si>
  <si>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</si>
  <si>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</si>
  <si>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</si>
  <si>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</si>
  <si>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</si>
  <si>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</si>
  <si>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</si>
  <si>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</si>
  <si>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</si>
  <si>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</si>
  <si>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</si>
  <si>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</si>
  <si>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</si>
  <si>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</si>
  <si>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</si>
  <si>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</si>
  <si>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</si>
  <si>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</si>
  <si>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</si>
  <si>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</si>
  <si>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</si>
  <si>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</si>
  <si>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</si>
  <si>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</si>
  <si>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</si>
  <si>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</si>
  <si>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</si>
  <si>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</si>
  <si>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</si>
  <si>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</si>
  <si>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</si>
  <si>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</si>
  <si>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</si>
  <si>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</si>
  <si>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</si>
  <si>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</si>
  <si>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</si>
  <si>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</si>
  <si>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</si>
  <si>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</si>
  <si>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</si>
  <si>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</si>
  <si>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</si>
  <si>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</si>
  <si>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</si>
  <si>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</si>
  <si>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</si>
  <si>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</si>
  <si>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</si>
  <si>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</si>
  <si>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</si>
  <si>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</si>
  <si>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</si>
  <si>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</si>
  <si>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</si>
  <si>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</si>
  <si>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</si>
  <si>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</si>
  <si>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</si>
  <si>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</si>
  <si>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</si>
  <si>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</si>
  <si>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</si>
  <si>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</si>
  <si>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</si>
  <si>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</si>
  <si>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</si>
  <si>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</si>
  <si>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</si>
  <si>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</si>
  <si>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</si>
  <si>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</si>
  <si>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</si>
  <si>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</si>
  <si>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</si>
  <si>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</si>
  <si>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</si>
  <si>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</si>
  <si>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</si>
  <si>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</si>
  <si>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</si>
  <si>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</si>
  <si>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</si>
  <si>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</si>
  <si>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</si>
  <si>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</si>
  <si>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</si>
  <si>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</si>
  <si>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</si>
  <si>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</si>
  <si>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</si>
  <si>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</si>
  <si>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</si>
  <si>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</si>
  <si>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</si>
  <si>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</si>
  <si>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</si>
  <si>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</si>
  <si>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</si>
  <si>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</si>
  <si>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</si>
  <si>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</si>
  <si>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</si>
  <si>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</si>
  <si>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</si>
  <si>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</si>
  <si>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</si>
  <si>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</si>
  <si>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</si>
  <si>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</si>
  <si>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</si>
  <si>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</si>
  <si>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</si>
  <si>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</si>
  <si>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</si>
  <si>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</si>
  <si>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</si>
  <si>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</si>
  <si>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</si>
  <si>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</si>
  <si>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</si>
  <si>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</si>
  <si>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</si>
  <si>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</si>
  <si>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</si>
  <si>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</si>
  <si>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</si>
  <si>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</si>
  <si>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</si>
  <si>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</si>
  <si>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</si>
  <si>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</si>
  <si>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</si>
  <si>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</si>
  <si>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</si>
  <si>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</si>
  <si>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</si>
  <si>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</si>
  <si>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</si>
  <si>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</si>
  <si>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</si>
  <si>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</si>
  <si>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</si>
  <si>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</si>
  <si>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</si>
  <si>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</si>
  <si>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</si>
  <si>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</si>
  <si>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</si>
  <si>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</si>
  <si>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</si>
  <si>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</si>
  <si>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</si>
  <si>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</si>
  <si>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</si>
  <si>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</si>
  <si>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</si>
  <si>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</si>
  <si>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</si>
  <si>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</si>
  <si>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</si>
  <si>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</si>
  <si>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</si>
  <si>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</si>
  <si>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</si>
  <si>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</si>
  <si>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</si>
  <si>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</si>
  <si>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</si>
  <si>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</si>
  <si>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</si>
  <si>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</si>
  <si>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</si>
  <si>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</si>
  <si>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</si>
  <si>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</si>
  <si>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</si>
  <si>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</si>
  <si>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</si>
  <si>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</si>
  <si>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</si>
  <si>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</si>
  <si>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</si>
  <si>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</si>
  <si>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</si>
  <si>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</si>
  <si>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</si>
  <si>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</si>
  <si>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</si>
  <si>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</si>
  <si>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</si>
  <si>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</si>
  <si>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</si>
  <si>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</si>
  <si>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</si>
  <si>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</si>
  <si>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</si>
  <si>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</si>
  <si>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</si>
  <si>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</si>
  <si>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</si>
  <si>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</si>
  <si>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</si>
  <si>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</si>
  <si>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</si>
  <si>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</si>
  <si>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</si>
  <si>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</si>
  <si>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</si>
  <si>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</si>
  <si>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</si>
  <si>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</si>
  <si>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</si>
  <si>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</si>
  <si>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</si>
  <si>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</si>
  <si>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</si>
  <si>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</si>
  <si>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</si>
  <si>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</si>
  <si>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</si>
  <si>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</si>
  <si>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</si>
  <si>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</si>
  <si>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</si>
  <si>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</si>
  <si>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</si>
  <si>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</si>
  <si>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</si>
  <si>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</si>
  <si>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</si>
  <si>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</si>
  <si>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</si>
  <si>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</si>
  <si>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</si>
  <si>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</si>
  <si>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</si>
  <si>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</si>
  <si>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</si>
  <si>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</si>
  <si>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</si>
  <si>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</si>
  <si>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</si>
  <si>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</si>
  <si>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</si>
  <si>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</si>
  <si>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</si>
  <si>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</si>
  <si>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</si>
  <si>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</si>
  <si>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</si>
  <si>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</si>
  <si>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</si>
  <si>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</si>
  <si>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</si>
  <si>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</si>
  <si>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</si>
  <si>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</si>
  <si>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</si>
  <si>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</si>
  <si>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</si>
  <si>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</si>
  <si>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</si>
  <si>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</si>
  <si>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</si>
  <si>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</si>
  <si>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</si>
  <si>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</si>
  <si>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</si>
  <si>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</si>
  <si>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</si>
  <si>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</si>
  <si>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</si>
  <si>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</si>
  <si>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</si>
  <si>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</si>
  <si>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</si>
  <si>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</si>
  <si>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</si>
  <si>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</si>
  <si>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</si>
  <si>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</si>
  <si>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</si>
  <si>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</si>
  <si>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</si>
  <si>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</si>
  <si>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</si>
  <si>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</si>
  <si>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</si>
  <si>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</si>
  <si>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</si>
  <si>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</si>
  <si>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</si>
  <si>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</si>
  <si>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</si>
  <si>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</si>
  <si>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</si>
  <si>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</si>
  <si>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</si>
  <si>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</si>
  <si>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</si>
  <si>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</si>
  <si>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</si>
  <si>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</si>
  <si>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</si>
  <si>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</si>
  <si>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</si>
  <si>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</si>
  <si>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</si>
  <si>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</si>
  <si>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</si>
  <si>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</si>
  <si>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</si>
  <si>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</si>
  <si>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</si>
  <si>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</si>
  <si>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</si>
  <si>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</si>
  <si>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</si>
  <si>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</si>
  <si>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</si>
  <si>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</si>
  <si>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</si>
  <si>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</si>
  <si>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</si>
  <si>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</si>
  <si>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</si>
  <si>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</si>
  <si>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</si>
  <si>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</si>
  <si>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</si>
  <si>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</si>
  <si>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</si>
  <si>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</si>
  <si>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</si>
  <si>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</si>
  <si>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</si>
  <si>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</si>
  <si>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</si>
  <si>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</si>
  <si>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</si>
  <si>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</si>
  <si>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</si>
  <si>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</si>
  <si>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</si>
  <si>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</si>
  <si>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</si>
  <si>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</si>
  <si>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</si>
  <si>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</si>
  <si>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</si>
  <si>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</si>
  <si>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</si>
  <si>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</si>
  <si>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</si>
  <si>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</si>
  <si>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</si>
  <si>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</si>
  <si>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</si>
  <si>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</si>
  <si>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</si>
  <si>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</si>
  <si>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</si>
  <si>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</si>
  <si>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</si>
  <si>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</si>
  <si>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</si>
  <si>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</si>
  <si>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</si>
  <si>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</si>
  <si>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</si>
  <si>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</si>
  <si>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</si>
  <si>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</si>
  <si>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</si>
  <si>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</si>
  <si>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</si>
  <si>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</si>
  <si>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</si>
  <si>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</si>
  <si>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</si>
  <si>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</si>
  <si>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</si>
  <si>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</si>
  <si>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</si>
  <si>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</si>
  <si>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</si>
  <si>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</si>
  <si>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</si>
  <si>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</si>
  <si>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</si>
  <si>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</si>
  <si>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</si>
  <si>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</si>
  <si>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</si>
  <si>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</si>
  <si>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</si>
  <si>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</si>
  <si>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</si>
  <si>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</si>
  <si>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</si>
  <si>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</si>
  <si>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</si>
  <si>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</si>
  <si>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</si>
  <si>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</si>
  <si>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</si>
  <si>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</si>
  <si>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</si>
  <si>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</si>
  <si>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</si>
  <si>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</si>
  <si>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</si>
  <si>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</si>
  <si>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</si>
  <si>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</si>
  <si>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</si>
  <si>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</si>
  <si>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</si>
  <si>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</si>
  <si>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</si>
  <si>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</si>
  <si>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</si>
  <si>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</si>
  <si>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</si>
  <si>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</si>
  <si>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</si>
  <si>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</si>
  <si>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</si>
  <si>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</si>
  <si>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</si>
  <si>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</si>
  <si>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</si>
  <si>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</si>
  <si>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</si>
  <si>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</si>
  <si>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</si>
  <si>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</si>
  <si>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</si>
  <si>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</si>
  <si>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</si>
  <si>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</si>
  <si>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</si>
  <si>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</si>
  <si>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</si>
  <si>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</si>
  <si>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</si>
  <si>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</si>
  <si>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</si>
  <si>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</si>
  <si>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</si>
  <si>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</si>
  <si>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</si>
  <si>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</si>
  <si>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</si>
  <si>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</si>
  <si>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</si>
  <si>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</si>
  <si>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</si>
  <si>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</si>
  <si>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</si>
  <si>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</si>
  <si>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</si>
  <si>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</si>
  <si>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</si>
  <si>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</si>
  <si>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</si>
  <si>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</si>
  <si>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</si>
  <si>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</si>
  <si>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</si>
  <si>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</si>
  <si>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</si>
  <si>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</si>
  <si>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</si>
  <si>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</si>
  <si>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</si>
  <si>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</si>
  <si>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</si>
  <si>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</si>
  <si>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</si>
  <si>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</si>
  <si>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</si>
  <si>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</si>
  <si>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</si>
  <si>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</si>
  <si>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</si>
  <si>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</si>
  <si>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</si>
  <si>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</si>
  <si>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</si>
  <si>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</si>
  <si>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</si>
  <si>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</si>
  <si>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</si>
  <si>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</si>
  <si>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</si>
  <si>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</si>
  <si>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</si>
  <si>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</si>
  <si>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</si>
  <si>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</si>
  <si>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</si>
  <si>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</si>
  <si>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</si>
  <si>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</si>
  <si>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</si>
  <si>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</si>
  <si>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</si>
  <si>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</si>
  <si>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</si>
  <si>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</si>
  <si>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</si>
  <si>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</si>
  <si>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</si>
  <si>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</si>
  <si>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</si>
  <si>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</si>
  <si>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</si>
  <si>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</si>
  <si>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</si>
  <si>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</si>
  <si>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</si>
  <si>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</si>
  <si>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</si>
  <si>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</si>
  <si>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</si>
  <si>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</si>
  <si>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</si>
  <si>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</si>
  <si>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</si>
  <si>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</si>
  <si>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</si>
  <si>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</si>
  <si>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</si>
  <si>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</si>
  <si>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</si>
  <si>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</si>
  <si>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</si>
  <si>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</si>
  <si>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</si>
  <si>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</si>
  <si>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</si>
  <si>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</si>
  <si>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</si>
  <si>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</si>
  <si>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</si>
  <si>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</si>
  <si>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</si>
  <si>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</si>
  <si>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</si>
  <si>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</si>
  <si>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</si>
  <si>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</si>
  <si>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</si>
  <si>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</si>
  <si>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</si>
  <si>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</si>
  <si>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</si>
  <si>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</si>
  <si>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</si>
  <si>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</si>
  <si>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</si>
  <si>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</si>
  <si>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</si>
  <si>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</si>
  <si>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</si>
  <si>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</si>
  <si>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</si>
  <si>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</si>
  <si>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</si>
  <si>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</si>
  <si>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</si>
  <si>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</si>
  <si>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</si>
  <si>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</si>
  <si>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</si>
  <si>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</si>
  <si>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</si>
  <si>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</si>
  <si>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</si>
  <si>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</si>
  <si>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</si>
  <si>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</si>
  <si>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</si>
  <si>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</si>
  <si>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</si>
  <si>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</si>
  <si>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</si>
  <si>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</si>
  <si>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</si>
  <si>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</si>
  <si>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</si>
  <si>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</si>
  <si>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</si>
  <si>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</si>
  <si>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</si>
  <si>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</si>
  <si>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</si>
  <si>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</si>
  <si>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</si>
  <si>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</si>
  <si>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</si>
  <si>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</si>
  <si>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</si>
  <si>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</si>
  <si>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</si>
  <si>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</si>
  <si>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</si>
  <si>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</si>
  <si>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</si>
  <si>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</si>
  <si>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</si>
  <si>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</si>
  <si>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</si>
  <si>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</si>
  <si>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</si>
  <si>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</si>
  <si>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</si>
  <si>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</si>
  <si>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</si>
  <si>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</si>
  <si>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</si>
  <si>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</si>
  <si>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</si>
  <si>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</si>
  <si>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</si>
  <si>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</si>
  <si>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</si>
  <si>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</si>
  <si>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</si>
  <si>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</si>
  <si>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</si>
  <si>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</si>
  <si>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</si>
  <si>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</si>
  <si>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</si>
  <si>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</si>
  <si>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</si>
  <si>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</si>
  <si>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</si>
  <si>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</si>
  <si>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</si>
  <si>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</si>
  <si>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</si>
  <si>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</si>
  <si>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</si>
  <si>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</si>
  <si>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</si>
  <si>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</si>
  <si>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</si>
  <si>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</si>
  <si>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</si>
  <si>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</si>
  <si>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</si>
  <si>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</si>
  <si>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</si>
  <si>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</si>
  <si>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</si>
  <si>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</si>
  <si>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</si>
  <si>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</si>
  <si>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</si>
  <si>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</si>
  <si>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</si>
  <si>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</si>
  <si>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</si>
  <si>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</si>
  <si>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</si>
  <si>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</si>
  <si>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</si>
  <si>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</si>
  <si>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</si>
  <si>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</si>
  <si>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</si>
  <si>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</si>
  <si>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</si>
  <si>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</si>
  <si>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</si>
  <si>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</si>
  <si>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</si>
  <si>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</si>
  <si>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</si>
  <si>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</si>
  <si>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</si>
  <si>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</si>
  <si>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</si>
  <si>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</si>
  <si>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</si>
  <si>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</si>
  <si>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</si>
  <si>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</si>
  <si>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</si>
  <si>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</si>
  <si>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</si>
  <si>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</si>
  <si>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</si>
  <si>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</si>
  <si>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</si>
  <si>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</si>
  <si>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</si>
  <si>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</si>
  <si>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</si>
  <si>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</si>
  <si>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</si>
  <si>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</si>
  <si>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</si>
  <si>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</si>
  <si>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</si>
  <si>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</si>
  <si>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</si>
  <si>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</si>
  <si>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</si>
  <si>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</si>
  <si>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</si>
  <si>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</si>
  <si>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</si>
  <si>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</si>
  <si>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</si>
  <si>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</si>
  <si>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</si>
  <si>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</si>
  <si>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</si>
  <si>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</si>
  <si>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</si>
  <si>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</si>
  <si>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</si>
  <si>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</si>
  <si>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</si>
  <si>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</si>
  <si>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</si>
  <si>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</si>
  <si>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</si>
  <si>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</si>
  <si>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</si>
  <si>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</si>
  <si>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</si>
  <si>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</si>
  <si>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</si>
  <si>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</si>
  <si>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</si>
  <si>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</si>
  <si>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</si>
  <si>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</si>
  <si>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</si>
  <si>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</si>
  <si>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</si>
  <si>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</si>
  <si>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</si>
  <si>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</si>
  <si>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</si>
  <si>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</si>
  <si>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</si>
  <si>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</si>
  <si>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</si>
  <si>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</si>
  <si>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</si>
  <si>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</si>
  <si>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</si>
  <si>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</si>
  <si>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</si>
  <si>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</si>
  <si>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</si>
  <si>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</si>
  <si>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</si>
  <si>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</si>
  <si>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</si>
  <si>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</si>
  <si>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</si>
  <si>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</si>
  <si>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</si>
  <si>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</si>
  <si>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</si>
  <si>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</si>
  <si>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</si>
  <si>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</si>
  <si>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</si>
  <si>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</si>
  <si>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</si>
  <si>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</si>
  <si>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</si>
  <si>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</si>
  <si>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</si>
  <si>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</si>
  <si>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</si>
  <si>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</si>
  <si>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</si>
  <si>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</si>
  <si>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</si>
  <si>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</si>
  <si>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</si>
  <si>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</si>
  <si>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</si>
  <si>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</si>
  <si>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</si>
  <si>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</si>
  <si>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</si>
  <si>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</si>
  <si>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</si>
  <si>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</si>
  <si>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</si>
  <si>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</si>
  <si>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</si>
  <si>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</si>
  <si>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</si>
  <si>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</si>
  <si>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</si>
  <si>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</si>
  <si>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</si>
  <si>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</si>
  <si>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</si>
  <si>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</si>
  <si>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</si>
  <si>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</si>
  <si>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</si>
  <si>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</si>
  <si>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</si>
  <si>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</si>
  <si>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</si>
  <si>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</si>
  <si>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</si>
  <si>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</si>
  <si>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</si>
  <si>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</si>
  <si>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</si>
  <si>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</si>
  <si>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</si>
  <si>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</si>
  <si>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</si>
  <si>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</si>
  <si>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</si>
  <si>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</si>
  <si>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</si>
  <si>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</si>
  <si>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</si>
  <si>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</si>
  <si>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</si>
  <si>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</si>
  <si>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</si>
  <si>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</si>
  <si>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</si>
  <si>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</si>
  <si>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</si>
  <si>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</si>
  <si>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</si>
  <si>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</si>
  <si>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</si>
  <si>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</si>
  <si>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</si>
  <si>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</si>
  <si>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</si>
  <si>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</si>
  <si>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</si>
  <si>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</si>
  <si>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</si>
  <si>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</si>
  <si>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</si>
  <si>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</si>
  <si>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</si>
  <si>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</si>
  <si>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</si>
  <si>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</si>
  <si>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</si>
  <si>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</si>
  <si>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</si>
  <si>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</si>
  <si>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</si>
  <si>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</si>
  <si>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</si>
  <si>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</si>
  <si>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</si>
  <si>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</si>
  <si>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</si>
  <si>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</si>
  <si>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</si>
  <si>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</si>
  <si>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</si>
  <si>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</si>
  <si>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</si>
  <si>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</si>
  <si>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</si>
  <si>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</si>
  <si>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</si>
  <si>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</si>
  <si>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</si>
  <si>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</si>
  <si>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</si>
  <si>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</si>
  <si>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</si>
  <si>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</si>
  <si>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</si>
  <si>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</si>
  <si>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</si>
  <si>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</si>
  <si>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</si>
  <si>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</si>
  <si>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</si>
  <si>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</si>
  <si>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</si>
  <si>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</si>
  <si>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</si>
  <si>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</si>
  <si>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</si>
  <si>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</si>
  <si>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</si>
  <si>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</si>
  <si>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</si>
  <si>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</si>
  <si>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</si>
  <si>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</si>
  <si>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</si>
  <si>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</si>
  <si>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</si>
  <si>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</si>
  <si>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</si>
  <si>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</si>
  <si>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</si>
  <si>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</si>
  <si>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</si>
  <si>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</si>
  <si>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</si>
  <si>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</si>
  <si>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</si>
  <si>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</si>
  <si>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</si>
  <si>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</si>
  <si>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</si>
  <si>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</si>
  <si>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</si>
  <si>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</si>
  <si>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</si>
  <si>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</si>
  <si>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</si>
  <si>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</si>
  <si>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</si>
  <si>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</si>
  <si>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</si>
  <si>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</si>
  <si>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</si>
  <si>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</si>
  <si>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</si>
  <si>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Roimar Xeresa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</si>
</sst>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4" borderId="0" xfId="0" applyFill="1"/>
    <xf numFmtId="0" fontId="15" fillId="0" borderId="0" xfId="0" applyFon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2" zoomScaleNormal="100" workbookViewId="0">
      <selection activeCell="H22" sqref="H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20250096</v>
      </c>
      <c r="G7" s="8">
        <f ca="1">TODAY()</f>
        <v>45782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s="87" t="s">
        <v>14</v>
      </c>
      <c r="B13" s="16" t="s">
        <v>422</v>
      </c>
      <c r="C13" s="79" t="str">
        <f>IFERROR(VLOOKUP($B13,Tarifa_all_20240711!$A$2:$G$660,2,FALSE()),"-")</f>
        <v>CASC.TRIPLE GUIA DESM.LAC.BLANCO MATE 9003-4 MTS</v>
      </c>
      <c r="D13" s="79"/>
      <c r="E13" s="17">
        <v>1</v>
      </c>
      <c r="F13" s="18">
        <f>IFERROR(VLOOKUP($B13,Tarifa_all_20240711!$A$2:$G$660,5,FALSE()),"-")</f>
        <v>263.92499999999995</v>
      </c>
      <c r="G13" s="18">
        <f t="shared" ref="G13:G30" si="0">IFERROR(E13*F13,"-")</f>
        <v>263.92499999999995</v>
      </c>
      <c r="H13" s="1">
        <v>1</v>
      </c>
    </row>
    <row r="14" spans="1:12" x14ac:dyDescent="0.25">
      <c r="A14" s="87" t="s">
        <v>15</v>
      </c>
      <c r="B14" s="16" t="s">
        <v>277</v>
      </c>
      <c r="C14" s="79" t="str">
        <f>IFERROR(VLOOKUP($B14,Tarifa_all_20240711!$A$2:$G$660,2,FALSE()),"-")</f>
        <v>GUIA SKY PLUS DESMONT.LAC.BLANCO MATE 9003-4 MTS</v>
      </c>
      <c r="D14" s="79"/>
      <c r="E14" s="17">
        <v>3</v>
      </c>
      <c r="F14" s="18">
        <f>IFERROR(VLOOKUP($B14,Tarifa_all_20240711!$A$2:$G$660,5,FALSE()),"-")</f>
        <v>87.105000000000004</v>
      </c>
      <c r="G14" s="18">
        <f t="shared" si="0"/>
        <v>261.315</v>
      </c>
      <c r="H14" s="1">
        <v>3</v>
      </c>
    </row>
    <row r="15" spans="1:12" x14ac:dyDescent="0.25">
      <c r="A15" s="87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>
        <v>9</v>
      </c>
    </row>
    <row r="16" spans="1:12" x14ac:dyDescent="0.25">
      <c r="A16" s="87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>
        <v>3</v>
      </c>
    </row>
    <row r="17" spans="1:8" x14ac:dyDescent="0.25">
      <c r="A17" s="8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>
        <v>3</v>
      </c>
    </row>
    <row r="18" spans="1:8" x14ac:dyDescent="0.25">
      <c r="A18" s="87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1">
        <v>3</v>
      </c>
    </row>
    <row r="19" spans="1:8" x14ac:dyDescent="0.25">
      <c r="A19" s="87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3</v>
      </c>
      <c r="F19" s="18">
        <f>IFERROR(VLOOKUP($B19,Tarifa_all_20240711!$A$2:$G$660,5,FALSE()),"-")</f>
        <v>59.122500000000002</v>
      </c>
      <c r="G19" s="18">
        <f t="shared" si="0"/>
        <v>177.36750000000001</v>
      </c>
      <c r="H19" s="88">
        <v>2</v>
      </c>
    </row>
    <row r="20" spans="1:8" x14ac:dyDescent="0.25">
      <c r="A20" s="87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>
        <v>3</v>
      </c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A22" s="87"/>
      <c r="B22" s="16" t="s">
        <v>330</v>
      </c>
      <c r="C22" s="79" t="str">
        <f>IFERROR(VLOOKUP($B22,Tarifa_all_20240711!$A$2:$G$660,2,FALSE()),"-")</f>
        <v>ARRASTRE PUERTA PA IZQ LAC.BLANCO MATE 9003</v>
      </c>
      <c r="D22" s="79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>
        <v>2</v>
      </c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1650.4650000000001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Melchor Mañó</v>
      </c>
      <c r="C9" s="86"/>
      <c r="D9" s="86"/>
      <c r="F9" s="3" t="s">
        <v>81</v>
      </c>
      <c r="G9" s="44">
        <f ca="1">TODAY()</f>
        <v>45782</v>
      </c>
    </row>
    <row r="10" spans="1:7" x14ac:dyDescent="0.25">
      <c r="A10" s="3" t="s">
        <v>82</v>
      </c>
      <c r="B10" s="11" t="str">
        <f>'DESPIECE (MATANALYSIS)'!C9</f>
        <v>Roimar Xeresa</v>
      </c>
      <c r="C10" s="45"/>
      <c r="D10" s="45"/>
      <c r="E10" s="46"/>
      <c r="F10" s="47" t="s">
        <v>83</v>
      </c>
      <c r="G10" s="7">
        <f>'DESPIECE (MATANALYSIS)'!C7</f>
        <v>20250096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1650.4650000000001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2025-05-05T06:59:39Z</dcterms:modified>
  <dc:language>es-ES</dc:language>
</cp:coreProperties>
</file>