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15\calculos\1\"/>
    </mc:Choice>
  </mc:AlternateContent>
  <xr:revisionPtr revIDLastSave="0" documentId="13_ncr:1_{54C1D187-AB12-4E39-BA22-017BC03BA975}" xr6:coauthVersionLast="47" xr6:coauthVersionMax="47" xr10:uidLastSave="{00000000-0000-0000-0000-000000000000}"/>
  <bookViews>
    <workbookView xWindow="-19935" yWindow="480" windowWidth="19140" windowHeight="1390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<sst xmlns="http://schemas.openxmlformats.org/spreadsheetml/2006/main" count="5407" uniqueCount="1453">
  <si>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</si>
  <si>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</si>
  <si>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</si>
  <si>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</si>
  <si>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</si>
  <si>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</si>
  <si>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</si>
  <si>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</si>
  <si>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</si>
  <si>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</si>
  <si>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</si>
  <si>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</si>
  <si>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</si>
  <si>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</si>
  <si>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</si>
  <si>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</si>
  <si>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</si>
  <si>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</si>
  <si>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</si>
  <si>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</si>
  <si>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</si>
  <si>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</si>
  <si>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</si>
  <si>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</si>
  <si>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</si>
  <si>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</si>
  <si>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</si>
  <si>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</si>
  <si>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</si>
  <si>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</si>
  <si>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</si>
  <si>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</si>
  <si>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</si>
  <si>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</si>
  <si>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</si>
  <si>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</si>
  <si>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</si>
  <si>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</si>
  <si>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</si>
  <si>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</si>
  <si>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</si>
  <si>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</si>
  <si>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</si>
  <si>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</si>
  <si>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</si>
  <si>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</si>
  <si>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</si>
  <si>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</si>
  <si>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</si>
  <si>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</si>
  <si>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</si>
  <si>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</si>
  <si>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</si>
  <si>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</si>
  <si>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</si>
  <si>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</si>
  <si>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</si>
  <si>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</si>
  <si>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</si>
  <si>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</si>
  <si>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</si>
  <si>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</si>
  <si>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</si>
  <si>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</si>
  <si>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</si>
  <si>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</si>
  <si>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</si>
  <si>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</si>
  <si>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</si>
  <si>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</si>
  <si>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</si>
  <si>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</si>
  <si>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</si>
  <si>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</si>
  <si>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</si>
  <si>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</si>
  <si>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</si>
  <si>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</si>
  <si>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</si>
  <si>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</si>
  <si>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</si>
  <si>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</si>
  <si>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</si>
  <si>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</si>
  <si>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</si>
  <si>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</si>
  <si>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</si>
  <si>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</si>
  <si>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</si>
  <si>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</si>
  <si>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</si>
  <si>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</si>
  <si>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</si>
  <si>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</si>
  <si>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</si>
  <si>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</si>
  <si>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</si>
  <si>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</si>
  <si>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</si>
  <si>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</si>
  <si>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</si>
  <si>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</si>
  <si>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</si>
  <si>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</si>
  <si>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</si>
  <si>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</si>
  <si>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</si>
  <si>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</si>
  <si>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</si>
  <si>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</si>
  <si>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</si>
  <si>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</si>
  <si>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</si>
  <si>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</si>
  <si>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</si>
  <si>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</si>
  <si>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</si>
  <si>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</si>
  <si>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</si>
  <si>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</si>
  <si>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</si>
  <si>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</si>
  <si>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</si>
  <si>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</si>
  <si>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</si>
  <si>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</si>
  <si>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</si>
  <si>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</si>
  <si>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</si>
  <si>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</si>
  <si>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</si>
  <si>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</si>
  <si>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</si>
  <si>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</si>
  <si>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</si>
  <si>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</si>
  <si>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</si>
  <si>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</si>
  <si>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</si>
  <si>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</si>
  <si>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</si>
  <si>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</si>
  <si>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</si>
  <si>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</si>
  <si>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</si>
  <si>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</si>
  <si>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</si>
  <si>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</si>
  <si>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</si>
  <si>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</si>
  <si>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</si>
  <si>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</si>
  <si>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</si>
  <si>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</si>
  <si>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</si>
  <si>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</si>
  <si>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</si>
  <si>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</si>
  <si>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</si>
  <si>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</si>
  <si>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</si>
  <si>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</si>
  <si>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</si>
  <si>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</si>
  <si>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</si>
  <si>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</si>
  <si>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</si>
  <si>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</si>
  <si>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</si>
  <si>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</si>
  <si>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</si>
  <si>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</si>
  <si>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</si>
  <si>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</si>
  <si>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</si>
  <si>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</si>
  <si>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</si>
  <si>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</si>
  <si>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</si>
  <si>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</si>
  <si>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</si>
  <si>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</si>
  <si>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</si>
  <si>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</si>
  <si>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</si>
  <si>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</si>
  <si>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</si>
  <si>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</si>
  <si>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</si>
  <si>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</si>
  <si>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</si>
  <si>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</si>
  <si>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</si>
  <si>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</si>
  <si>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</si>
  <si>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</si>
  <si>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</si>
  <si>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</si>
  <si>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</si>
  <si>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</si>
  <si>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</si>
  <si>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</si>
  <si>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</si>
  <si>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</si>
  <si>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</si>
  <si>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</si>
  <si>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</si>
  <si>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</si>
  <si>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</si>
  <si>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</si>
  <si>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</si>
  <si>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</si>
  <si>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</si>
  <si>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</si>
  <si>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</si>
  <si>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</si>
  <si>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</si>
  <si>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</si>
  <si>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</si>
  <si>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</si>
  <si>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</si>
  <si>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</si>
  <si>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</si>
  <si>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</si>
  <si>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</si>
  <si>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</si>
  <si>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</si>
  <si>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</si>
  <si>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</si>
  <si>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</si>
  <si>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</si>
  <si>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</si>
  <si>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</si>
  <si>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</si>
  <si>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</si>
  <si>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</si>
  <si>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</si>
  <si>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</si>
  <si>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</si>
  <si>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</si>
  <si>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</si>
  <si>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</si>
  <si>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</si>
  <si>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</si>
  <si>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</si>
  <si>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</si>
  <si>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</si>
  <si>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</si>
  <si>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</si>
  <si>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</si>
  <si>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</si>
  <si>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</si>
  <si>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</si>
  <si>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</si>
  <si>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</si>
  <si>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</si>
  <si>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</si>
  <si>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</si>
  <si>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</si>
  <si>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</si>
  <si>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</si>
  <si>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</si>
  <si>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</si>
  <si>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</si>
  <si>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</si>
  <si>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</si>
  <si>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</si>
  <si>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</si>
  <si>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</si>
  <si>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</si>
  <si>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</si>
  <si>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</si>
  <si>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</si>
  <si>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</si>
  <si>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</si>
  <si>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</si>
  <si>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</si>
  <si>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</si>
  <si>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</si>
  <si>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</si>
  <si>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</si>
  <si>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</si>
  <si>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</si>
  <si>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</si>
  <si>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</si>
  <si>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</si>
  <si>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</si>
  <si>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</si>
  <si>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</si>
  <si>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</si>
  <si>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</si>
  <si>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</si>
  <si>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</si>
  <si>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</si>
  <si>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</si>
  <si>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</si>
  <si>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</si>
  <si>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</si>
  <si>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</si>
  <si>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</si>
  <si>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</si>
  <si>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</si>
  <si>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</si>
  <si>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</si>
  <si>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</si>
  <si>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</si>
  <si>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</si>
  <si>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</si>
  <si>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</si>
  <si>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</si>
  <si>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</si>
  <si>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</si>
  <si>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</si>
  <si>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</si>
  <si>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</si>
  <si>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</si>
  <si>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</si>
  <si>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</si>
  <si>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</si>
  <si>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</si>
  <si>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</si>
  <si>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</si>
  <si>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</si>
  <si>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</si>
  <si>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</si>
  <si>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</si>
  <si>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</si>
  <si>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</si>
  <si>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</si>
  <si>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</si>
  <si>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</si>
  <si>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</si>
  <si>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</si>
  <si>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</si>
  <si>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</si>
  <si>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</si>
  <si>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</si>
  <si>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</si>
  <si>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</si>
  <si>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</si>
  <si>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</si>
  <si>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</si>
  <si>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</si>
  <si>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</si>
  <si>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</si>
  <si>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</si>
  <si>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</si>
  <si>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</si>
  <si>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</si>
  <si>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</si>
  <si>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</si>
  <si>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</si>
  <si>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</si>
  <si>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</si>
  <si>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</si>
  <si>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</si>
  <si>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</si>
  <si>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</si>
  <si>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</si>
  <si>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</si>
  <si>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</si>
  <si>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</si>
  <si>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</si>
  <si>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</si>
  <si>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</si>
  <si>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</si>
  <si>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</si>
  <si>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</si>
  <si>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</si>
  <si>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</si>
  <si>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</si>
  <si>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</si>
  <si>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</si>
  <si>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</si>
  <si>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</si>
  <si>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</si>
  <si>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</si>
  <si>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</si>
  <si>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</si>
  <si>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</si>
  <si>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</si>
  <si>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</si>
  <si>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</si>
  <si>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</si>
  <si>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</si>
  <si>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</si>
  <si>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</si>
  <si>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</si>
  <si>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</si>
  <si>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</si>
  <si>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</si>
  <si>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</si>
  <si>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</si>
  <si>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</si>
  <si>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</si>
  <si>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</si>
  <si>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</si>
  <si>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</si>
  <si>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</si>
  <si>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</si>
  <si>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</si>
  <si>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</si>
  <si>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</si>
  <si>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</si>
  <si>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</si>
  <si>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</si>
  <si>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</si>
  <si>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</si>
  <si>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</si>
  <si>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</si>
  <si>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</si>
  <si>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</si>
  <si>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</si>
  <si>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</si>
  <si>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</si>
  <si>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</si>
  <si>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</si>
  <si>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</si>
  <si>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</si>
  <si>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</si>
  <si>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</si>
  <si>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</si>
  <si>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</si>
  <si>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</si>
  <si>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</si>
  <si>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</si>
  <si>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</si>
  <si>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</si>
  <si>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</si>
  <si>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</si>
  <si>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</si>
  <si>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</si>
  <si>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</si>
  <si>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</si>
  <si>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</si>
  <si>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</si>
  <si>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</si>
  <si>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</si>
  <si>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</si>
  <si>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</si>
  <si>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</si>
  <si>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</si>
  <si>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</si>
  <si>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</si>
  <si>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</si>
  <si>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</si>
  <si>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</si>
  <si>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</si>
  <si>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</si>
  <si>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</si>
  <si>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</si>
  <si>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</si>
  <si>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</si>
  <si>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</si>
  <si>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</si>
  <si>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</si>
  <si>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</si>
  <si>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</si>
  <si>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</si>
  <si>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</si>
  <si>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</si>
  <si>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</si>
  <si>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</si>
  <si>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</si>
  <si>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</si>
  <si>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</si>
  <si>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</si>
  <si>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</si>
  <si>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</si>
  <si>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</si>
  <si>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</si>
  <si>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</si>
  <si>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</si>
  <si>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</si>
  <si>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</si>
  <si>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</si>
  <si>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</si>
  <si>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</si>
  <si>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</si>
  <si>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</si>
  <si>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</si>
  <si>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</si>
  <si>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</si>
  <si>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</si>
  <si>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</si>
  <si>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</si>
  <si>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</si>
  <si>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</si>
  <si>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</si>
  <si>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</si>
  <si>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</si>
  <si>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</si>
  <si>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</si>
  <si>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</si>
  <si>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</si>
  <si>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</si>
  <si>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</si>
  <si>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</si>
  <si>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</si>
  <si>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</si>
  <si>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</si>
  <si>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</si>
  <si>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</si>
  <si>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</si>
  <si>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</si>
  <si>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</si>
  <si>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</si>
  <si>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</si>
  <si>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</si>
  <si>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</si>
  <si>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</si>
  <si>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</si>
  <si>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</si>
  <si>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</si>
  <si>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</si>
  <si>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</si>
  <si>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</si>
  <si>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</si>
  <si>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</si>
  <si>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</si>
  <si>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</si>
  <si>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</si>
  <si>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</si>
  <si>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</si>
  <si>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</si>
  <si>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</si>
  <si>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</si>
  <si>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</si>
  <si>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</si>
  <si>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</si>
  <si>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</si>
  <si>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</si>
  <si>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</si>
  <si>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</si>
  <si>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</si>
  <si>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</si>
  <si>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</si>
  <si>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</si>
  <si>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</si>
  <si>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</si>
  <si>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</si>
  <si>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</si>
  <si>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</si>
  <si>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</si>
  <si>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</si>
  <si>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</si>
  <si>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</si>
  <si>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</si>
  <si>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</si>
  <si>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</si>
  <si>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</si>
  <si>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</si>
  <si>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</si>
  <si>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</si>
  <si>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</si>
  <si>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</si>
  <si>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</si>
  <si>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</si>
  <si>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</si>
  <si>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</si>
  <si>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</si>
  <si>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</si>
  <si>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</si>
  <si>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</si>
  <si>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</si>
  <si>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</si>
  <si>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</si>
  <si>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</si>
  <si>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</si>
  <si>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</si>
  <si>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</si>
  <si>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</si>
  <si>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</si>
  <si>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</si>
  <si>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</si>
  <si>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</si>
  <si>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</si>
  <si>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</si>
  <si>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</si>
  <si>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</si>
  <si>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</si>
  <si>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</si>
  <si>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</si>
  <si>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</si>
  <si>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</si>
  <si>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</si>
  <si>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</si>
  <si>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</si>
  <si>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</si>
  <si>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</si>
  <si>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</si>
  <si>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</si>
  <si>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</si>
  <si>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</si>
  <si>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</si>
  <si>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</si>
  <si>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</si>
  <si>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</si>
  <si>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</si>
  <si>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</si>
  <si>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</si>
  <si>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</si>
  <si>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</si>
  <si>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</si>
  <si>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</si>
  <si>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</si>
  <si>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</si>
  <si>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</si>
  <si>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</si>
  <si>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</si>
  <si>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</si>
  <si>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</si>
  <si>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</si>
  <si>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</si>
  <si>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</si>
  <si>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</si>
  <si>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</si>
  <si>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</si>
  <si>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</si>
  <si>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</si>
  <si>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</si>
  <si>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</si>
  <si>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</si>
  <si>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</si>
  <si>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</si>
  <si>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</si>
  <si>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</si>
  <si>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</si>
  <si>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</si>
  <si>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</si>
  <si>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</si>
  <si>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</si>
  <si>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</si>
  <si>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</si>
  <si>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</si>
  <si>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</si>
  <si>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</si>
  <si>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</si>
  <si>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</si>
  <si>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</si>
  <si>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</si>
  <si>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</si>
  <si>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</si>
  <si>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</si>
  <si>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</si>
  <si>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</si>
  <si>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</si>
  <si>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</si>
  <si>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</si>
  <si>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</si>
  <si>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</si>
  <si>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</si>
  <si>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</si>
  <si>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</si>
  <si>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</si>
  <si>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</si>
  <si>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</si>
  <si>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</si>
  <si>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</si>
  <si>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</si>
  <si>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</si>
  <si>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</si>
  <si>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</si>
  <si>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</si>
  <si>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</si>
  <si>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</si>
  <si>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</si>
  <si>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</si>
  <si>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</si>
  <si>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</si>
  <si>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</si>
  <si>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</si>
  <si>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</si>
  <si>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</si>
  <si>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</si>
  <si>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</si>
  <si>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</si>
  <si>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</si>
  <si>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</si>
  <si>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</si>
  <si>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</si>
  <si>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</si>
  <si>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</si>
  <si>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</si>
  <si>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</si>
  <si>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</si>
  <si>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</si>
  <si>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</si>
  <si>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</si>
  <si>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</si>
  <si>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</si>
  <si>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</si>
  <si>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</si>
  <si>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</si>
  <si>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</si>
  <si>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</si>
  <si>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</si>
  <si>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</si>
  <si>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</si>
  <si>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</si>
  <si>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</si>
  <si>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</si>
  <si>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</si>
  <si>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</si>
  <si>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</si>
  <si>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</si>
  <si>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</si>
  <si>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</si>
  <si>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</si>
  <si>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</si>
  <si>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</si>
  <si>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</si>
  <si>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</si>
  <si>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</si>
  <si>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</si>
  <si>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</si>
  <si>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</si>
  <si>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</si>
  <si>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</si>
  <si>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</si>
  <si>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</si>
  <si>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</si>
  <si>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</si>
  <si>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</si>
  <si>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</si>
  <si>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</si>
  <si>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</si>
  <si>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</si>
  <si>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</si>
  <si>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</si>
  <si>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</si>
  <si>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</si>
  <si>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</si>
  <si>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</si>
  <si>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</si>
  <si>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</si>
  <si>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</si>
  <si>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</si>
  <si>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</si>
  <si>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</si>
  <si>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</si>
  <si>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</si>
  <si>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</si>
  <si>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</si>
  <si>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</si>
  <si>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</si>
  <si>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</si>
  <si>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</si>
  <si>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</si>
  <si>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</si>
  <si>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</si>
  <si>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</si>
  <si>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</si>
  <si>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</si>
  <si>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</si>
  <si>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</si>
  <si>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</si>
  <si>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</si>
  <si>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</si>
  <si>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</si>
  <si>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</si>
  <si>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</si>
  <si>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</si>
  <si>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</si>
  <si>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</si>
  <si>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</si>
  <si>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</si>
  <si>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</si>
  <si>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</si>
  <si>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</si>
  <si>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</si>
  <si>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</si>
  <si>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</si>
  <si>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</si>
  <si>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</si>
  <si>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</si>
  <si>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</si>
  <si>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</si>
  <si>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</si>
  <si>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</si>
  <si>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</si>
  <si>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</si>
  <si>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</si>
  <si>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</si>
  <si>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</si>
  <si>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</si>
  <si>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</si>
  <si>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</si>
  <si>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</si>
  <si>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</si>
  <si>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</si>
  <si>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</si>
  <si>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</si>
  <si>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</si>
  <si>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</si>
  <si>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</si>
  <si>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</si>
  <si>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</si>
  <si>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</si>
  <si>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</si>
  <si>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</si>
  <si>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</si>
  <si>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</si>
  <si>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</si>
  <si>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</si>
  <si>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</si>
  <si>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</si>
  <si>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</si>
  <si>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</si>
  <si>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</si>
  <si>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</si>
  <si>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</si>
  <si>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</si>
  <si>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</si>
  <si>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</si>
  <si>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</si>
  <si>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</si>
  <si>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</si>
  <si>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</si>
  <si>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</si>
  <si>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</si>
  <si>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</si>
  <si>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</si>
  <si>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</si>
  <si>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</si>
  <si>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</si>
  <si>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</si>
  <si>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</si>
  <si>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</si>
  <si>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</si>
  <si>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</si>
  <si>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</si>
  <si>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</si>
  <si>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</si>
  <si>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</si>
  <si>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</si>
  <si>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</si>
  <si>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</si>
  <si>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</si>
  <si>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</si>
  <si>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</si>
  <si>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</si>
  <si>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</si>
  <si>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</si>
  <si>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</si>
  <si>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</si>
  <si>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</si>
  <si>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</si>
  <si>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</si>
  <si>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</si>
  <si>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</si>
  <si>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</si>
  <si>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</si>
  <si>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</si>
  <si>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</si>
  <si>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</si>
  <si>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</si>
  <si>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</si>
  <si>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</si>
  <si>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</si>
  <si>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</si>
  <si>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</si>
  <si>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</si>
  <si>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</si>
  <si>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</si>
  <si>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</si>
  <si>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</si>
  <si>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</si>
  <si>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</si>
  <si>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</si>
  <si>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</si>
  <si>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</si>
  <si>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</si>
  <si>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</si>
  <si>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</si>
  <si>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</si>
  <si>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</si>
  <si>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</si>
  <si>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</si>
  <si>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</si>
  <si>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</si>
  <si>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</si>
  <si>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</si>
  <si>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</si>
  <si>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</si>
  <si>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</si>
  <si>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</si>
  <si>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</si>
  <si>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</si>
  <si>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</si>
  <si>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</si>
  <si>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</si>
  <si>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</si>
  <si>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</si>
  <si>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</si>
  <si>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</si>
  <si>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</si>
  <si>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</si>
  <si>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</si>
  <si>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</si>
  <si>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</si>
  <si>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</si>
  <si>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</si>
  <si>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</si>
  <si>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</si>
  <si>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</si>
  <si>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</si>
  <si>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</si>
  <si>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</si>
  <si>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</si>
  <si>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</si>
  <si>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</si>
  <si>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</si>
  <si>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</si>
  <si>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</si>
  <si>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</si>
  <si>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</si>
  <si>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</si>
  <si>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</si>
  <si>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</si>
  <si>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</si>
  <si>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</si>
  <si>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</si>
  <si>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</si>
  <si>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</si>
  <si>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</si>
  <si>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</si>
  <si>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</si>
  <si>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</si>
  <si>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</si>
  <si>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</si>
  <si>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</si>
  <si>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</si>
  <si>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</si>
  <si>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</si>
  <si>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</si>
  <si>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</si>
  <si>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</si>
  <si>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</si>
  <si>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</si>
  <si>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</si>
  <si>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</si>
  <si>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</si>
  <si>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</si>
  <si>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</si>
  <si>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</si>
  <si>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</si>
  <si>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</si>
  <si>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</si>
  <si>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</si>
  <si>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</si>
  <si>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</si>
  <si>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</si>
  <si>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</si>
  <si>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</si>
  <si>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</si>
  <si>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</si>
  <si>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</si>
  <si>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</si>
  <si>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</si>
  <si>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</si>
  <si>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</si>
  <si>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</si>
  <si>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</si>
  <si>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</si>
  <si>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</si>
  <si>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</si>
  <si>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</si>
  <si>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</si>
  <si>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</si>
  <si>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</si>
  <si>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</si>
  <si>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</si>
  <si>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</si>
  <si>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</si>
  <si>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</si>
  <si>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</si>
  <si>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</si>
  <si>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</si>
  <si>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</si>
  <si>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</si>
  <si>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</si>
  <si>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</si>
  <si>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</si>
  <si>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</si>
  <si>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</si>
  <si>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</si>
  <si>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</si>
  <si>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</si>
  <si>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</si>
  <si>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</si>
  <si>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</si>
  <si>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</si>
  <si>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</si>
  <si>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</si>
  <si>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</si>
  <si>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</si>
  <si>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</si>
  <si>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</si>
  <si>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</si>
  <si>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</si>
  <si>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</si>
  <si>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</si>
  <si>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</si>
  <si>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</si>
  <si>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</si>
  <si>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</si>
  <si>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</si>
  <si>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</si>
  <si>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</si>
  <si>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</si>
  <si>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</si>
  <si>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</si>
  <si>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</si>
  <si>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</si>
  <si>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</si>
  <si>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</si>
  <si>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</si>
  <si>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</si>
  <si>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</si>
  <si>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</si>
  <si>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</si>
  <si>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</si>
  <si>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</si>
  <si>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</si>
  <si>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</si>
  <si>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</si>
  <si>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</si>
  <si>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</si>
  <si>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</si>
  <si>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</si>
  <si>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</si>
  <si>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</si>
  <si>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</si>
  <si>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</si>
  <si>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</si>
  <si>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</si>
  <si>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</si>
  <si>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</si>
  <si>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</si>
  <si>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</si>
  <si>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</si>
  <si>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</si>
  <si>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</si>
  <si>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</si>
  <si>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</si>
  <si>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</si>
  <si>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</si>
  <si>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</si>
  <si>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</si>
  <si>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</si>
  <si>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</si>
  <si>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</si>
  <si>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</si>
  <si>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</si>
  <si>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</si>
  <si>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</si>
  <si>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</si>
  <si>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</si>
  <si>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</si>
  <si>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</si>
  <si>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</si>
  <si>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</si>
  <si>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</si>
  <si>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</si>
  <si>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</si>
  <si>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</si>
  <si>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</si>
  <si>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</si>
  <si>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</si>
  <si>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</si>
  <si>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</si>
  <si>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</si>
  <si>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</si>
  <si>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</si>
  <si>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</si>
  <si>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</si>
  <si>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</si>
  <si>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</si>
  <si>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</si>
  <si>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</si>
  <si>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</si>
  <si>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</si>
  <si>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</si>
  <si>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</si>
  <si>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</si>
  <si>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</si>
  <si>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</si>
  <si>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</si>
  <si>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</si>
  <si>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</si>
  <si>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</si>
  <si>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</si>
  <si>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</si>
  <si>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</si>
  <si>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</si>
  <si>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</si>
  <si>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</si>
  <si>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</si>
  <si>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</si>
  <si>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</si>
  <si>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</si>
  <si>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</si>
  <si>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</si>
  <si>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</si>
  <si>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</si>
  <si>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</si>
  <si>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</si>
  <si>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</si>
  <si>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</si>
  <si>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</si>
  <si>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</si>
  <si>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</si>
  <si>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</si>
  <si>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</si>
  <si>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</si>
  <si>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</si>
  <si>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</si>
  <si>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</si>
  <si>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</si>
  <si>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</si>
  <si>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</si>
  <si>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</si>
  <si>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</si>
  <si>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</si>
  <si>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</si>
  <si>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</si>
  <si>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</si>
  <si>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</si>
  <si>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</si>
  <si>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</si>
  <si>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</si>
  <si>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</si>
  <si>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</si>
  <si>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</si>
  <si>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</si>
  <si>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</si>
  <si>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</si>
  <si>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</si>
  <si>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</si>
  <si>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</si>
  <si>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</si>
  <si>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</si>
  <si>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</si>
  <si>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</si>
  <si>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</si>
  <si>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</si>
  <si>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</si>
  <si>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</si>
  <si>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</si>
  <si>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</si>
  <si>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</si>
  <si>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</si>
  <si>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</si>
  <si>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</si>
  <si>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</si>
  <si>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</si>
  <si>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</si>
  <si>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</si>
  <si>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</si>
  <si>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</si>
  <si>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</si>
  <si>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</si>
  <si>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</si>
  <si>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</si>
  <si>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</si>
  <si>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</si>
  <si>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</si>
  <si>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</si>
  <si>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</si>
  <si>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</si>
  <si>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</si>
  <si>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</si>
  <si>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</si>
  <si>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</si>
  <si>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</si>
  <si>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</si>
  <si>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</si>
  <si>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</si>
  <si>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</si>
  <si>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</si>
  <si>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</si>
  <si>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</si>
  <si>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</si>
  <si>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</si>
  <si>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</si>
  <si>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</si>
  <si>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</si>
  <si>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</si>
  <si>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</si>
  <si>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</si>
  <si>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</si>
  <si>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</si>
  <si>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</si>
  <si>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</si>
  <si>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</si>
  <si>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</si>
  <si>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</si>
  <si>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</si>
  <si>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</si>
  <si>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</si>
  <si>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</si>
  <si>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</si>
  <si>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</si>
  <si>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</si>
  <si>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</si>
  <si>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</si>
  <si>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</si>
  <si>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</si>
  <si>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</si>
  <si>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</si>
  <si>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</si>
  <si>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</si>
  <si>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</si>
  <si>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</si>
  <si>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</si>
  <si>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</si>
  <si>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</si>
  <si>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</si>
  <si>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</si>
  <si>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</si>
  <si>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</si>
  <si>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</si>
  <si>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</si>
  <si>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</si>
  <si>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</si>
  <si>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</si>
  <si>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</si>
  <si>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</si>
  <si>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</si>
  <si>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</si>
  <si>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</si>
  <si>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</si>
  <si>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</si>
  <si>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</si>
  <si>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</si>
  <si>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</si>
  <si>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</si>
  <si>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</si>
  <si>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</si>
  <si>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</si>
  <si>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</si>
  <si>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</si>
  <si>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</si>
  <si>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</si>
  <si>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</si>
  <si>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</si>
  <si>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</si>
  <si>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</si>
  <si>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</si>
  <si>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</si>
  <si>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</si>
  <si>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</si>
  <si>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</si>
  <si>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</si>
  <si>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</si>
  <si>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</si>
  <si>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</si>
  <si>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</si>
  <si>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</si>
  <si>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</si>
  <si>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</si>
  <si>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</si>
  <si>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</si>
  <si>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</si>
  <si>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</si>
  <si>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</si>
  <si>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</si>
  <si>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</si>
  <si>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</si>
  <si>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</si>
  <si>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</si>
  <si>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</si>
  <si>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</si>
  <si>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</si>
  <si>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</si>
  <si>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</si>
  <si>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</si>
  <si>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</si>
  <si>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</si>
  <si>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</si>
  <si>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</si>
  <si>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</si>
  <si>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</si>
  <si>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</si>
  <si>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</si>
  <si>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</si>
  <si>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</si>
  <si>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</si>
  <si>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</si>
  <si>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</si>
  <si>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</si>
  <si>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</si>
  <si>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</si>
  <si>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</si>
  <si>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</si>
  <si>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</si>
  <si>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</si>
  <si>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</si>
  <si>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</si>
  <si>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</si>
  <si>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</si>
  <si>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</si>
  <si>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</si>
  <si>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</si>
  <si>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</si>
  <si>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</si>
  <si>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</si>
  <si>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</si>
  <si>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</si>
  <si>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</si>
  <si>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</si>
  <si>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</si>
  <si>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</si>
  <si>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</si>
  <si>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</si>
  <si>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</si>
  <si>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</si>
  <si>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</si>
  <si>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</si>
  <si>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</si>
  <si>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</si>
  <si>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</si>
  <si>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</si>
  <si>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</si>
  <si>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</si>
  <si>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</si>
  <si>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</si>
  <si>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</si>
  <si>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</si>
  <si>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</si>
  <si>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</si>
  <si>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</si>
  <si>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</si>
  <si>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</si>
  <si>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</si>
  <si>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</si>
  <si>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</si>
  <si>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</si>
  <si>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</si>
  <si>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</si>
  <si>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</si>
  <si>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</si>
  <si>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</si>
  <si>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</si>
  <si>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</si>
  <si>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</si>
  <si>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</si>
  <si>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</si>
  <si>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</si>
  <si>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</si>
  <si>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</si>
  <si>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</si>
  <si>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</si>
  <si>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</si>
  <si>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</si>
  <si>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</si>
  <si>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</si>
  <si>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</si>
  <si>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</si>
  <si>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</si>
  <si>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</si>
  <si>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</si>
  <si>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</si>
  <si>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</si>
  <si>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</si>
  <si>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</si>
  <si>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</si>
  <si>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</si>
  <si>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</si>
  <si>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</si>
  <si>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</si>
  <si>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</si>
  <si>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</si>
  <si>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</si>
  <si>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</si>
  <si>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</si>
  <si>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</si>
  <si>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</si>
  <si>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</si>
  <si>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</si>
  <si>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</si>
  <si>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</si>
  <si>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</si>
  <si>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</si>
  <si>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</si>
  <si>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</si>
  <si>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</si>
  <si>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</si>
  <si>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</si>
  <si>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</si>
  <si>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</si>
  <si>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</si>
  <si>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</si>
  <si>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</si>
  <si>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</si>
  <si>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</si>
  <si>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</si>
  <si>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</si>
  <si>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</si>
  <si>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</si>
  <si>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</si>
  <si>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</si>
  <si>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</si>
  <si>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</si>
  <si>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</si>
  <si>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</si>
  <si>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</si>
  <si>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</si>
  <si>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</si>
  <si>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</si>
  <si>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</si>
  <si>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</si>
  <si>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</si>
  <si>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</si>
  <si>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</si>
  <si>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</si>
  <si>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</si>
  <si>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</si>
  <si>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</si>
  <si>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</si>
  <si>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</si>
  <si>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</si>
  <si>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</si>
  <si>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</si>
  <si>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</si>
  <si>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</si>
  <si>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</si>
  <si>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</si>
  <si>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</si>
  <si>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</si>
  <si>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</si>
  <si>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</si>
  <si>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</si>
  <si>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</si>
  <si>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</si>
  <si>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</si>
  <si>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</si>
  <si>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</si>
  <si>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</si>
  <si>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</si>
  <si>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</si>
  <si>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</si>
  <si>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</si>
  <si>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</si>
  <si>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</si>
  <si>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</si>
  <si>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</si>
  <si>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</si>
  <si>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</si>
  <si>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</si>
  <si>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</si>
  <si>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Javi Alfafar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</si>
</sst>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B21" sqref="B21:G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20250115</v>
      </c>
      <c r="G7" s="8">
        <f ca="1">TODAY()</f>
        <v>45798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147</v>
      </c>
      <c r="C13" s="79" t="str">
        <f>IFERROR(VLOOKUP($B13,Tarifa_all_20240711!$A$2:$G$660,2,FALSE()),"-")</f>
        <v>GUIA SUP TECHO PLUS LAC.BLANCO MATE 9003-3 MTS</v>
      </c>
      <c r="D13" s="79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1441</v>
      </c>
      <c r="C14" s="79" t="str">
        <f>IFERROR(VLOOKUP($B14,Tarifa_all_20240711!$A$2:$G$660,2,FALSE()),"-")</f>
        <v>TAPETA LAT. GUIA TECHO BLANCO</v>
      </c>
      <c r="D14" s="79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79" t="str">
        <f>IFERROR(VLOOKUP($B15,Tarifa_all_20240711!$A$2:$G$660,2,FALSE()),"-")</f>
        <v>-</v>
      </c>
      <c r="D15" s="79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341</v>
      </c>
      <c r="C16" s="79" t="str">
        <f>IFERROR(VLOOKUP($B16,Tarifa_all_20240711!$A$2:$G$660,2,FALSE()),"-")</f>
        <v>KIT AMORTIGUADOR SKY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140</v>
      </c>
      <c r="C21" s="88" t="str">
        <f>IFERROR(VLOOKUP($B21,Tarifa_all_20240711!$A$2:$G$660,2,FALSE()),"-")</f>
        <v>PERFIL EMBELL.HORIZ. ADH LAC.BLANCO MATE 9003</v>
      </c>
      <c r="D21" s="88"/>
      <c r="E21" s="89">
        <v>6</v>
      </c>
      <c r="F21" s="90">
        <f>IFERROR(VLOOKUP($B21,Tarifa_all_20240711!$A$2:$G$660,5,FALSE()),"-")</f>
        <v>21.794999999999998</v>
      </c>
      <c r="G21" s="90">
        <f t="shared" si="0"/>
        <v>130.76999999999998</v>
      </c>
      <c r="H21" s="1"/>
    </row>
    <row r="22" spans="1:8" x14ac:dyDescent="0.25">
      <c r="B22" s="16" t="s">
        <v>464</v>
      </c>
      <c r="C22" s="79" t="str">
        <f>IFERROR(VLOOKUP($B22,Tarifa_all_20240711!$A$2:$G$660,2,FALSE()),"-")</f>
        <v>MARCO FIJOS 35MM D-DECOR FIJO BLANCO 9003 M 6,5 MT</v>
      </c>
      <c r="D22" s="79"/>
      <c r="E22" s="17">
        <v>1</v>
      </c>
      <c r="F22" s="18">
        <f>IFERROR(VLOOKUP($B22,Tarifa_all_20240711!$A$2:$G$660,5,FALSE()),"-")</f>
        <v>60.045000000000002</v>
      </c>
      <c r="G22" s="18">
        <f t="shared" si="0"/>
        <v>60.045000000000002</v>
      </c>
      <c r="H22" s="1"/>
    </row>
    <row r="23" spans="1:8" x14ac:dyDescent="0.25">
      <c r="B23" s="16" t="s">
        <v>444</v>
      </c>
      <c r="C23" s="79" t="str">
        <f>IFERROR(VLOOKUP($B23,Tarifa_all_20240711!$A$2:$G$660,2,FALSE()),"-")</f>
        <v>ANCLAJE TAPA 35MM D-DECOR FIJO BLAN 9003 M 6,5 MT</v>
      </c>
      <c r="D23" s="79"/>
      <c r="E23" s="17">
        <v>1</v>
      </c>
      <c r="F23" s="18">
        <f>IFERROR(VLOOKUP($B23,Tarifa_all_20240711!$A$2:$G$660,5,FALSE()),"-")</f>
        <v>29.0625</v>
      </c>
      <c r="G23" s="18">
        <f t="shared" si="0"/>
        <v>29.0625</v>
      </c>
      <c r="H23" s="1"/>
    </row>
    <row r="24" spans="1:8" x14ac:dyDescent="0.25">
      <c r="B24" s="16" t="s">
        <v>484</v>
      </c>
      <c r="C24" s="79" t="str">
        <f>IFERROR(VLOOKUP($B24,Tarifa_all_20240711!$A$2:$G$660,2,FALSE()),"-")</f>
        <v>TAPA MARCO 35MM D-DECOR FIJO BLANCO 9003 M. 6,5 MT</v>
      </c>
      <c r="D24" s="79"/>
      <c r="E24" s="17">
        <v>1</v>
      </c>
      <c r="F24" s="18">
        <f>IFERROR(VLOOKUP($B24,Tarifa_all_20240711!$A$2:$G$660,5,FALSE()),"-")</f>
        <v>24.487499999999997</v>
      </c>
      <c r="G24" s="18">
        <f t="shared" si="0"/>
        <v>24.487499999999997</v>
      </c>
      <c r="H24" s="1"/>
    </row>
    <row r="25" spans="1:8" x14ac:dyDescent="0.25">
      <c r="B25" s="16" t="s">
        <v>452</v>
      </c>
      <c r="C25" s="79" t="str">
        <f>IFERROR(VLOOKUP($B25,Tarifa_all_20240711!$A$2:$G$660,2,FALSE()),"-")</f>
        <v>PERFIL MINIMALISTA D-DECOR FIJO BLANCO 9003 M 3 MT</v>
      </c>
      <c r="D25" s="79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298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79" t="str">
        <f>IFERROR(VLOOKUP($B27,Tarifa_all_20240711!$A$2:$G$660,2,FALSE()),"-")</f>
        <v>PERFIL 3 MTS REDUCTOR PARA VIDRIO 6mm</v>
      </c>
      <c r="D27" s="79"/>
      <c r="E27" s="17">
        <v>4</v>
      </c>
      <c r="F27" s="18">
        <f>IFERROR(VLOOKUP($B27,Tarifa_all_20240711!$A$2:$G$660,5,FALSE()),"-")</f>
        <v>3.4275000000000002</v>
      </c>
      <c r="G27" s="18">
        <f t="shared" si="0"/>
        <v>13.71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2</v>
      </c>
      <c r="F28" s="18">
        <f>IFERROR(VLOOKUP($B28,Tarifa_all_20240711!$A$2:$G$660,5,FALSE()),"-")</f>
        <v>11.317499999999999</v>
      </c>
      <c r="G28" s="18">
        <f t="shared" si="0"/>
        <v>22.634999999999998</v>
      </c>
      <c r="H28" s="1"/>
    </row>
    <row r="29" spans="1:8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739.88249999999994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45798</v>
      </c>
    </row>
    <row r="10" spans="1:7" x14ac:dyDescent="0.25">
      <c r="A10" s="3" t="s">
        <v>82</v>
      </c>
      <c r="B10" s="11" t="str">
        <f>'DESPIECE (MATANALYSIS)'!C9</f>
        <v>Javi Alfafar</v>
      </c>
      <c r="C10" s="45"/>
      <c r="D10" s="45"/>
      <c r="E10" s="46"/>
      <c r="F10" s="47" t="s">
        <v>83</v>
      </c>
      <c r="G10" s="7">
        <f>'DESPIECE (MATANALYSIS)'!C7</f>
        <v>20250115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739.88249999999994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2025-05-21T14:09:35Z</dcterms:modified>
  <dc:language>es-ES</dc:language>
</cp:coreProperties>
</file>