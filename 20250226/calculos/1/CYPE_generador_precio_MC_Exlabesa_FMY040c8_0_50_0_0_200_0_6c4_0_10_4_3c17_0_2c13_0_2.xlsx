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855" windowHeight="11985"/>
  </bookViews>
  <sheets>
    <sheet name="Hoja 1" sheetId="1" r:id="rId1"/>
  </sheets>
  <calcPr calcId="124519"/>
</workbook>
</file>

<file path=xl/sharedStrings.xml><?xml version="1.0" encoding="utf-8"?>
<sst xmlns="http://schemas.openxmlformats.org/spreadsheetml/2006/main" count="65" uniqueCount="65">
  <si>
    <t xml:space="preserve"/>
  </si>
  <si>
    <t xml:space="preserve">FMY040</t>
  </si>
  <si>
    <t xml:space="preserve">m²</t>
  </si>
  <si>
    <t xml:space="preserve">Sistema "EXLABESA" de muro cortina de aluminio.</t>
  </si>
  <si>
    <r>
      <rPr>
        <sz val="8.25"/>
        <color rgb="FF000000"/>
        <rFont val="Arial"/>
        <family val="2"/>
      </rPr>
      <t xml:space="preserve">Muro cortina de aluminio realizado mediante el sistema ECW 50 SSG, de "EXLABESA", con estructura portante calculada para una sobrecarga máxima debida a la acción del viento de 60 kg/m², compuesta por una retícula con una separación entre montantes de 100 cm y una distancia entre ejes del forjado o puntos de anclaje de 400 cm, comprendiendo 1 divisiones entre plantas. Montantes de sección 220x50 mm, lacado especial; travesaños de 165x50 mm (Iy=43,23 cm4), lacado especial; perfil bastidor sin rotura de puente térmico, lacado especial; con cerramiento compuesto de: un 40% de superficie opaca con acristalamiento exterior, (antepechos, cantos de forjado y falsos techos), formada por panel de chapa de aluminio, de 9 mm de espesor total, acabado lacado color blanco, formado por lámina de aluminio de 0,7 mm y alma aislante de poliestireno extruido (densidad 35 kg/m³) y vidrio templado de control solar, de color, de 10 mm de espesor, clasificación de prestaciones 1C1; un 60% de superficie transparente fija realizada con doble acristalamiento templado de control solar, conjunto formado por vidrio exterior templado, de control solar, color azul de 6 mm, cámara de aire deshidratada con perfil separador de aluminio y doble sellado perimetral con silicona, de 6 mm, y vidrio interior Float incoloro de 6 mm de espesor; 18 mm de espesor total. Incluso accesorios de muros cortina para el sistema ECW 50 SSG "EXLABESA"; silicona neutra Elastosil 605 "SIKA" para el sellado de la zona opaca; anclajes de fijación de acero, compuestos por placa unida al forjado y angular para fijación de montantes al edificio; chapa de aluminio de 1,5 mm de espesor para la realización de los remates de muro a obra.</t>
    </r>
    <r>
      <rPr>
        <sz val="8.25"/>
        <color rgb="FF000000"/>
        <rFont val="Arial"/>
        <family val="2"/>
      </rPr>
      <t xml:space="preserve">
</t>
    </r>
  </si>
  <si>
    <t xml:space="preserve">Código</t>
  </si>
  <si>
    <t xml:space="preserve">Unidad</t>
  </si>
  <si>
    <t xml:space="preserve">Descripción</t>
  </si>
  <si>
    <t xml:space="preserve">Rendimiento</t>
  </si>
  <si>
    <r>
      <rPr>
        <b/>
        <sz val="8.25"/>
        <color rgb="FF000000"/>
        <rFont val="Arial"/>
        <family val="2"/>
      </rPr>
      <t xml:space="preserve">Precio</t>
    </r>
    <r>
      <rPr>
        <b/>
        <sz val="8.25"/>
        <color rgb="FF000000"/>
        <rFont val="Arial"/>
        <family val="2"/>
      </rPr>
      <t xml:space="preserve">
</t>
    </r>
    <r>
      <rPr>
        <b/>
        <sz val="8.25"/>
        <color rgb="FF000000"/>
        <rFont val="Arial"/>
        <family val="2"/>
      </rPr>
      <t xml:space="preserve">unitario</t>
    </r>
  </si>
  <si>
    <t xml:space="preserve">Importe</t>
  </si>
  <si>
    <t xml:space="preserve">Materiales</t>
  </si>
  <si>
    <t xml:space="preserve">mt25mex010H</t>
  </si>
  <si>
    <t xml:space="preserve">m</t>
  </si>
  <si>
    <t xml:space="preserve">Montante de aluminio, "EXLABESA", de 220x50 mm (Ix= 1276,41 cm4), acabado lacado especial, provisto de canal de desagüe y ventilación, junta central de estanqueidad y juntas interiores de montante.</t>
  </si>
  <si>
    <t xml:space="preserve">mt25mex020x</t>
  </si>
  <si>
    <t xml:space="preserve">m</t>
  </si>
  <si>
    <t xml:space="preserve">Travesaño de aluminio, "EXLABESA", de 165x50 mm (Iy = 43,23 cm4), acabado lacado especial, provisto de canal de desagüe y ventilación, junta central de estanqueidad y juntas interiores de travesaño.</t>
  </si>
  <si>
    <t xml:space="preserve">mt25mex030a</t>
  </si>
  <si>
    <t xml:space="preserve">m</t>
  </si>
  <si>
    <t xml:space="preserve">Perfil bastidor de aluminio, sistema ECW 50 SSG, "EXLABESA", acabado anodizado natural.</t>
  </si>
  <si>
    <t xml:space="preserve">mt25mex100a</t>
  </si>
  <si>
    <t xml:space="preserve">Ud</t>
  </si>
  <si>
    <t xml:space="preserve">Repercusión, por m², de accesorios de muros cortina para el sistema ECW 50 SSG "EXLABESA", elementos de anclaje y sujeción y remates a obra.</t>
  </si>
  <si>
    <t xml:space="preserve">mt21veg040yaca</t>
  </si>
  <si>
    <t xml:space="preserve">m²</t>
  </si>
  <si>
    <t xml:space="preserve">Doble acristalamiento templado de control solar, color azul, 6/6/6, conjunto formado por vidrio exterior templado, de control solar, color azul de 6 mm, cámara de aire deshidratada con perfil separador de aluminio y doble sellado perimetral, de 6 mm, y vidrio interior Float incoloro de 6 mm de espesor; 18 mm de espesor total.</t>
  </si>
  <si>
    <t xml:space="preserve">mt25mco045a</t>
  </si>
  <si>
    <t xml:space="preserve">m²</t>
  </si>
  <si>
    <t xml:space="preserve">Panel de chapa de aluminio, de 9 mm de espesor total, acabado lacado color blanco, formado por lámina de aluminio de 0,7 mm y alma aislante de poliestireno extruido (densidad 35 kg/m³).</t>
  </si>
  <si>
    <t xml:space="preserve">mt21vtt030f</t>
  </si>
  <si>
    <t xml:space="preserve">m²</t>
  </si>
  <si>
    <t xml:space="preserve">Vidrio de silicato sodocálcico templado de control solar, de color, de 10 mm de espesor, clasificación de prestaciones 1C1, según UNE-EN 12600. Según UNE-EN 12150-1.</t>
  </si>
  <si>
    <t xml:space="preserve">mt21sik020a</t>
  </si>
  <si>
    <t xml:space="preserve">Ud</t>
  </si>
  <si>
    <t xml:space="preserve">Cartucho de silicona sintética incolora, de 310 ml (rendimiento aproximado en juntas de estanqueidad de 2 m por cartucho).</t>
  </si>
  <si>
    <t xml:space="preserve">mt21sik020b</t>
  </si>
  <si>
    <t xml:space="preserve">Ud</t>
  </si>
  <si>
    <t xml:space="preserve">Cartucho de silicona sintética de color, de 310 ml (rendimiento aproximado en juntas de estanqueidad de 2 m por cartucho).</t>
  </si>
  <si>
    <t xml:space="preserve">mt21sik030</t>
  </si>
  <si>
    <t xml:space="preserve">Ud</t>
  </si>
  <si>
    <t xml:space="preserve">Repercusión por m² de sellador estructural bicomponente a base de silicona.</t>
  </si>
  <si>
    <t xml:space="preserve">mt21vva021</t>
  </si>
  <si>
    <t xml:space="preserve">Ud</t>
  </si>
  <si>
    <t xml:space="preserve">Material auxiliar para la colocación de vidrios.</t>
  </si>
  <si>
    <t xml:space="preserve">Subtotal materiales:</t>
  </si>
  <si>
    <t xml:space="preserve">Mano de obra</t>
  </si>
  <si>
    <t xml:space="preserve">mo018</t>
  </si>
  <si>
    <t xml:space="preserve">h</t>
  </si>
  <si>
    <t xml:space="preserve">Oficial 1ª cerrajero.</t>
  </si>
  <si>
    <t xml:space="preserve">mo059</t>
  </si>
  <si>
    <t xml:space="preserve">h</t>
  </si>
  <si>
    <t xml:space="preserve">Ayudante cerrajero.</t>
  </si>
  <si>
    <t xml:space="preserve">mo049</t>
  </si>
  <si>
    <t xml:space="preserve">h</t>
  </si>
  <si>
    <t xml:space="preserve">Oficial 1ª montador de muro cortina.</t>
  </si>
  <si>
    <t xml:space="preserve">mo096</t>
  </si>
  <si>
    <t xml:space="preserve">h</t>
  </si>
  <si>
    <t xml:space="preserve">Ayudante montador de muro cortina.</t>
  </si>
  <si>
    <t xml:space="preserve">Subtotal mano de obra:</t>
  </si>
  <si>
    <t xml:space="preserve">Costes directos complementarios</t>
  </si>
  <si>
    <t xml:space="preserve">%</t>
  </si>
  <si>
    <t xml:space="preserve">Costes directos complementarios</t>
  </si>
  <si>
    <t xml:space="preserve">Coste de mantenimiento decenal: 75,02€ en los primeros 10 años.</t>
  </si>
  <si>
    <r>
      <rPr>
        <b/>
        <sz val="8.25"/>
        <color rgb="FF000000"/>
        <rFont val="Arial"/>
        <family val="2"/>
      </rPr>
      <t xml:space="preserve">Costes directos</t>
    </r>
    <r>
      <rPr>
        <sz val="8.25"/>
        <color rgb="FF000000"/>
        <rFont val="Arial"/>
        <family val="2"/>
      </rPr>
      <t xml:space="preserve"> </t>
    </r>
    <r>
      <rPr>
        <sz val="8.25"/>
        <color rgb="FF000000"/>
        <rFont val="Arial"/>
        <family val="2"/>
      </rPr>
      <t xml:space="preserve">(1+2+3)</t>
    </r>
    <r>
      <rPr>
        <sz val="8.25"/>
        <color rgb="FF000000"/>
        <rFont val="Arial"/>
        <family val="2"/>
      </rPr>
      <t xml:space="preserve">:</t>
    </r>
  </si>
</sst>
</file>

<file path=xl/styles.xml><?xml version="1.0" encoding="utf-8"?>
<styleSheet xmlns="http://schemas.openxmlformats.org/spreadsheetml/2006/main">
  <numFmts count="2">
    <numFmt numFmtId="200" formatCode="0.000"/>
    <numFmt numFmtId="201" formatCode="0.00"/>
  </numFmts>
  <fonts count="2">
    <font>
      <sz val="8.25"/>
      <color rgb="FF000000"/>
      <name val="Arial"/>
      <family val="2"/>
    </font>
    <font>
      <b/>
      <sz val="8.2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>
      <alignment horizontal="left" vertical="center" wrapText="0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justify" vertical="top" wrapText="1"/>
    </xf>
    <xf numFmtId="0" fontId="0" fillId="0" borderId="1" xfId="0" applyFont="1" applyAlignment="1">
      <alignment horizontal="left" vertical="top" wrapText="1"/>
    </xf>
    <xf numFmtId="0" fontId="0" fillId="0" borderId="2" xfId="0" applyFont="1" applyAlignment="1">
      <alignment horizontal="center" vertical="bottom" wrapText="1"/>
    </xf>
    <xf numFmtId="0" fontId="0" fillId="0" borderId="2" xfId="0" applyFont="1" applyAlignment="1">
      <alignment horizontal="right" vertical="bottom" wrapText="1"/>
    </xf>
    <xf numFmtId="0" fontId="0" fillId="0" borderId="3" xfId="0" applyFont="1" applyAlignment="1">
      <alignment horizontal="center" vertical="center" wrapText="1"/>
    </xf>
    <xf numFmtId="0" fontId="0" fillId="0" borderId="3" xfId="0" applyFont="1" applyAlignment="1">
      <alignment horizontal="left" vertical="center" wrapText="1"/>
    </xf>
    <xf numFmtId="0" fontId="0" fillId="0" borderId="0" xfId="0" applyFont="1" applyAlignment="1">
      <alignment horizontal="center" vertical="top" wrapText="1"/>
    </xf>
    <xf numFmtId="200" fontId="0" fillId="0" borderId="0" xfId="0" applyFont="1" applyAlignment="1">
      <alignment horizontal="right" vertical="top" wrapText="1"/>
    </xf>
    <xf numFmtId="201" fontId="0" fillId="0" borderId="0" xfId="0" applyFont="1" applyAlignment="1">
      <alignment horizontal="right" vertical="top" wrapText="1"/>
    </xf>
    <xf numFmtId="200" fontId="0" fillId="0" borderId="2" xfId="0" applyFont="1" applyAlignment="1">
      <alignment horizontal="right" vertical="top" wrapText="1"/>
    </xf>
    <xf numFmtId="201" fontId="0" fillId="0" borderId="2" xfId="0" applyFont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201" fontId="1" fillId="0" borderId="0" xfId="0" applyFont="1" applyAlignment="1">
      <alignment horizontal="right" vertical="top" wrapText="1"/>
    </xf>
    <xf numFmtId="201" fontId="1" fillId="0" borderId="3" xfId="0" applyFont="1" applyAlignment="1">
      <alignment horizontal="right" vertical="top" wrapText="1"/>
    </xf>
    <xf numFmtId="0" fontId="0" fillId="0" borderId="0" xfId="0" applyFont="1" applyAlignment="1">
      <alignment horizontal="left" vertical="center" wrapText="1"/>
    </xf>
    <xf numFmtId="0" fontId="0" fillId="0" borderId="2" xfId="0" applyFont="1" applyAlignment="1">
      <alignment horizontal="left" vertical="top" wrapText="1"/>
    </xf>
    <xf numFmtId="0" fontId="0" fillId="0" borderId="2" xfId="0" applyFont="1" applyAlignment="1">
      <alignment horizontal="center" vertical="top" wrapText="1"/>
    </xf>
    <xf numFmtId="0" fontId="0" fillId="0" borderId="4" xfId="0" applyFont="1" applyAlignment="1">
      <alignment horizontal="left" vertical="top" wrapText="1"/>
    </xf>
    <xf numFmtId="0" fontId="0" fillId="0" borderId="5" xfId="0" applyFont="1" applyAlignment="1">
      <alignment horizontal="left" vertical="top" wrapText="1"/>
    </xf>
    <xf numFmtId="0" fontId="0" fillId="0" borderId="6" xfId="0" applyFont="1" applyAlignment="1">
      <alignment horizontal="left" vertical="top" wrapText="1"/>
    </xf>
    <xf numFmtId="0" fontId="0" fillId="0" borderId="7" xfId="0" applyFont="1" applyAlignment="1">
      <alignment horizontal="right" vertical="center" wrapText="1"/>
    </xf>
    <xf numFmtId="0" fontId="0" fillId="0" borderId="3" xfId="0" applyFont="1" applyAlignment="1">
      <alignment horizontal="right" vertical="center" wrapText="1"/>
    </xf>
    <xf numFmtId="201" fontId="0" fillId="0" borderId="3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    <Relationship Id="rId3" Type="http://schemas.openxmlformats.org/officeDocument/2006/relationships/styles" Target="styles.xml"/>
    <Relationship Id="rId1" Type="http://schemas.openxmlformats.org/officeDocument/2006/relationships/worksheet" Target="worksheets/sheet1.xml"/>
    <Relationship Id="rId4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view="pageLayout" workbookViewId="0">
      <selection activeCell="A1" sqref="A1"/>
    </sheetView>
  </sheetViews>
  <sheetFormatPr baseColWidth="10" defaultRowHeight="15"/>
  <cols>
    <col min="1" max="1" width="8.33" customWidth="1"/>
    <col min="2" max="2" width="6.29" customWidth="1"/>
    <col min="3" max="3" width="0.85" customWidth="1"/>
    <col min="4" max="4" width="7.65" customWidth="1"/>
    <col min="5" max="5" width="72.42" customWidth="1"/>
    <col min="6" max="6" width="13.60" customWidth="1"/>
    <col min="7" max="7" width="10.37" customWidth="1"/>
    <col min="8" max="8" width="9.01" customWidth="1"/>
  </cols>
  <sheetData>
    <row r="1" spans="1:1" ht="2.25" thickBot="1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13.50" thickBot="1" customHeight="1">
      <c r="A3" s="2" t="s">
        <v>1</v>
      </c>
      <c r="B3" s="3" t="s">
        <v>2</v>
      </c>
      <c r="C3" s="2" t="s">
        <v>3</v>
      </c>
      <c r="D3" s="2"/>
      <c r="E3" s="2"/>
      <c r="F3" s="2"/>
      <c r="G3" s="2"/>
      <c r="H3" s="2"/>
    </row>
    <row r="5" spans="1:8" ht="139.50" thickBot="1" customHeight="1">
      <c r="A5" s="5" t="s">
        <v>4</v>
      </c>
      <c r="B5" s="5"/>
      <c r="C5" s="5"/>
      <c r="D5" s="5"/>
      <c r="E5" s="5"/>
      <c r="F5" s="5"/>
      <c r="G5" s="5"/>
      <c r="H5" s="5"/>
    </row>
    <row r="8" spans="1:8" ht="24.00" thickBot="1" customHeight="1">
      <c r="A8" s="6" t="s">
        <v>5</v>
      </c>
      <c r="B8" s="6"/>
      <c r="C8" s="6"/>
      <c r="D8" s="6" t="s">
        <v>6</v>
      </c>
      <c r="E8" s="6" t="s">
        <v>7</v>
      </c>
      <c r="F8" s="7" t="s">
        <v>8</v>
      </c>
      <c r="G8" s="7" t="s">
        <v>9</v>
      </c>
      <c r="H8" s="7" t="s">
        <v>10</v>
      </c>
    </row>
    <row r="9" spans="1:8" ht="13.50" thickBot="1" customHeight="1">
      <c r="A9" s="8">
        <v>1</v>
      </c>
      <c r="B9" s="8"/>
      <c r="C9" s="8"/>
      <c r="D9" s="8"/>
      <c r="E9" s="9" t="s">
        <v>11</v>
      </c>
      <c r="F9" s="9"/>
      <c r="G9" s="8"/>
      <c r="H9" s="8"/>
    </row>
    <row r="10" spans="1:8" ht="34.50" thickBot="1" customHeight="1">
      <c r="A10" s="1" t="s">
        <v>12</v>
      </c>
      <c r="B10" s="1"/>
      <c r="C10" s="1"/>
      <c r="D10" s="10" t="s">
        <v>13</v>
      </c>
      <c r="E10" s="1" t="s">
        <v>14</v>
      </c>
      <c r="F10" s="11">
        <v>1</v>
      </c>
      <c r="G10" s="12">
        <v>73.48</v>
      </c>
      <c r="H10" s="12">
        <f ca="1">ROUND(INDIRECT(ADDRESS(ROW()+(0), COLUMN()+(-2), 1))*INDIRECT(ADDRESS(ROW()+(0), COLUMN()+(-1), 1)), 2)</f>
        <v>73.48</v>
      </c>
    </row>
    <row r="11" spans="1:8" ht="34.50" thickBot="1" customHeight="1">
      <c r="A11" s="1" t="s">
        <v>15</v>
      </c>
      <c r="B11" s="1"/>
      <c r="C11" s="1"/>
      <c r="D11" s="10" t="s">
        <v>16</v>
      </c>
      <c r="E11" s="1" t="s">
        <v>17</v>
      </c>
      <c r="F11" s="11">
        <v>0.5</v>
      </c>
      <c r="G11" s="12">
        <v>54.54</v>
      </c>
      <c r="H11" s="12">
        <f ca="1">ROUND(INDIRECT(ADDRESS(ROW()+(0), COLUMN()+(-2), 1))*INDIRECT(ADDRESS(ROW()+(0), COLUMN()+(-1), 1)), 2)</f>
        <v>27.27</v>
      </c>
    </row>
    <row r="12" spans="1:8" ht="24.00" thickBot="1" customHeight="1">
      <c r="A12" s="1" t="s">
        <v>18</v>
      </c>
      <c r="B12" s="1"/>
      <c r="C12" s="1"/>
      <c r="D12" s="10" t="s">
        <v>19</v>
      </c>
      <c r="E12" s="1" t="s">
        <v>20</v>
      </c>
      <c r="F12" s="11">
        <v>5</v>
      </c>
      <c r="G12" s="12">
        <v>6.03</v>
      </c>
      <c r="H12" s="12">
        <f ca="1">ROUND(INDIRECT(ADDRESS(ROW()+(0), COLUMN()+(-2), 1))*INDIRECT(ADDRESS(ROW()+(0), COLUMN()+(-1), 1)), 2)</f>
        <v>30.15</v>
      </c>
    </row>
    <row r="13" spans="1:8" ht="24.00" thickBot="1" customHeight="1">
      <c r="A13" s="1" t="s">
        <v>21</v>
      </c>
      <c r="B13" s="1"/>
      <c r="C13" s="1"/>
      <c r="D13" s="10" t="s">
        <v>22</v>
      </c>
      <c r="E13" s="1" t="s">
        <v>23</v>
      </c>
      <c r="F13" s="11">
        <v>1</v>
      </c>
      <c r="G13" s="12">
        <v>21.94</v>
      </c>
      <c r="H13" s="12">
        <f ca="1">ROUND(INDIRECT(ADDRESS(ROW()+(0), COLUMN()+(-2), 1))*INDIRECT(ADDRESS(ROW()+(0), COLUMN()+(-1), 1)), 2)</f>
        <v>21.94</v>
      </c>
    </row>
    <row r="14" spans="1:8" ht="45.00" thickBot="1" customHeight="1">
      <c r="A14" s="1" t="s">
        <v>24</v>
      </c>
      <c r="B14" s="1"/>
      <c r="C14" s="1"/>
      <c r="D14" s="10" t="s">
        <v>25</v>
      </c>
      <c r="E14" s="1" t="s">
        <v>26</v>
      </c>
      <c r="F14" s="11">
        <v>0.604</v>
      </c>
      <c r="G14" s="12">
        <v>126.71</v>
      </c>
      <c r="H14" s="12">
        <f ca="1">ROUND(INDIRECT(ADDRESS(ROW()+(0), COLUMN()+(-2), 1))*INDIRECT(ADDRESS(ROW()+(0), COLUMN()+(-1), 1)), 2)</f>
        <v>76.53</v>
      </c>
    </row>
    <row r="15" spans="1:8" ht="34.50" thickBot="1" customHeight="1">
      <c r="A15" s="1" t="s">
        <v>27</v>
      </c>
      <c r="B15" s="1"/>
      <c r="C15" s="1"/>
      <c r="D15" s="10" t="s">
        <v>28</v>
      </c>
      <c r="E15" s="1" t="s">
        <v>29</v>
      </c>
      <c r="F15" s="11">
        <v>0.402</v>
      </c>
      <c r="G15" s="12">
        <v>27.16</v>
      </c>
      <c r="H15" s="12">
        <f ca="1">ROUND(INDIRECT(ADDRESS(ROW()+(0), COLUMN()+(-2), 1))*INDIRECT(ADDRESS(ROW()+(0), COLUMN()+(-1), 1)), 2)</f>
        <v>10.92</v>
      </c>
    </row>
    <row r="16" spans="1:8" ht="34.50" thickBot="1" customHeight="1">
      <c r="A16" s="1" t="s">
        <v>30</v>
      </c>
      <c r="B16" s="1"/>
      <c r="C16" s="1"/>
      <c r="D16" s="10" t="s">
        <v>31</v>
      </c>
      <c r="E16" s="1" t="s">
        <v>32</v>
      </c>
      <c r="F16" s="11">
        <v>0.402</v>
      </c>
      <c r="G16" s="12">
        <v>81.1</v>
      </c>
      <c r="H16" s="12">
        <f ca="1">ROUND(INDIRECT(ADDRESS(ROW()+(0), COLUMN()+(-2), 1))*INDIRECT(ADDRESS(ROW()+(0), COLUMN()+(-1), 1)), 2)</f>
        <v>32.6</v>
      </c>
    </row>
    <row r="17" spans="1:8" ht="24.00" thickBot="1" customHeight="1">
      <c r="A17" s="1" t="s">
        <v>33</v>
      </c>
      <c r="B17" s="1"/>
      <c r="C17" s="1"/>
      <c r="D17" s="10" t="s">
        <v>34</v>
      </c>
      <c r="E17" s="1" t="s">
        <v>35</v>
      </c>
      <c r="F17" s="11">
        <v>0.786</v>
      </c>
      <c r="G17" s="12">
        <v>2.67</v>
      </c>
      <c r="H17" s="12">
        <f ca="1">ROUND(INDIRECT(ADDRESS(ROW()+(0), COLUMN()+(-2), 1))*INDIRECT(ADDRESS(ROW()+(0), COLUMN()+(-1), 1)), 2)</f>
        <v>2.1</v>
      </c>
    </row>
    <row r="18" spans="1:8" ht="24.00" thickBot="1" customHeight="1">
      <c r="A18" s="1" t="s">
        <v>36</v>
      </c>
      <c r="B18" s="1"/>
      <c r="C18" s="1"/>
      <c r="D18" s="10" t="s">
        <v>37</v>
      </c>
      <c r="E18" s="1" t="s">
        <v>38</v>
      </c>
      <c r="F18" s="11">
        <v>0.525</v>
      </c>
      <c r="G18" s="12">
        <v>2.67</v>
      </c>
      <c r="H18" s="12">
        <f ca="1">ROUND(INDIRECT(ADDRESS(ROW()+(0), COLUMN()+(-2), 1))*INDIRECT(ADDRESS(ROW()+(0), COLUMN()+(-1), 1)), 2)</f>
        <v>1.4</v>
      </c>
    </row>
    <row r="19" spans="1:8" ht="13.50" thickBot="1" customHeight="1">
      <c r="A19" s="1" t="s">
        <v>39</v>
      </c>
      <c r="B19" s="1"/>
      <c r="C19" s="1"/>
      <c r="D19" s="10" t="s">
        <v>40</v>
      </c>
      <c r="E19" s="1" t="s">
        <v>41</v>
      </c>
      <c r="F19" s="11">
        <v>0.63</v>
      </c>
      <c r="G19" s="12">
        <v>21</v>
      </c>
      <c r="H19" s="12">
        <f ca="1">ROUND(INDIRECT(ADDRESS(ROW()+(0), COLUMN()+(-2), 1))*INDIRECT(ADDRESS(ROW()+(0), COLUMN()+(-1), 1)), 2)</f>
        <v>13.23</v>
      </c>
    </row>
    <row r="20" spans="1:8" ht="13.50" thickBot="1" customHeight="1">
      <c r="A20" s="1" t="s">
        <v>42</v>
      </c>
      <c r="B20" s="1"/>
      <c r="C20" s="1"/>
      <c r="D20" s="10" t="s">
        <v>43</v>
      </c>
      <c r="E20" s="1" t="s">
        <v>44</v>
      </c>
      <c r="F20" s="13">
        <v>1</v>
      </c>
      <c r="G20" s="14">
        <v>1.26</v>
      </c>
      <c r="H20" s="14">
        <f ca="1">ROUND(INDIRECT(ADDRESS(ROW()+(0), COLUMN()+(-2), 1))*INDIRECT(ADDRESS(ROW()+(0), COLUMN()+(-1), 1)), 2)</f>
        <v>1.26</v>
      </c>
    </row>
    <row r="21" spans="1:8" ht="13.50" thickBot="1" customHeight="1">
      <c r="A21" s="15"/>
      <c r="B21" s="15"/>
      <c r="C21" s="15"/>
      <c r="D21" s="15"/>
      <c r="E21" s="15"/>
      <c r="F21" s="9" t="s">
        <v>45</v>
      </c>
      <c r="G21" s="9"/>
      <c r="H21" s="17">
        <f ca="1">ROUND(SUM(INDIRECT(ADDRESS(ROW()+(-1), COLUMN()+(0), 1)),INDIRECT(ADDRESS(ROW()+(-2), COLUMN()+(0), 1)),INDIRECT(ADDRESS(ROW()+(-3), COLUMN()+(0), 1)),INDIRECT(ADDRESS(ROW()+(-4), COLUMN()+(0), 1)),INDIRECT(ADDRESS(ROW()+(-5), COLUMN()+(0), 1)),INDIRECT(ADDRESS(ROW()+(-6), COLUMN()+(0), 1)),INDIRECT(ADDRESS(ROW()+(-7), COLUMN()+(0), 1)),INDIRECT(ADDRESS(ROW()+(-8), COLUMN()+(0), 1)),INDIRECT(ADDRESS(ROW()+(-9), COLUMN()+(0), 1)),INDIRECT(ADDRESS(ROW()+(-10), COLUMN()+(0), 1)),INDIRECT(ADDRESS(ROW()+(-11), COLUMN()+(0), 1))), 2)</f>
        <v>290.88</v>
      </c>
    </row>
    <row r="22" spans="1:8" ht="13.50" thickBot="1" customHeight="1">
      <c r="A22" s="15">
        <v>2</v>
      </c>
      <c r="B22" s="15"/>
      <c r="C22" s="15"/>
      <c r="D22" s="15"/>
      <c r="E22" s="18" t="s">
        <v>46</v>
      </c>
      <c r="F22" s="18"/>
      <c r="G22" s="15"/>
      <c r="H22" s="15"/>
    </row>
    <row r="23" spans="1:8" ht="13.50" thickBot="1" customHeight="1">
      <c r="A23" s="1" t="s">
        <v>47</v>
      </c>
      <c r="B23" s="1"/>
      <c r="C23" s="1"/>
      <c r="D23" s="10" t="s">
        <v>48</v>
      </c>
      <c r="E23" s="1" t="s">
        <v>49</v>
      </c>
      <c r="F23" s="11">
        <v>0.7</v>
      </c>
      <c r="G23" s="12">
        <v>23.41</v>
      </c>
      <c r="H23" s="12">
        <f ca="1">ROUND(INDIRECT(ADDRESS(ROW()+(0), COLUMN()+(-2), 1))*INDIRECT(ADDRESS(ROW()+(0), COLUMN()+(-1), 1)), 2)</f>
        <v>16.39</v>
      </c>
    </row>
    <row r="24" spans="1:8" ht="13.50" thickBot="1" customHeight="1">
      <c r="A24" s="1" t="s">
        <v>50</v>
      </c>
      <c r="B24" s="1"/>
      <c r="C24" s="1"/>
      <c r="D24" s="10" t="s">
        <v>51</v>
      </c>
      <c r="E24" s="1" t="s">
        <v>52</v>
      </c>
      <c r="F24" s="11">
        <v>1.1</v>
      </c>
      <c r="G24" s="12">
        <v>21.99</v>
      </c>
      <c r="H24" s="12">
        <f ca="1">ROUND(INDIRECT(ADDRESS(ROW()+(0), COLUMN()+(-2), 1))*INDIRECT(ADDRESS(ROW()+(0), COLUMN()+(-1), 1)), 2)</f>
        <v>24.19</v>
      </c>
    </row>
    <row r="25" spans="1:8" ht="13.50" thickBot="1" customHeight="1">
      <c r="A25" s="1" t="s">
        <v>53</v>
      </c>
      <c r="B25" s="1"/>
      <c r="C25" s="1"/>
      <c r="D25" s="10" t="s">
        <v>54</v>
      </c>
      <c r="E25" s="1" t="s">
        <v>55</v>
      </c>
      <c r="F25" s="11">
        <v>1.4</v>
      </c>
      <c r="G25" s="12">
        <v>23.74</v>
      </c>
      <c r="H25" s="12">
        <f ca="1">ROUND(INDIRECT(ADDRESS(ROW()+(0), COLUMN()+(-2), 1))*INDIRECT(ADDRESS(ROW()+(0), COLUMN()+(-1), 1)), 2)</f>
        <v>33.24</v>
      </c>
    </row>
    <row r="26" spans="1:8" ht="13.50" thickBot="1" customHeight="1">
      <c r="A26" s="1" t="s">
        <v>56</v>
      </c>
      <c r="B26" s="1"/>
      <c r="C26" s="1"/>
      <c r="D26" s="10" t="s">
        <v>57</v>
      </c>
      <c r="E26" s="1" t="s">
        <v>58</v>
      </c>
      <c r="F26" s="13">
        <v>2</v>
      </c>
      <c r="G26" s="14">
        <v>21.94</v>
      </c>
      <c r="H26" s="14">
        <f ca="1">ROUND(INDIRECT(ADDRESS(ROW()+(0), COLUMN()+(-2), 1))*INDIRECT(ADDRESS(ROW()+(0), COLUMN()+(-1), 1)), 2)</f>
        <v>43.88</v>
      </c>
    </row>
    <row r="27" spans="1:8" ht="13.50" thickBot="1" customHeight="1">
      <c r="A27" s="15"/>
      <c r="B27" s="15"/>
      <c r="C27" s="15"/>
      <c r="D27" s="15"/>
      <c r="E27" s="15"/>
      <c r="F27" s="9" t="s">
        <v>59</v>
      </c>
      <c r="G27" s="9"/>
      <c r="H27" s="17">
        <f ca="1">ROUND(SUM(INDIRECT(ADDRESS(ROW()+(-1), COLUMN()+(0), 1)),INDIRECT(ADDRESS(ROW()+(-2), COLUMN()+(0), 1)),INDIRECT(ADDRESS(ROW()+(-3), COLUMN()+(0), 1)),INDIRECT(ADDRESS(ROW()+(-4), COLUMN()+(0), 1))), 2)</f>
        <v>117.7</v>
      </c>
    </row>
    <row r="28" spans="1:8" ht="13.50" thickBot="1" customHeight="1">
      <c r="A28" s="15">
        <v>3</v>
      </c>
      <c r="B28" s="15"/>
      <c r="C28" s="15"/>
      <c r="D28" s="15"/>
      <c r="E28" s="18" t="s">
        <v>60</v>
      </c>
      <c r="F28" s="18"/>
      <c r="G28" s="15"/>
      <c r="H28" s="15"/>
    </row>
    <row r="29" spans="1:8" ht="13.50" thickBot="1" customHeight="1">
      <c r="A29" s="19"/>
      <c r="B29" s="19"/>
      <c r="C29" s="19"/>
      <c r="D29" s="20" t="s">
        <v>61</v>
      </c>
      <c r="E29" s="19" t="s">
        <v>62</v>
      </c>
      <c r="F29" s="13">
        <v>2</v>
      </c>
      <c r="G29" s="14">
        <f ca="1">ROUND(SUM(INDIRECT(ADDRESS(ROW()+(-2), COLUMN()+(1), 1)),INDIRECT(ADDRESS(ROW()+(-8), COLUMN()+(1), 1))), 2)</f>
        <v>408.58</v>
      </c>
      <c r="H29" s="14">
        <f ca="1">ROUND(INDIRECT(ADDRESS(ROW()+(0), COLUMN()+(-2), 1))*INDIRECT(ADDRESS(ROW()+(0), COLUMN()+(-1), 1))/100, 2)</f>
        <v>8.17</v>
      </c>
    </row>
    <row r="30" spans="1:8" ht="13.50" thickBot="1" customHeight="1">
      <c r="A30" s="21" t="s">
        <v>63</v>
      </c>
      <c r="B30" s="21"/>
      <c r="C30" s="21"/>
      <c r="D30" s="22"/>
      <c r="E30" s="23"/>
      <c r="F30" s="24" t="s">
        <v>64</v>
      </c>
      <c r="G30" s="25"/>
      <c r="H30" s="26">
        <f ca="1">ROUND(SUM(INDIRECT(ADDRESS(ROW()+(-1), COLUMN()+(0), 1)),INDIRECT(ADDRESS(ROW()+(-3), COLUMN()+(0), 1)),INDIRECT(ADDRESS(ROW()+(-9), COLUMN()+(0), 1))), 2)</f>
        <v>416.75</v>
      </c>
    </row>
  </sheetData>
  <mergeCells count="32">
    <mergeCell ref="A1:H1"/>
    <mergeCell ref="C3:H3"/>
    <mergeCell ref="A5:H5"/>
    <mergeCell ref="A8:C8"/>
    <mergeCell ref="A9:C9"/>
    <mergeCell ref="E9:F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F21:G21"/>
    <mergeCell ref="A22:C22"/>
    <mergeCell ref="E22:F22"/>
    <mergeCell ref="A23:C23"/>
    <mergeCell ref="A24:C24"/>
    <mergeCell ref="A25:C25"/>
    <mergeCell ref="A26:C26"/>
    <mergeCell ref="A27:C27"/>
    <mergeCell ref="F27:G27"/>
    <mergeCell ref="A28:C28"/>
    <mergeCell ref="E28:F28"/>
    <mergeCell ref="A29:C29"/>
    <mergeCell ref="A30:E30"/>
    <mergeCell ref="F30:G30"/>
  </mergeCells>
  <pageMargins left="0.147638" right="0.147638" top="0.206693" bottom="0.206693" header="0.0" footer="0.0"/>
  <pageSetup paperSize="9" orientation="portrait"/>
  <rowBreaks count="0" manualBreakCount="0">
    </rowBreaks>
</worksheet>
</file>