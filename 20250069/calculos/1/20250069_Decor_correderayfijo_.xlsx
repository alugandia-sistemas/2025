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69\calculos\1\"/>
    </mc:Choice>
  </mc:AlternateContent>
  <xr:revisionPtr revIDLastSave="0" documentId="13_ncr:1_{DF78DC99-3E69-4343-8566-B1811697870B}" xr6:coauthVersionLast="47" xr6:coauthVersionMax="47" xr10:uidLastSave="{00000000-0000-0000-0000-000000000000}"/>
  <bookViews>
    <workbookView xWindow="5460" yWindow="585" windowWidth="17895" windowHeight="1477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<sst xmlns="http://schemas.openxmlformats.org/spreadsheetml/2006/main" count="5408" uniqueCount="1455">
  <si>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</si>
  <si>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</si>
  <si>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</si>
  <si>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</si>
  <si>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</si>
  <si>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</si>
  <si>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</si>
  <si>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</si>
  <si>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</si>
  <si>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</si>
  <si>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</si>
  <si>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</si>
  <si>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</si>
  <si>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</si>
  <si>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</si>
  <si>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</si>
  <si>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</si>
  <si>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</si>
  <si>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</si>
  <si>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</si>
  <si>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</si>
  <si>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</si>
  <si>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</si>
  <si>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</si>
  <si>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</si>
  <si>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</si>
  <si>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</si>
  <si>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</si>
  <si>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</si>
  <si>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</si>
  <si>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</si>
  <si>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</si>
  <si>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</si>
  <si>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</si>
  <si>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</si>
  <si>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</si>
  <si>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</si>
  <si>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</si>
  <si>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</si>
  <si>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</si>
  <si>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</si>
  <si>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</si>
  <si>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</si>
  <si>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</si>
  <si>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</si>
  <si>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</si>
  <si>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</si>
  <si>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</si>
  <si>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</si>
  <si>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</si>
  <si>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</si>
  <si>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</si>
  <si>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</si>
  <si>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</si>
  <si>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</si>
  <si>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</si>
  <si>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</si>
  <si>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</si>
  <si>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</si>
  <si>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</si>
  <si>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</si>
  <si>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</si>
  <si>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</si>
  <si>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</si>
  <si>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</si>
  <si>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</si>
  <si>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</si>
  <si>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</si>
  <si>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</si>
  <si>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</si>
  <si>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</si>
  <si>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</si>
  <si>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</si>
  <si>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</si>
  <si>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</si>
  <si>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</si>
  <si>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</si>
  <si>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</si>
  <si>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</si>
  <si>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</si>
  <si>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</si>
  <si>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</si>
  <si>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</si>
  <si>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</si>
  <si>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</si>
  <si>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</si>
  <si>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</si>
  <si>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</si>
  <si>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</si>
  <si>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</si>
  <si>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</si>
  <si>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</si>
  <si>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</si>
  <si>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</si>
  <si>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</si>
  <si>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</si>
  <si>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</si>
  <si>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</si>
  <si>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</si>
  <si>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</si>
  <si>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</si>
  <si>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</si>
  <si>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</si>
  <si>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</si>
  <si>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</si>
  <si>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</si>
  <si>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</si>
  <si>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</si>
  <si>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</si>
  <si>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</si>
  <si>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</si>
  <si>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</si>
  <si>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</si>
  <si>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</si>
  <si>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</si>
  <si>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</si>
  <si>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</si>
  <si>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</si>
  <si>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</si>
  <si>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</si>
  <si>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</si>
  <si>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</si>
  <si>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</si>
  <si>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</si>
  <si>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</si>
  <si>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</si>
  <si>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</si>
  <si>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</si>
  <si>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</si>
  <si>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</si>
  <si>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</si>
  <si>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</si>
  <si>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</si>
  <si>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</si>
  <si>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</si>
  <si>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</si>
  <si>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</si>
  <si>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</si>
  <si>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</si>
  <si>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</si>
  <si>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</si>
  <si>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</si>
  <si>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</si>
  <si>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</si>
  <si>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</si>
  <si>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</si>
  <si>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</si>
  <si>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</si>
  <si>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</si>
  <si>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</si>
  <si>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</si>
  <si>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</si>
  <si>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</si>
  <si>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</si>
  <si>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</si>
  <si>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</si>
  <si>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</si>
  <si>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</si>
  <si>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</si>
  <si>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</si>
  <si>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</si>
  <si>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</si>
  <si>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</si>
  <si>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</si>
  <si>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</si>
  <si>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</si>
  <si>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</si>
  <si>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</si>
  <si>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</si>
  <si>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</si>
  <si>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</si>
  <si>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</si>
  <si>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</si>
  <si>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</si>
  <si>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</si>
  <si>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</si>
  <si>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</si>
  <si>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</si>
  <si>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</si>
  <si>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</si>
  <si>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</si>
  <si>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</si>
  <si>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</si>
  <si>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</si>
  <si>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</si>
  <si>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</si>
  <si>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</si>
  <si>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</si>
  <si>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</si>
  <si>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</si>
  <si>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</si>
  <si>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</si>
  <si>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</si>
  <si>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</si>
  <si>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</si>
  <si>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</si>
  <si>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</si>
  <si>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</si>
  <si>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</si>
  <si>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</si>
  <si>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</si>
  <si>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</si>
  <si>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</si>
  <si>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</si>
  <si>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</si>
  <si>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</si>
  <si>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</si>
  <si>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</si>
  <si>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</si>
  <si>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</si>
  <si>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</si>
  <si>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</si>
  <si>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</si>
  <si>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</si>
  <si>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</si>
  <si>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</si>
  <si>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</si>
  <si>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</si>
  <si>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</si>
  <si>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</si>
  <si>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</si>
  <si>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</si>
  <si>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</si>
  <si>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</si>
  <si>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</si>
  <si>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</si>
  <si>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</si>
  <si>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</si>
  <si>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</si>
  <si>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</si>
  <si>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</si>
  <si>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</si>
  <si>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</si>
  <si>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</si>
  <si>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</si>
  <si>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</si>
  <si>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</si>
  <si>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</si>
  <si>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</si>
  <si>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</si>
  <si>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</si>
  <si>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</si>
  <si>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</si>
  <si>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</si>
  <si>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</si>
  <si>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</si>
  <si>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</si>
  <si>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</si>
  <si>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</si>
  <si>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</si>
  <si>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</si>
  <si>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</si>
  <si>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</si>
  <si>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</si>
  <si>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</si>
  <si>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</si>
  <si>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</si>
  <si>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</si>
  <si>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</si>
  <si>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</si>
  <si>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</si>
  <si>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</si>
  <si>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</si>
  <si>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</si>
  <si>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</si>
  <si>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</si>
  <si>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</si>
  <si>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</si>
  <si>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</si>
  <si>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</si>
  <si>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</si>
  <si>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</si>
  <si>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</si>
  <si>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</si>
  <si>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</si>
  <si>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</si>
  <si>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</si>
  <si>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</si>
  <si>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</si>
  <si>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</si>
  <si>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</si>
  <si>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</si>
  <si>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</si>
  <si>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</si>
  <si>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</si>
  <si>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</si>
  <si>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</si>
  <si>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</si>
  <si>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</si>
  <si>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</si>
  <si>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</si>
  <si>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</si>
  <si>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</si>
  <si>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</si>
  <si>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</si>
  <si>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</si>
  <si>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</si>
  <si>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</si>
  <si>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</si>
  <si>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</si>
  <si>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</si>
  <si>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</si>
  <si>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</si>
  <si>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</si>
  <si>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</si>
  <si>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</si>
  <si>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</si>
  <si>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</si>
  <si>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</si>
  <si>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</si>
  <si>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</si>
  <si>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</si>
  <si>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</si>
  <si>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</si>
  <si>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</si>
  <si>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</si>
  <si>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</si>
  <si>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</si>
  <si>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</si>
  <si>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</si>
  <si>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</si>
  <si>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</si>
  <si>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</si>
  <si>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</si>
  <si>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</si>
  <si>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</si>
  <si>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</si>
  <si>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</si>
  <si>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</si>
  <si>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</si>
  <si>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</si>
  <si>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</si>
  <si>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</si>
  <si>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</si>
  <si>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</si>
  <si>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</si>
  <si>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</si>
  <si>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</si>
  <si>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</si>
  <si>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</si>
  <si>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</si>
  <si>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</si>
  <si>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</si>
  <si>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</si>
  <si>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</si>
  <si>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</si>
  <si>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</si>
  <si>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</si>
  <si>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</si>
  <si>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</si>
  <si>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</si>
  <si>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</si>
  <si>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</si>
  <si>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</si>
  <si>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</si>
  <si>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</si>
  <si>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</si>
  <si>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</si>
  <si>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</si>
  <si>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</si>
  <si>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</si>
  <si>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</si>
  <si>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</si>
  <si>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</si>
  <si>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</si>
  <si>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</si>
  <si>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</si>
  <si>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</si>
  <si>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</si>
  <si>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</si>
  <si>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</si>
  <si>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</si>
  <si>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</si>
  <si>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</si>
  <si>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</si>
  <si>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</si>
  <si>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</si>
  <si>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</si>
  <si>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</si>
  <si>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</si>
  <si>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</si>
  <si>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</si>
  <si>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</si>
  <si>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</si>
  <si>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</si>
  <si>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</si>
  <si>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</si>
  <si>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</si>
  <si>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</si>
  <si>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</si>
  <si>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</si>
  <si>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</si>
  <si>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</si>
  <si>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</si>
  <si>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</si>
  <si>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</si>
  <si>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</si>
  <si>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</si>
  <si>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</si>
  <si>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</si>
  <si>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</si>
  <si>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</si>
  <si>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</si>
  <si>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</si>
  <si>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</si>
  <si>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</si>
  <si>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</si>
  <si>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</si>
  <si>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</si>
  <si>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</si>
  <si>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</si>
  <si>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</si>
  <si>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</si>
  <si>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</si>
  <si>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</si>
  <si>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</si>
  <si>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</si>
  <si>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</si>
  <si>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</si>
  <si>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</si>
  <si>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</si>
  <si>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</si>
  <si>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</si>
  <si>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</si>
  <si>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</si>
  <si>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</si>
  <si>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</si>
  <si>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</si>
  <si>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</si>
  <si>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</si>
  <si>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</si>
  <si>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</si>
  <si>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</si>
  <si>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</si>
  <si>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</si>
  <si>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</si>
  <si>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</si>
  <si>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</si>
  <si>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</si>
  <si>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</si>
  <si>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</si>
  <si>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</si>
  <si>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</si>
  <si>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</si>
  <si>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</si>
  <si>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</si>
  <si>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</si>
  <si>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</si>
  <si>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</si>
  <si>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</si>
  <si>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</si>
  <si>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</si>
  <si>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</si>
  <si>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</si>
  <si>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</si>
  <si>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</si>
  <si>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</si>
  <si>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</si>
  <si>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</si>
  <si>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</si>
  <si>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</si>
  <si>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</si>
  <si>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</si>
  <si>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</si>
  <si>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</si>
  <si>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</si>
  <si>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</si>
  <si>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</si>
  <si>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</si>
  <si>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</si>
  <si>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</si>
  <si>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</si>
  <si>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</si>
  <si>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</si>
  <si>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</si>
  <si>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</si>
  <si>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</si>
  <si>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</si>
  <si>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</si>
  <si>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</si>
  <si>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</si>
  <si>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</si>
  <si>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</si>
  <si>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</si>
  <si>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</si>
  <si>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</si>
  <si>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</si>
  <si>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</si>
  <si>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</si>
  <si>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</si>
  <si>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</si>
  <si>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</si>
  <si>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</si>
  <si>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</si>
  <si>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</si>
  <si>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</si>
  <si>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</si>
  <si>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</si>
  <si>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</si>
  <si>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</si>
  <si>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</si>
  <si>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</si>
  <si>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</si>
  <si>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</si>
  <si>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</si>
  <si>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</si>
  <si>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</si>
  <si>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</si>
  <si>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</si>
  <si>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</si>
  <si>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</si>
  <si>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</si>
  <si>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</si>
  <si>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</si>
  <si>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</si>
  <si>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</si>
  <si>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</si>
  <si>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</si>
  <si>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</si>
  <si>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</si>
  <si>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</si>
  <si>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</si>
  <si>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</si>
  <si>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</si>
  <si>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</si>
  <si>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</si>
  <si>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</si>
  <si>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</si>
  <si>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</si>
  <si>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</si>
  <si>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</si>
  <si>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</si>
  <si>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</si>
  <si>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</si>
  <si>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</si>
  <si>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</si>
  <si>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</si>
  <si>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</si>
  <si>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</si>
  <si>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</si>
  <si>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</si>
  <si>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</si>
  <si>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</si>
  <si>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</si>
  <si>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</si>
  <si>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</si>
  <si>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</si>
  <si>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</si>
  <si>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</si>
  <si>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</si>
  <si>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</si>
  <si>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</si>
  <si>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</si>
  <si>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</si>
  <si>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</si>
  <si>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</si>
  <si>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</si>
  <si>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</si>
  <si>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</si>
  <si>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</si>
  <si>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</si>
  <si>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</si>
  <si>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</si>
  <si>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</si>
  <si>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</si>
  <si>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</si>
  <si>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</si>
  <si>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</si>
  <si>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</si>
  <si>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</si>
  <si>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</si>
  <si>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</si>
  <si>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</si>
  <si>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</si>
  <si>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</si>
  <si>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</si>
  <si>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</si>
  <si>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</si>
  <si>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</si>
  <si>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</si>
  <si>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</si>
  <si>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</si>
  <si>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</si>
  <si>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</si>
  <si>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</si>
  <si>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</si>
  <si>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</si>
  <si>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</si>
  <si>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</si>
  <si>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</si>
  <si>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</si>
  <si>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</si>
  <si>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</si>
  <si>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</si>
  <si>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</si>
  <si>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</si>
  <si>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</si>
  <si>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</si>
  <si>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</si>
  <si>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</si>
  <si>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</si>
  <si>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</si>
  <si>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</si>
  <si>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</si>
  <si>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</si>
  <si>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</si>
  <si>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</si>
  <si>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</si>
  <si>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</si>
  <si>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</si>
  <si>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</si>
  <si>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</si>
  <si>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</si>
  <si>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</si>
  <si>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</si>
  <si>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</si>
  <si>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</si>
  <si>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</si>
  <si>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</si>
  <si>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</si>
  <si>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</si>
  <si>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</si>
  <si>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</si>
  <si>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</si>
  <si>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</si>
  <si>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</si>
  <si>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</si>
  <si>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</si>
  <si>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</si>
  <si>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</si>
  <si>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</si>
  <si>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</si>
  <si>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</si>
  <si>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</si>
  <si>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</si>
  <si>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</si>
  <si>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</si>
  <si>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</si>
  <si>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</si>
  <si>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</si>
  <si>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</si>
  <si>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</si>
  <si>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</si>
  <si>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</si>
  <si>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</si>
  <si>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</si>
  <si>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</si>
  <si>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</si>
  <si>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</si>
  <si>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</si>
  <si>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</si>
  <si>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</si>
  <si>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</si>
  <si>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</si>
  <si>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</si>
  <si>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</si>
  <si>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</si>
  <si>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</si>
  <si>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</si>
  <si>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</si>
  <si>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</si>
  <si>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</si>
  <si>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</si>
  <si>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</si>
  <si>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</si>
  <si>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</si>
  <si>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</si>
  <si>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</si>
  <si>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</si>
  <si>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</si>
  <si>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</si>
  <si>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</si>
  <si>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</si>
  <si>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</si>
  <si>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</si>
  <si>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</si>
  <si>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</si>
  <si>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</si>
  <si>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</si>
  <si>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</si>
  <si>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</si>
  <si>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</si>
  <si>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</si>
  <si>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</si>
  <si>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</si>
  <si>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</si>
  <si>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</si>
  <si>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</si>
  <si>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</si>
  <si>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</si>
  <si>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</si>
  <si>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</si>
  <si>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</si>
  <si>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</si>
  <si>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</si>
  <si>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</si>
  <si>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</si>
  <si>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</si>
  <si>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</si>
  <si>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</si>
  <si>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</si>
  <si>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</si>
  <si>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</si>
  <si>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</si>
  <si>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</si>
  <si>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</si>
  <si>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</si>
  <si>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</si>
  <si>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</si>
  <si>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</si>
  <si>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</si>
  <si>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</si>
  <si>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</si>
  <si>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</si>
  <si>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</si>
  <si>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</si>
  <si>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</si>
  <si>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</si>
  <si>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</si>
  <si>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</si>
  <si>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</si>
  <si>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</si>
  <si>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</si>
  <si>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</si>
  <si>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</si>
  <si>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</si>
  <si>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</si>
  <si>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</si>
  <si>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</si>
  <si>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</si>
  <si>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</si>
  <si>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</si>
  <si>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</si>
  <si>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</si>
  <si>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</si>
  <si>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</si>
  <si>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</si>
  <si>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</si>
  <si>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</si>
  <si>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</si>
  <si>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</si>
  <si>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</si>
  <si>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</si>
  <si>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</si>
  <si>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</si>
  <si>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</si>
  <si>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</si>
  <si>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</si>
  <si>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</si>
  <si>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</si>
  <si>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</si>
  <si>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</si>
  <si>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</si>
  <si>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</si>
  <si>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</si>
  <si>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</si>
  <si>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</si>
  <si>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</si>
  <si>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</si>
  <si>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</si>
  <si>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</si>
  <si>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</si>
  <si>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</si>
  <si>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</si>
  <si>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</si>
  <si>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</si>
  <si>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</si>
  <si>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</si>
  <si>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</si>
  <si>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</si>
  <si>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</si>
  <si>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</si>
  <si>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</si>
  <si>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</si>
  <si>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</si>
  <si>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</si>
  <si>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</si>
  <si>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</si>
  <si>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</si>
  <si>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</si>
  <si>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</si>
  <si>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</si>
  <si>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</si>
  <si>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</si>
  <si>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</si>
  <si>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</si>
  <si>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</si>
  <si>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</si>
  <si>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</si>
  <si>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</si>
  <si>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</si>
  <si>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</si>
  <si>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</si>
  <si>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</si>
  <si>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</si>
  <si>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</si>
  <si>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</si>
  <si>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</si>
  <si>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</si>
  <si>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</si>
  <si>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</si>
  <si>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</si>
  <si>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</si>
  <si>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</si>
  <si>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</si>
  <si>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</si>
  <si>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</si>
  <si>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</si>
  <si>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</si>
  <si>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</si>
  <si>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</si>
  <si>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</si>
  <si>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</si>
  <si>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</si>
  <si>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</si>
  <si>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</si>
  <si>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</si>
  <si>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</si>
  <si>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</si>
  <si>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</si>
  <si>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</si>
  <si>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</si>
  <si>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</si>
  <si>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</si>
  <si>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</si>
  <si>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</si>
  <si>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</si>
  <si>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</si>
  <si>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</si>
  <si>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</si>
  <si>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</si>
  <si>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</si>
  <si>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</si>
  <si>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</si>
  <si>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</si>
  <si>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</si>
  <si>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</si>
  <si>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</si>
  <si>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</si>
  <si>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</si>
  <si>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</si>
  <si>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</si>
  <si>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</si>
  <si>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</si>
  <si>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</si>
  <si>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</si>
  <si>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</si>
  <si>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</si>
  <si>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</si>
  <si>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</si>
  <si>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</si>
  <si>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</si>
  <si>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</si>
  <si>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</si>
  <si>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</si>
  <si>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</si>
  <si>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</si>
  <si>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</si>
  <si>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</si>
  <si>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</si>
  <si>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</si>
  <si>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</si>
  <si>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</si>
  <si>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</si>
  <si>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</si>
  <si>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</si>
  <si>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</si>
  <si>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</si>
  <si>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</si>
  <si>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</si>
  <si>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</si>
  <si>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</si>
  <si>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</si>
  <si>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</si>
  <si>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</si>
  <si>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</si>
  <si>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</si>
  <si>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</si>
  <si>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</si>
  <si>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</si>
  <si>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</si>
  <si>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</si>
  <si>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</si>
  <si>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</si>
  <si>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</si>
  <si>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</si>
  <si>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</si>
  <si>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</si>
  <si>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</si>
  <si>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</si>
  <si>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</si>
  <si>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</si>
  <si>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</si>
  <si>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</si>
  <si>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</si>
  <si>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</si>
  <si>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</si>
  <si>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</si>
  <si>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</si>
  <si>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</si>
  <si>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</si>
  <si>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</si>
  <si>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</si>
  <si>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</si>
  <si>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</si>
  <si>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</si>
  <si>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</si>
  <si>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</si>
  <si>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</si>
  <si>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</si>
  <si>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</si>
  <si>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</si>
  <si>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</si>
  <si>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</si>
  <si>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</si>
  <si>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</si>
  <si>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</si>
  <si>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</si>
  <si>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</si>
  <si>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</si>
  <si>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</si>
  <si>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</si>
  <si>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</si>
  <si>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</si>
  <si>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</si>
  <si>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</si>
  <si>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</si>
  <si>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</si>
  <si>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</si>
  <si>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</si>
  <si>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</si>
  <si>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</si>
  <si>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</si>
  <si>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</si>
  <si>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</si>
  <si>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</si>
  <si>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</si>
  <si>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</si>
  <si>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</si>
  <si>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</si>
  <si>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</si>
  <si>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</si>
  <si>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</si>
  <si>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</si>
  <si>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</si>
  <si>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</si>
  <si>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</si>
  <si>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</si>
  <si>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</si>
  <si>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</si>
  <si>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</si>
  <si>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</si>
  <si>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</si>
  <si>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</si>
  <si>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</si>
  <si>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</si>
  <si>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</si>
  <si>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</si>
  <si>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</si>
  <si>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</si>
  <si>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</si>
  <si>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</si>
  <si>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</si>
  <si>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</si>
  <si>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</si>
  <si>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</si>
  <si>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</si>
  <si>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</si>
  <si>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</si>
  <si>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</si>
  <si>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</si>
  <si>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</si>
  <si>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</si>
  <si>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</si>
  <si>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</si>
  <si>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</si>
  <si>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</si>
  <si>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</si>
  <si>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</si>
  <si>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</si>
  <si>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</si>
  <si>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</si>
  <si>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</si>
  <si>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</si>
  <si>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</si>
  <si>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</si>
  <si>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</si>
  <si>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</si>
  <si>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</si>
  <si>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</si>
  <si>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</si>
  <si>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</si>
  <si>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</si>
  <si>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</si>
  <si>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</si>
  <si>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</si>
  <si>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</si>
  <si>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</si>
  <si>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</si>
  <si>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</si>
  <si>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</si>
  <si>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</si>
  <si>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</si>
  <si>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</si>
  <si>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</si>
  <si>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</si>
  <si>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</si>
  <si>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</si>
  <si>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</si>
  <si>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</si>
  <si>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</si>
  <si>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</si>
  <si>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</si>
  <si>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</si>
  <si>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</si>
  <si>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</si>
  <si>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</si>
  <si>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</si>
  <si>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</si>
  <si>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</si>
  <si>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</si>
  <si>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</si>
  <si>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</si>
  <si>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</si>
  <si>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</si>
  <si>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</si>
  <si>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</si>
  <si>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</si>
  <si>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</si>
  <si>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</si>
  <si>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</si>
  <si>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</si>
  <si>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</si>
  <si>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</si>
  <si>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</si>
  <si>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</si>
  <si>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</si>
  <si>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</si>
  <si>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</si>
  <si>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</si>
  <si>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</si>
  <si>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</si>
  <si>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</si>
  <si>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</si>
  <si>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</si>
  <si>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</si>
  <si>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</si>
  <si>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</si>
  <si>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</si>
  <si>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</si>
  <si>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</si>
  <si>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</si>
  <si>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</si>
  <si>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</si>
  <si>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</si>
  <si>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</si>
  <si>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</si>
  <si>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</si>
  <si>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</si>
  <si>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</si>
  <si>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</si>
  <si>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</si>
  <si>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</si>
  <si>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</si>
  <si>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</si>
  <si>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</si>
  <si>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</si>
  <si>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</si>
  <si>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</si>
  <si>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</si>
  <si>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</si>
  <si>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</si>
  <si>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</si>
  <si>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</si>
  <si>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</si>
  <si>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</si>
  <si>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</si>
  <si>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</si>
  <si>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</si>
  <si>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</si>
  <si>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</si>
  <si>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</si>
  <si>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</si>
  <si>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</si>
  <si>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</si>
  <si>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</si>
  <si>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</si>
  <si>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</si>
  <si>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</si>
  <si>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</si>
  <si>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</si>
  <si>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</si>
  <si>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</si>
  <si>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</si>
  <si>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</si>
  <si>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</si>
  <si>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</si>
  <si>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</si>
  <si>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</si>
  <si>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</si>
  <si>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</si>
  <si>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</si>
  <si>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</si>
  <si>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</si>
  <si>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</si>
  <si>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</si>
  <si>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</si>
  <si>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</si>
  <si>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</si>
  <si>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</si>
  <si>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</si>
  <si>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</si>
  <si>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</si>
  <si>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</si>
  <si>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</si>
  <si>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</si>
  <si>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</si>
  <si>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</si>
  <si>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</si>
  <si>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</si>
  <si>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</si>
  <si>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</si>
  <si>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</si>
  <si>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</si>
  <si>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</si>
  <si>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</si>
  <si>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</si>
  <si>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</si>
  <si>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</si>
  <si>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</si>
  <si>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</si>
  <si>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</si>
  <si>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</si>
  <si>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</si>
  <si>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</si>
  <si>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</si>
  <si>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</si>
  <si>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</si>
  <si>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</si>
  <si>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</si>
  <si>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</si>
  <si>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</si>
  <si>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</si>
  <si>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</si>
  <si>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</si>
  <si>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</si>
  <si>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</si>
  <si>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</si>
  <si>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</si>
  <si>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</si>
  <si>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</si>
  <si>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</si>
  <si>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</si>
  <si>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</si>
  <si>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</si>
  <si>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</si>
  <si>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</si>
  <si>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</si>
  <si>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</si>
  <si>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</si>
  <si>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</si>
  <si>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</si>
  <si>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</si>
  <si>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</si>
  <si>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</si>
  <si>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</si>
  <si>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</si>
  <si>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</si>
  <si>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</si>
  <si>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</si>
  <si>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</si>
  <si>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</si>
  <si>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</si>
  <si>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</si>
  <si>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</si>
  <si>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</si>
  <si>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</si>
  <si>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</si>
  <si>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</si>
  <si>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</si>
  <si>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</si>
  <si>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</si>
  <si>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</si>
  <si>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</si>
  <si>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</si>
  <si>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</si>
  <si>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</si>
  <si>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</si>
  <si>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</si>
  <si>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</si>
  <si>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</si>
  <si>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</si>
  <si>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</si>
  <si>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</si>
  <si>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</si>
  <si>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</si>
  <si>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</si>
  <si>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</si>
  <si>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</si>
  <si>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</si>
  <si>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</si>
  <si>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</si>
  <si>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</si>
  <si>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</si>
  <si>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</si>
  <si>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</si>
  <si>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</si>
  <si>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</si>
  <si>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</si>
  <si>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</si>
  <si>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</si>
  <si>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</si>
  <si>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</si>
  <si>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</si>
  <si>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</si>
  <si>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</si>
  <si>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</si>
  <si>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</si>
  <si>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</si>
  <si>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</si>
  <si>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</si>
  <si>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</si>
  <si>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</si>
  <si>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</si>
  <si>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</si>
  <si>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</si>
  <si>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</si>
  <si>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</si>
  <si>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</si>
  <si>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</si>
  <si>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</si>
  <si>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</si>
  <si>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</si>
  <si>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</si>
  <si>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</si>
  <si>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</si>
  <si>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</si>
  <si>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</si>
  <si>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</si>
  <si>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</si>
  <si>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</si>
  <si>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</si>
  <si>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</si>
  <si>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</si>
  <si>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</si>
  <si>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</si>
  <si>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</si>
  <si>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</si>
  <si>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</si>
  <si>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</si>
  <si>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</si>
  <si>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</si>
  <si>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</si>
  <si>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</si>
  <si>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</si>
  <si>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</si>
  <si>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</si>
  <si>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</si>
  <si>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</si>
  <si>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</si>
  <si>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</si>
  <si>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</si>
  <si>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</si>
  <si>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</si>
  <si>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</si>
  <si>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</si>
  <si>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</si>
  <si>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</si>
  <si>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</si>
  <si>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</si>
  <si>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</si>
  <si>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</si>
  <si>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</si>
  <si>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</si>
  <si>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</si>
  <si>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</si>
  <si>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</si>
  <si>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</si>
  <si>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</si>
  <si>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</si>
  <si>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</si>
  <si>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</si>
  <si>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</si>
  <si>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</si>
  <si>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</si>
  <si>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</si>
  <si>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</si>
  <si>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</si>
  <si>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</si>
  <si>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</si>
  <si>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</si>
  <si>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</si>
  <si>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</si>
  <si>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</si>
  <si>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</si>
  <si>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</si>
  <si>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</si>
  <si>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</si>
  <si>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</si>
  <si>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</si>
  <si>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</si>
  <si>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</si>
  <si>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</si>
  <si>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</si>
  <si>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</si>
  <si>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</si>
  <si>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</si>
  <si>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</si>
  <si>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</si>
  <si>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</si>
  <si>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</si>
  <si>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</si>
  <si>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</si>
  <si>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</si>
  <si>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</si>
  <si>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</si>
  <si>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</si>
  <si>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</si>
  <si>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</si>
  <si>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</si>
  <si>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</si>
  <si>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</si>
  <si>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</si>
  <si>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</si>
  <si>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</si>
  <si>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</si>
  <si>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</si>
  <si>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</si>
  <si>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</si>
  <si>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</si>
  <si>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</si>
  <si>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</si>
  <si>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</si>
  <si>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</si>
  <si>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</si>
  <si>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</si>
  <si>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</si>
  <si>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</si>
  <si>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</si>
  <si>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</si>
  <si>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</si>
  <si>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</si>
  <si>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</si>
  <si>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</si>
  <si>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</si>
  <si>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</si>
  <si>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</si>
  <si>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</si>
  <si>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</si>
  <si>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</si>
  <si>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</si>
  <si>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</si>
  <si>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</si>
  <si>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</si>
  <si>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</si>
  <si>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</si>
  <si>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</si>
  <si>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</si>
  <si>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</si>
  <si>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</si>
  <si>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</si>
  <si>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</si>
  <si>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</si>
  <si>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</si>
  <si>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</si>
  <si>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</si>
  <si>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</si>
  <si>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</si>
  <si>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</si>
  <si>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</si>
  <si>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</si>
  <si>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</si>
  <si>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</si>
  <si>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</si>
  <si>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</si>
  <si>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</si>
  <si>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</si>
  <si>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</si>
  <si>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</si>
  <si>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</si>
  <si>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</si>
  <si>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</si>
  <si>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</si>
  <si>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</si>
  <si>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</si>
  <si>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</si>
  <si>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</si>
  <si>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</si>
  <si>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</si>
  <si>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</si>
  <si>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</si>
  <si>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</si>
  <si>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</si>
  <si>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</si>
  <si>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</si>
  <si>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</si>
  <si>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</si>
  <si>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</si>
  <si>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</si>
  <si>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</si>
  <si>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</si>
  <si>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</si>
  <si>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</si>
  <si>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</si>
  <si>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</si>
  <si>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</si>
  <si>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</si>
  <si>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</si>
  <si>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</si>
  <si>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</si>
  <si>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</si>
  <si>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</si>
  <si>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</si>
  <si>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</si>
  <si>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</si>
  <si>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</si>
  <si>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</si>
  <si>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</si>
  <si>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</si>
  <si>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</si>
  <si>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</si>
  <si>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</si>
  <si>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</si>
  <si>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</si>
  <si>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</si>
  <si>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</si>
  <si>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</si>
  <si>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</si>
  <si>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</si>
  <si>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</si>
  <si>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</si>
  <si>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</si>
  <si>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</si>
  <si>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</si>
  <si>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</si>
  <si>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</si>
  <si>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</si>
  <si>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</si>
  <si>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</si>
  <si>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</si>
  <si>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</si>
  <si>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</si>
  <si>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</si>
  <si>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</si>
  <si>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</si>
  <si>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</si>
  <si>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</si>
  <si>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Biselats Alcoi</t>
  </si>
  <si>
    <t>Corredera y Fijo Negro Text.</t>
  </si>
  <si>
    <t>1680x2330 mm</t>
  </si>
  <si>
    <t>35007 - Techo vista, 2 m.</t>
  </si>
  <si>
    <t>35040 - 60 Kgrs.</t>
  </si>
  <si>
    <t>35037 - 60 Kgrs.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</si>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</sst>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13</xdr:row>
      <xdr:rowOff>171450</xdr:rowOff>
    </xdr:from>
    <xdr:to>
      <xdr:col>4</xdr:col>
      <xdr:colOff>517794</xdr:colOff>
      <xdr:row>25</xdr:row>
      <xdr:rowOff>45450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F575CC-1C73-9E5D-D65D-BD7FDFC2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800350"/>
          <a:ext cx="1889394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F28" sqref="F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20250069</v>
      </c>
      <c r="G7" s="8">
        <f ca="1">TODAY()</f>
        <v>45744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1415</v>
      </c>
      <c r="C13" s="82" t="str">
        <f>IFERROR(VLOOKUP($B13,Tarifa_all_20240711!$A$2:$G$660,2,FALSE()),"-")</f>
        <v>GUIA SUP TECHO PLUS LAC.NEGRO TEXTURADO-2 MTS</v>
      </c>
      <c r="D13" s="82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/>
      <c r="C14" s="82" t="str">
        <f>IFERROR(VLOOKUP($B14,Tarifa_all_20240711!$A$2:$G$660,2,FALSE()),"-")</f>
        <v>-</v>
      </c>
      <c r="D14" s="82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82" t="str">
        <f>IFERROR(VLOOKUP($B16,Tarifa_all_20240711!$A$2:$G$660,2,FALSE()),"-")</f>
        <v>KIT AMORTIGUADOR SKY BIDIRECCIONAL 60KG</v>
      </c>
      <c r="D16" s="82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130</v>
      </c>
      <c r="C17" s="82" t="str">
        <f>IFERROR(VLOOKUP($B17,Tarifa_all_20240711!$A$2:$G$660,2,FALSE()),"-")</f>
        <v>KIT PUERTA PA CORREDERA LAC.NEGRO TEXTURADO</v>
      </c>
      <c r="D17" s="82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82" t="str">
        <f>IFERROR(VLOOKUP($B18,Tarifa_all_20240711!$A$2:$G$660,2,FALSE()),"-")</f>
        <v>CARRO SKY MADERA 60KG</v>
      </c>
      <c r="D18" s="82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511</v>
      </c>
      <c r="C19" s="82" t="str">
        <f>IFERROR(VLOOKUP($B19,Tarifa_all_20240711!$A$2:$G$660,2,FALSE()),"-")</f>
        <v>TIRADOR RECT.ADH CAVE LAC.NEGRO TEXTURADO: 2 UDS</v>
      </c>
      <c r="D19" s="82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1132</v>
      </c>
      <c r="C20" s="82" t="str">
        <f>IFERROR(VLOOKUP($B20,Tarifa_all_20240711!$A$2:$G$660,2,FALSE()),"-")</f>
        <v>GUIADOR FIJO PA LAC.NEGRO TEXTURADO</v>
      </c>
      <c r="D20" s="82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76" t="s">
        <v>139</v>
      </c>
      <c r="C21" s="83" t="str">
        <f>IFERROR(VLOOKUP($B21,Tarifa_all_20240711!$A$2:$G$660,2,FALSE()),"-")</f>
        <v>PERFIL EMBELL.HORIZ. ADH LAC.NEGRO TEXTURADO</v>
      </c>
      <c r="D21" s="83"/>
      <c r="E21" s="77">
        <v>4</v>
      </c>
      <c r="F21" s="78">
        <f>IFERROR(VLOOKUP($B21,Tarifa_all_20240711!$A$2:$G$660,5,FALSE()),"-")</f>
        <v>21.794999999999998</v>
      </c>
      <c r="G21" s="78">
        <f t="shared" si="0"/>
        <v>87.179999999999993</v>
      </c>
      <c r="H21" s="1"/>
    </row>
    <row r="22" spans="1:8" x14ac:dyDescent="0.25">
      <c r="B22" s="16" t="s">
        <v>456</v>
      </c>
      <c r="C22" s="82" t="str">
        <f>IFERROR(VLOOKUP($B22,Tarifa_all_20240711!$A$2:$G$660,2,FALSE()),"-")</f>
        <v>MARCO FIJOS 35MM D-DECOR FIJO NEGRO TEXT 3 MTS</v>
      </c>
      <c r="D22" s="82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8" x14ac:dyDescent="0.25">
      <c r="B23" s="16" t="s">
        <v>436</v>
      </c>
      <c r="C23" s="82" t="str">
        <f>IFERROR(VLOOKUP($B23,Tarifa_all_20240711!$A$2:$G$660,2,FALSE()),"-")</f>
        <v>ANCLAJE TAPA 35MM D-DECOR FIJO NEGRO TEXT 3 MTS</v>
      </c>
      <c r="D23" s="82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8" x14ac:dyDescent="0.25">
      <c r="B24" s="16" t="s">
        <v>476</v>
      </c>
      <c r="C24" s="82" t="str">
        <f>IFERROR(VLOOKUP($B24,Tarifa_all_20240711!$A$2:$G$660,2,FALSE()),"-")</f>
        <v>TAPA MARCO 35MM D-DECOR FIJO NEGRO TEXT 3 MTS</v>
      </c>
      <c r="D24" s="82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8" x14ac:dyDescent="0.25">
      <c r="B25" s="16" t="s">
        <v>446</v>
      </c>
      <c r="C25" s="82" t="str">
        <f>IFERROR(VLOOKUP($B25,Tarifa_all_20240711!$A$2:$G$660,2,FALSE()),"-")</f>
        <v>PERFIL MINIMALISTA D-DECOR FIJO NEGRO TEXT 3 MTS</v>
      </c>
      <c r="D25" s="82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294</v>
      </c>
      <c r="C26" s="82" t="str">
        <f>IFERROR(VLOOKUP($B26,Tarifa_all_20240711!$A$2:$G$660,2,FALSE()),"-")</f>
        <v>Tope Domo Decor</v>
      </c>
      <c r="D26" s="82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296</v>
      </c>
      <c r="C27" s="82" t="str">
        <f>IFERROR(VLOOKUP($B27,Tarifa_all_20240711!$A$2:$G$660,2,FALSE()),"-")</f>
        <v>PERFIL 3 MTS REDUCTOR PARA VIDRIO 6mm</v>
      </c>
      <c r="D27" s="82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82" t="str">
        <f>IFERROR(VLOOKUP($B28,Tarifa_all_20240711!$A$2:$G$660,2,FALSE()),"-")</f>
        <v>COMPLEMENTO FIJACION DOMO DECOR: BARRAS 3 MTS</v>
      </c>
      <c r="D28" s="82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652.75500000000011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topLeftCell="A15" zoomScaleNormal="85" zoomScaleSheetLayoutView="100" workbookViewId="0">
      <selection activeCell="G20" sqref="G2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Biselats Alcoi</v>
      </c>
      <c r="C9" s="90"/>
      <c r="D9" s="90"/>
      <c r="F9" s="3" t="s">
        <v>81</v>
      </c>
      <c r="G9" s="44">
        <f ca="1">TODAY()</f>
        <v>45744</v>
      </c>
    </row>
    <row r="10" spans="1:7" x14ac:dyDescent="0.25">
      <c r="A10" s="3" t="s">
        <v>82</v>
      </c>
      <c r="B10" s="11" t="str">
        <f>'DESPIECE (MATANALYSIS)'!C9</f>
        <v>Corredera y Fijo Negro Text.</v>
      </c>
      <c r="C10" s="45"/>
      <c r="D10" s="45"/>
      <c r="E10" s="46"/>
      <c r="F10" s="47" t="s">
        <v>83</v>
      </c>
      <c r="G10" s="7">
        <f>'DESPIECE (MATANALYSIS)'!C7</f>
        <v>20250069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95</v>
      </c>
      <c r="B47" s="86"/>
      <c r="C47" s="59"/>
      <c r="D47" s="59"/>
      <c r="E47" s="59"/>
      <c r="F47" s="87">
        <f>'DESPIECE (MATANALYSIS)'!G31</f>
        <v>652.75500000000011</v>
      </c>
      <c r="G47" s="87"/>
    </row>
    <row r="48" spans="1:7" s="1" customFormat="1" ht="22.7" customHeight="1" x14ac:dyDescent="0.25">
      <c r="A48" s="88" t="s">
        <v>96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2025-03-28T12:29:20Z</dcterms:modified>
  <dc:language>es-ES</dc:language>
</cp:coreProperties>
</file>