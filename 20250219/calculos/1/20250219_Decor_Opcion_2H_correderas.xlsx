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19\calculos\1\"/>
    </mc:Choice>
  </mc:AlternateContent>
  <xr:revisionPtr revIDLastSave="0" documentId="13_ncr:1_{037B13C9-6C26-47AB-9056-189B5517A9EC}" xr6:coauthVersionLast="47" xr6:coauthVersionMax="47" xr10:uidLastSave="{00000000-0000-0000-0000-000000000000}"/>
  <bookViews>
    <workbookView xWindow="-289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<sst xmlns="http://schemas.openxmlformats.org/spreadsheetml/2006/main" count="5402" uniqueCount="1453">
  <si>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</si>
  <si>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</si>
  <si>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</si>
  <si>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</si>
  <si>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</si>
  <si>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</si>
  <si>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</si>
  <si>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</si>
  <si>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</si>
  <si>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</si>
  <si>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</si>
  <si>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</si>
  <si>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</si>
  <si>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</si>
  <si>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</si>
  <si>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</si>
  <si>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</si>
  <si>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</si>
  <si>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</si>
  <si>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</si>
  <si>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</si>
  <si>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</si>
  <si>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</si>
  <si>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</si>
  <si>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</si>
  <si>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</si>
  <si>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</si>
  <si>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</si>
  <si>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</si>
  <si>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</si>
  <si>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</si>
  <si>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</si>
  <si>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</si>
  <si>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</si>
  <si>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</si>
  <si>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</si>
  <si>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</si>
  <si>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</si>
  <si>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</si>
  <si>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</si>
  <si>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</si>
  <si>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</si>
  <si>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</si>
  <si>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</si>
  <si>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</si>
  <si>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</si>
  <si>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</si>
  <si>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</si>
  <si>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</si>
  <si>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</si>
  <si>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</si>
  <si>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</si>
  <si>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</si>
  <si>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</si>
  <si>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</si>
  <si>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</si>
  <si>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</si>
  <si>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</si>
  <si>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</si>
  <si>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</si>
  <si>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</si>
  <si>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</si>
  <si>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</si>
  <si>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</si>
  <si>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</si>
  <si>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</si>
  <si>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</si>
  <si>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</si>
  <si>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</si>
  <si>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</si>
  <si>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</si>
  <si>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</si>
  <si>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</si>
  <si>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</si>
  <si>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</si>
  <si>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</si>
  <si>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</si>
  <si>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</si>
  <si>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</si>
  <si>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</si>
  <si>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</si>
  <si>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</si>
  <si>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</si>
  <si>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</si>
  <si>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</si>
  <si>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</si>
  <si>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</si>
  <si>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</si>
  <si>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</si>
  <si>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</si>
  <si>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</si>
  <si>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</si>
  <si>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</si>
  <si>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</si>
  <si>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</si>
  <si>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</si>
  <si>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</si>
  <si>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</si>
  <si>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</si>
  <si>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</si>
  <si>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</si>
  <si>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</si>
  <si>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</si>
  <si>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</si>
  <si>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</si>
  <si>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</si>
  <si>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</si>
  <si>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</si>
  <si>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</si>
  <si>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</si>
  <si>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</si>
  <si>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</si>
  <si>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</si>
  <si>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</si>
  <si>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</si>
  <si>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</si>
  <si>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</si>
  <si>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</si>
  <si>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</si>
  <si>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</si>
  <si>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</si>
  <si>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</si>
  <si>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</si>
  <si>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</si>
  <si>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</si>
  <si>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</si>
  <si>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</si>
  <si>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</si>
  <si>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</si>
  <si>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</si>
  <si>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</si>
  <si>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</si>
  <si>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</si>
  <si>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</si>
  <si>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</si>
  <si>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</si>
  <si>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</si>
  <si>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</si>
  <si>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</si>
  <si>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</si>
  <si>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</si>
  <si>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</si>
  <si>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</si>
  <si>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</si>
  <si>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</si>
  <si>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</si>
  <si>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</si>
  <si>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</si>
  <si>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</si>
  <si>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</si>
  <si>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</si>
  <si>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</si>
  <si>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</si>
  <si>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</si>
  <si>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</si>
  <si>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</si>
  <si>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</si>
  <si>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</si>
  <si>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</si>
  <si>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</si>
  <si>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</si>
  <si>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</si>
  <si>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</si>
  <si>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</si>
  <si>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</si>
  <si>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</si>
  <si>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</si>
  <si>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</si>
  <si>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</si>
  <si>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</si>
  <si>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</si>
  <si>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</si>
  <si>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</si>
  <si>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</si>
  <si>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</si>
  <si>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</si>
  <si>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</si>
  <si>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</si>
  <si>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</si>
  <si>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</si>
  <si>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</si>
  <si>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</si>
  <si>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</si>
  <si>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</si>
  <si>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</si>
  <si>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</si>
  <si>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</si>
  <si>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</si>
  <si>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</si>
  <si>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</si>
  <si>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</si>
  <si>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</si>
  <si>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</si>
  <si>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</si>
  <si>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</si>
  <si>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</si>
  <si>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</si>
  <si>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</si>
  <si>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</si>
  <si>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</si>
  <si>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</si>
  <si>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</si>
  <si>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</si>
  <si>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</si>
  <si>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</si>
  <si>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</si>
  <si>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</si>
  <si>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</si>
  <si>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</si>
  <si>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</si>
  <si>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</si>
  <si>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</si>
  <si>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</si>
  <si>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</si>
  <si>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</si>
  <si>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</si>
  <si>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</si>
  <si>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</si>
  <si>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</si>
  <si>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</si>
  <si>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</si>
  <si>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</si>
  <si>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</si>
  <si>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</si>
  <si>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</si>
  <si>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</si>
  <si>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</si>
  <si>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</si>
  <si>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</si>
  <si>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</si>
  <si>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</si>
  <si>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</si>
  <si>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</si>
  <si>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</si>
  <si>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</si>
  <si>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</si>
  <si>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</si>
  <si>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</si>
  <si>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</si>
  <si>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</si>
  <si>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</si>
  <si>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</si>
  <si>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</si>
  <si>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</si>
  <si>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</si>
  <si>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</si>
  <si>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</si>
  <si>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</si>
  <si>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</si>
  <si>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</si>
  <si>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</si>
  <si>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</si>
  <si>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</si>
  <si>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</si>
  <si>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</si>
  <si>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</si>
  <si>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</si>
  <si>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</si>
  <si>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</si>
  <si>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</si>
  <si>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</si>
  <si>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</si>
  <si>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</si>
  <si>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</si>
  <si>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</si>
  <si>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</si>
  <si>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</si>
  <si>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</si>
  <si>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</si>
  <si>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</si>
  <si>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</si>
  <si>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</si>
  <si>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</si>
  <si>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</si>
  <si>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</si>
  <si>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</si>
  <si>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</si>
  <si>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</si>
  <si>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</si>
  <si>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</si>
  <si>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</si>
  <si>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</si>
  <si>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</si>
  <si>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</si>
  <si>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</si>
  <si>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</si>
  <si>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</si>
  <si>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</si>
  <si>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</si>
  <si>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</si>
  <si>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</si>
  <si>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</si>
  <si>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</si>
  <si>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</si>
  <si>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</si>
  <si>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</si>
  <si>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</si>
  <si>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</si>
  <si>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</si>
  <si>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</si>
  <si>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</si>
  <si>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</si>
  <si>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</si>
  <si>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</si>
  <si>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</si>
  <si>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</si>
  <si>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</si>
  <si>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</si>
  <si>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</si>
  <si>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</si>
  <si>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</si>
  <si>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</si>
  <si>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</si>
  <si>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</si>
  <si>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</si>
  <si>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</si>
  <si>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</si>
  <si>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</si>
  <si>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</si>
  <si>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</si>
  <si>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</si>
  <si>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</si>
  <si>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</si>
  <si>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</si>
  <si>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</si>
  <si>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</si>
  <si>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</si>
  <si>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</si>
  <si>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</si>
  <si>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</si>
  <si>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</si>
  <si>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</si>
  <si>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</si>
  <si>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</si>
  <si>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</si>
  <si>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</si>
  <si>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</si>
  <si>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</si>
  <si>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</si>
  <si>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</si>
  <si>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</si>
  <si>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</si>
  <si>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</si>
  <si>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</si>
  <si>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</si>
  <si>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</si>
  <si>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</si>
  <si>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</si>
  <si>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</si>
  <si>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</si>
  <si>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</si>
  <si>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</si>
  <si>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</si>
  <si>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</si>
  <si>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</si>
  <si>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</si>
  <si>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</si>
  <si>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</si>
  <si>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</si>
  <si>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</si>
  <si>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</si>
  <si>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</si>
  <si>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</si>
  <si>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</si>
  <si>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</si>
  <si>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</si>
  <si>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</si>
  <si>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</si>
  <si>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</si>
  <si>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</si>
  <si>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</si>
  <si>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</si>
  <si>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</si>
  <si>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</si>
  <si>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</si>
  <si>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</si>
  <si>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</si>
  <si>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</si>
  <si>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</si>
  <si>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</si>
  <si>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</si>
  <si>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</si>
  <si>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</si>
  <si>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</si>
  <si>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</si>
  <si>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</si>
  <si>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</si>
  <si>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</si>
  <si>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</si>
  <si>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</si>
  <si>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</si>
  <si>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</si>
  <si>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</si>
  <si>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</si>
  <si>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</si>
  <si>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</si>
  <si>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</si>
  <si>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</si>
  <si>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</si>
  <si>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</si>
  <si>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</si>
  <si>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</si>
  <si>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</si>
  <si>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</si>
  <si>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</si>
  <si>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</si>
  <si>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</si>
  <si>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</si>
  <si>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</si>
  <si>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</si>
  <si>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</si>
  <si>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</si>
  <si>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</si>
  <si>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</si>
  <si>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</si>
  <si>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</si>
  <si>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</si>
  <si>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</si>
  <si>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</si>
  <si>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</si>
  <si>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</si>
  <si>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</si>
  <si>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</si>
  <si>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</si>
  <si>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</si>
  <si>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</si>
  <si>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</si>
  <si>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</si>
  <si>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</si>
  <si>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</si>
  <si>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</si>
  <si>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</si>
  <si>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</si>
  <si>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</si>
  <si>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</si>
  <si>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</si>
  <si>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</si>
  <si>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</si>
  <si>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</si>
  <si>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</si>
  <si>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</si>
  <si>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</si>
  <si>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</si>
  <si>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</si>
  <si>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</si>
  <si>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</si>
  <si>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</si>
  <si>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</si>
  <si>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</si>
  <si>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</si>
  <si>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</si>
  <si>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</si>
  <si>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</si>
  <si>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</si>
  <si>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</si>
  <si>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</si>
  <si>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</si>
  <si>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</si>
  <si>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</si>
  <si>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</si>
  <si>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</si>
  <si>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</si>
  <si>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</si>
  <si>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</si>
  <si>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</si>
  <si>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</si>
  <si>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</si>
  <si>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</si>
  <si>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</si>
  <si>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</si>
  <si>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</si>
  <si>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</si>
  <si>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</si>
  <si>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</si>
  <si>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</si>
  <si>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</si>
  <si>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</si>
  <si>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</si>
  <si>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</si>
  <si>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</si>
  <si>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</si>
  <si>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</si>
  <si>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</si>
  <si>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</si>
  <si>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</si>
  <si>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</si>
  <si>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</si>
  <si>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</si>
  <si>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</si>
  <si>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</si>
  <si>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</si>
  <si>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</si>
  <si>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</si>
  <si>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</si>
  <si>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</si>
  <si>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</si>
  <si>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</si>
  <si>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</si>
  <si>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</si>
  <si>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</si>
  <si>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</si>
  <si>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</si>
  <si>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</si>
  <si>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</si>
  <si>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</si>
  <si>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</si>
  <si>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</si>
  <si>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</si>
  <si>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</si>
  <si>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</si>
  <si>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</si>
  <si>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</si>
  <si>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</si>
  <si>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</si>
  <si>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</si>
  <si>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</si>
  <si>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</si>
  <si>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</si>
  <si>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</si>
  <si>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</si>
  <si>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</si>
  <si>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</si>
  <si>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</si>
  <si>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</si>
  <si>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</si>
  <si>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</si>
  <si>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</si>
  <si>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</si>
  <si>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</si>
  <si>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</si>
  <si>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</si>
  <si>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</si>
  <si>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</si>
  <si>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</si>
  <si>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</si>
  <si>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</si>
  <si>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</si>
  <si>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</si>
  <si>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</si>
  <si>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</si>
  <si>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</si>
  <si>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</si>
  <si>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</si>
  <si>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</si>
  <si>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</si>
  <si>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</si>
  <si>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</si>
  <si>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</si>
  <si>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</si>
  <si>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</si>
  <si>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</si>
  <si>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</si>
  <si>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</si>
  <si>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</si>
  <si>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</si>
  <si>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</si>
  <si>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</si>
  <si>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</si>
  <si>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</si>
  <si>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</si>
  <si>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</si>
  <si>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</si>
  <si>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</si>
  <si>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</si>
  <si>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</si>
  <si>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</si>
  <si>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</si>
  <si>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</si>
  <si>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</si>
  <si>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</si>
  <si>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</si>
  <si>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</si>
  <si>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</si>
  <si>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</si>
  <si>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</si>
  <si>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</si>
  <si>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</si>
  <si>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</si>
  <si>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</si>
  <si>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</si>
  <si>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</si>
  <si>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</si>
  <si>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</si>
  <si>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</si>
  <si>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</si>
  <si>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</si>
  <si>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</si>
  <si>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</si>
  <si>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</si>
  <si>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</si>
  <si>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</si>
  <si>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</si>
  <si>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</si>
  <si>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</si>
  <si>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</si>
  <si>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</si>
  <si>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</si>
  <si>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</si>
  <si>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</si>
  <si>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</si>
  <si>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</si>
  <si>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</si>
  <si>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</si>
  <si>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</si>
  <si>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</si>
  <si>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</si>
  <si>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</si>
  <si>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</si>
  <si>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</si>
  <si>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</si>
  <si>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</si>
  <si>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</si>
  <si>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</si>
  <si>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</si>
  <si>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</si>
  <si>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</si>
  <si>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</si>
  <si>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</si>
  <si>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</si>
  <si>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</si>
  <si>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</si>
  <si>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</si>
  <si>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</si>
  <si>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</si>
  <si>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</si>
  <si>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</si>
  <si>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</si>
  <si>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</si>
  <si>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</si>
  <si>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</si>
  <si>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</si>
  <si>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</si>
  <si>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</si>
  <si>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</si>
  <si>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</si>
  <si>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</si>
  <si>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</si>
  <si>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</si>
  <si>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</si>
  <si>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</si>
  <si>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</si>
  <si>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</si>
  <si>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</si>
  <si>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</si>
  <si>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</si>
  <si>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</si>
  <si>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</si>
  <si>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</si>
  <si>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</si>
  <si>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</si>
  <si>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</si>
  <si>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</si>
  <si>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</si>
  <si>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</si>
  <si>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</si>
  <si>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</si>
  <si>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</si>
  <si>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</si>
  <si>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</si>
  <si>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</si>
  <si>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</si>
  <si>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</si>
  <si>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</si>
  <si>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</si>
  <si>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</si>
  <si>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</si>
  <si>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</si>
  <si>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</si>
  <si>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</si>
  <si>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</si>
  <si>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</si>
  <si>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</si>
  <si>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</si>
  <si>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</si>
  <si>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</si>
  <si>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</si>
  <si>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</si>
  <si>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</si>
  <si>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</si>
  <si>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</si>
  <si>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</si>
  <si>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</si>
  <si>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</si>
  <si>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</si>
  <si>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</si>
  <si>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</si>
  <si>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</si>
  <si>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</si>
  <si>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</si>
  <si>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</si>
  <si>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</si>
  <si>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</si>
  <si>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</si>
  <si>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</si>
  <si>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</si>
  <si>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</si>
  <si>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</si>
  <si>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</si>
  <si>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</si>
  <si>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</si>
  <si>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</si>
  <si>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</si>
  <si>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</si>
  <si>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</si>
  <si>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</si>
  <si>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</si>
  <si>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</si>
  <si>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</si>
  <si>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</si>
  <si>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</si>
  <si>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</si>
  <si>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</si>
  <si>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</si>
  <si>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</si>
  <si>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</si>
  <si>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</si>
  <si>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</si>
  <si>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</si>
  <si>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</si>
  <si>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</si>
  <si>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</si>
  <si>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</si>
  <si>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</si>
  <si>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</si>
  <si>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</si>
  <si>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</si>
  <si>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</si>
  <si>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</si>
  <si>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</si>
  <si>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</si>
  <si>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</si>
  <si>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</si>
  <si>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</si>
  <si>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</si>
  <si>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</si>
  <si>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</si>
  <si>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</si>
  <si>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</si>
  <si>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</si>
  <si>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</si>
  <si>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</si>
  <si>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</si>
  <si>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</si>
  <si>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</si>
  <si>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</si>
  <si>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</si>
  <si>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</si>
  <si>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</si>
  <si>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</si>
  <si>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</si>
  <si>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</si>
  <si>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</si>
  <si>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</si>
  <si>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</si>
  <si>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</si>
  <si>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</si>
  <si>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</si>
  <si>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</si>
  <si>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</si>
  <si>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</si>
  <si>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</si>
  <si>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</si>
  <si>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</si>
  <si>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</si>
  <si>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</si>
  <si>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</si>
  <si>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</si>
  <si>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</si>
  <si>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</si>
  <si>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</si>
  <si>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</si>
  <si>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</si>
  <si>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</si>
  <si>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</si>
  <si>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</si>
  <si>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</si>
  <si>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</si>
  <si>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</si>
  <si>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</si>
  <si>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</si>
  <si>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</si>
  <si>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</si>
  <si>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</si>
  <si>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</si>
  <si>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</si>
  <si>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</si>
  <si>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</si>
  <si>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</si>
  <si>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</si>
  <si>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</si>
  <si>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</si>
  <si>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</si>
  <si>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</si>
  <si>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</si>
  <si>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</si>
  <si>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</si>
  <si>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</si>
  <si>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</si>
  <si>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</si>
  <si>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</si>
  <si>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</si>
  <si>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</si>
  <si>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</si>
  <si>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</si>
  <si>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</si>
  <si>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</si>
  <si>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</si>
  <si>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</si>
  <si>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</si>
  <si>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</si>
  <si>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</si>
  <si>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</si>
  <si>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</si>
  <si>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</si>
  <si>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</si>
  <si>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</si>
  <si>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</si>
  <si>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</si>
  <si>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</si>
  <si>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</si>
  <si>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</si>
  <si>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</si>
  <si>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</si>
  <si>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</si>
  <si>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</si>
  <si>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</si>
  <si>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</si>
  <si>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</si>
  <si>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</si>
  <si>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</si>
  <si>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</si>
  <si>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</si>
  <si>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</si>
  <si>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</si>
  <si>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</si>
  <si>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</si>
  <si>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</si>
  <si>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</si>
  <si>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</si>
  <si>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</si>
  <si>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</si>
  <si>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</si>
  <si>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</si>
  <si>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</si>
  <si>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</si>
  <si>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</si>
  <si>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</si>
  <si>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</si>
  <si>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</si>
  <si>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</si>
  <si>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</si>
  <si>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</si>
  <si>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</si>
  <si>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</si>
  <si>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</si>
  <si>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</si>
  <si>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</si>
  <si>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</si>
  <si>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</si>
  <si>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</si>
  <si>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</si>
  <si>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</si>
  <si>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</si>
  <si>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</si>
  <si>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</si>
  <si>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</si>
  <si>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</si>
  <si>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</si>
  <si>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</si>
  <si>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</si>
  <si>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</si>
  <si>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</si>
  <si>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</si>
  <si>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</si>
  <si>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</si>
  <si>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</si>
  <si>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</si>
  <si>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</si>
  <si>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</si>
  <si>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</si>
  <si>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</si>
  <si>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</si>
  <si>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</si>
  <si>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</si>
  <si>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</si>
  <si>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</si>
  <si>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</si>
  <si>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</si>
  <si>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</si>
  <si>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</si>
  <si>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</si>
  <si>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</si>
  <si>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</si>
  <si>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</si>
  <si>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</si>
  <si>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</si>
  <si>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</si>
  <si>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</si>
  <si>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</si>
  <si>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</si>
  <si>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</si>
  <si>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</si>
  <si>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</si>
  <si>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</si>
  <si>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</si>
  <si>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</si>
  <si>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</si>
  <si>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</si>
  <si>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</si>
  <si>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</si>
  <si>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</si>
  <si>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</si>
  <si>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</si>
  <si>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</si>
  <si>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</si>
  <si>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</si>
  <si>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</si>
  <si>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</si>
  <si>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</si>
  <si>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</si>
  <si>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</si>
  <si>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</si>
  <si>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</si>
  <si>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</si>
  <si>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</si>
  <si>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</si>
  <si>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</si>
  <si>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</si>
  <si>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</si>
  <si>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</si>
  <si>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</si>
  <si>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</si>
  <si>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</si>
  <si>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</si>
  <si>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</si>
  <si>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</si>
  <si>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</si>
  <si>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</si>
  <si>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</si>
  <si>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</si>
  <si>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</si>
  <si>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</si>
  <si>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</si>
  <si>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</si>
  <si>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</si>
  <si>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</si>
  <si>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</si>
  <si>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</si>
  <si>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</si>
  <si>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</si>
  <si>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</si>
  <si>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</si>
  <si>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</si>
  <si>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</si>
  <si>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</si>
  <si>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</si>
  <si>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</si>
  <si>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</si>
  <si>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</si>
  <si>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</si>
  <si>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</si>
  <si>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</si>
  <si>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</si>
  <si>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</si>
  <si>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</si>
  <si>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</si>
  <si>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</si>
  <si>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</si>
  <si>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</si>
  <si>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</si>
  <si>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</si>
  <si>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</si>
  <si>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</si>
  <si>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</si>
  <si>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</si>
  <si>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</si>
  <si>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</si>
  <si>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</si>
  <si>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</si>
  <si>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</si>
  <si>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</si>
  <si>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</si>
  <si>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</si>
  <si>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</si>
  <si>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</si>
  <si>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</si>
  <si>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</si>
  <si>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</si>
  <si>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</si>
  <si>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</si>
  <si>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</si>
  <si>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</si>
  <si>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</si>
  <si>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</si>
  <si>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</si>
  <si>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</si>
  <si>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</si>
  <si>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</si>
  <si>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</si>
  <si>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</si>
  <si>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</si>
  <si>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</si>
  <si>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</si>
  <si>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</si>
  <si>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</si>
  <si>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</si>
  <si>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</si>
  <si>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</si>
  <si>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</si>
  <si>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</si>
  <si>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</si>
  <si>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</si>
  <si>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</si>
  <si>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</si>
  <si>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</si>
  <si>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</si>
  <si>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</si>
  <si>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</si>
  <si>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</si>
  <si>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</si>
  <si>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</si>
  <si>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</si>
  <si>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</si>
  <si>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</si>
  <si>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</si>
  <si>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</si>
  <si>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</si>
  <si>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</si>
  <si>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</si>
  <si>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</si>
  <si>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</si>
  <si>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</si>
  <si>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</si>
  <si>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</si>
  <si>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</si>
  <si>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</si>
  <si>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</si>
  <si>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</si>
  <si>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</si>
  <si>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</si>
  <si>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</si>
  <si>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</si>
  <si>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</si>
  <si>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</si>
  <si>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</si>
  <si>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</si>
  <si>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</si>
  <si>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</si>
  <si>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</si>
  <si>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</si>
  <si>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</si>
  <si>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</si>
  <si>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</si>
  <si>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</si>
  <si>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</si>
  <si>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</si>
  <si>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</si>
  <si>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</si>
  <si>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</si>
  <si>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</si>
  <si>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</si>
  <si>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</si>
  <si>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</si>
  <si>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</si>
  <si>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</si>
  <si>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</si>
  <si>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</si>
  <si>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</si>
  <si>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</si>
  <si>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</si>
  <si>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</si>
  <si>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</si>
  <si>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</si>
  <si>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</si>
  <si>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</si>
  <si>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</si>
  <si>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</si>
  <si>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</si>
  <si>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</si>
  <si>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</si>
  <si>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</si>
  <si>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</si>
  <si>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</si>
  <si>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</si>
  <si>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</si>
  <si>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</si>
  <si>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</si>
  <si>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</si>
  <si>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</si>
  <si>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</si>
  <si>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</si>
  <si>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</si>
  <si>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</si>
  <si>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</si>
  <si>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</si>
  <si>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</si>
  <si>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</si>
  <si>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</si>
  <si>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</si>
  <si>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</si>
  <si>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</si>
  <si>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</si>
  <si>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</si>
  <si>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</si>
  <si>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</si>
  <si>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</si>
  <si>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</si>
  <si>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</si>
  <si>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</si>
  <si>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</si>
  <si>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</si>
  <si>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</si>
  <si>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</si>
  <si>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</si>
  <si>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</si>
  <si>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</si>
  <si>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</si>
  <si>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</si>
  <si>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</si>
  <si>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</si>
  <si>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</si>
  <si>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</si>
  <si>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</si>
  <si>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</si>
  <si>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</si>
  <si>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</si>
  <si>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</si>
  <si>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</si>
  <si>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</si>
  <si>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</si>
  <si>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</si>
  <si>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</si>
  <si>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</si>
  <si>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</si>
  <si>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</si>
  <si>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</si>
  <si>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</si>
  <si>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</si>
  <si>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</si>
  <si>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</si>
  <si>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</si>
  <si>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</si>
  <si>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</si>
  <si>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</si>
  <si>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</si>
  <si>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</si>
  <si>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</si>
  <si>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</si>
  <si>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</si>
  <si>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</si>
  <si>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</si>
  <si>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</si>
  <si>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</si>
  <si>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</si>
  <si>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</si>
  <si>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</si>
  <si>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</si>
  <si>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</si>
  <si>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</si>
  <si>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</si>
  <si>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</si>
  <si>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</si>
  <si>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</si>
  <si>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</si>
  <si>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</si>
  <si>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</si>
  <si>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</si>
  <si>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</si>
  <si>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</si>
  <si>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</si>
  <si>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</si>
  <si>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</si>
  <si>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</si>
  <si>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</si>
  <si>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</si>
  <si>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</si>
  <si>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</si>
  <si>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</si>
  <si>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</si>
  <si>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</si>
  <si>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</si>
  <si>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</si>
  <si>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</si>
  <si>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</si>
  <si>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</si>
  <si>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</si>
  <si>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</si>
  <si>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</si>
  <si>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</si>
  <si>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</si>
  <si>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</si>
  <si>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</si>
  <si>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</si>
  <si>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</si>
  <si>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</si>
  <si>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</si>
  <si>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</si>
  <si>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</si>
  <si>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</si>
  <si>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</si>
  <si>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</si>
  <si>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</si>
  <si>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</si>
  <si>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</si>
  <si>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</si>
  <si>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</si>
  <si>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</si>
  <si>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</si>
  <si>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</si>
  <si>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</si>
  <si>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</si>
  <si>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</si>
  <si>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</si>
  <si>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</si>
  <si>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</si>
  <si>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</si>
  <si>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</si>
  <si>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</si>
  <si>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</si>
  <si>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</si>
  <si>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</si>
  <si>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</si>
  <si>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</si>
  <si>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</si>
  <si>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</si>
  <si>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</si>
  <si>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</si>
  <si>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</si>
  <si>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</si>
  <si>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</si>
  <si>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</si>
  <si>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</si>
  <si>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</si>
  <si>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</si>
  <si>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</si>
  <si>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</si>
  <si>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</si>
  <si>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</si>
  <si>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</si>
  <si>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</si>
  <si>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</si>
  <si>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</si>
  <si>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</si>
  <si>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</si>
  <si>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</si>
  <si>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</si>
  <si>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</si>
  <si>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</si>
  <si>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</si>
  <si>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</si>
  <si>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</si>
  <si>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</si>
  <si>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</si>
  <si>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</si>
  <si>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</si>
  <si>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</si>
  <si>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</si>
  <si>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</si>
  <si>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</si>
  <si>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</si>
  <si>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</si>
  <si>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</si>
  <si>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</si>
  <si>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</si>
  <si>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</si>
  <si>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</si>
  <si>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</si>
  <si>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</si>
  <si>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</si>
  <si>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</si>
  <si>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</si>
  <si>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</si>
  <si>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</si>
  <si>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</si>
  <si>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</si>
  <si>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</si>
  <si>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</si>
  <si>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</si>
  <si>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</si>
  <si>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</si>
  <si>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</si>
  <si>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</si>
  <si>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</si>
  <si>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</si>
  <si>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</si>
  <si>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</si>
  <si>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</si>
  <si>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</si>
  <si>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</si>
  <si>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</si>
  <si>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</si>
  <si>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</si>
  <si>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</si>
  <si>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</si>
  <si>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</si>
  <si>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</si>
  <si>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</si>
  <si>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</si>
  <si>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</si>
  <si>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</si>
  <si>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</si>
  <si>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</si>
  <si>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</si>
  <si>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</si>
  <si>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</si>
  <si>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</si>
  <si>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</si>
  <si>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</si>
  <si>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</si>
  <si>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</si>
  <si>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</si>
  <si>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</si>
  <si>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</si>
  <si>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</si>
  <si>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</si>
  <si>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</si>
  <si>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</si>
  <si>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</si>
  <si>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</si>
  <si>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</si>
  <si>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</si>
  <si>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</si>
  <si>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</si>
  <si>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</si>
  <si>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</si>
  <si>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</si>
  <si>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</si>
  <si>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</si>
  <si>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</si>
  <si>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</si>
  <si>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</si>
  <si>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</si>
  <si>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</si>
  <si>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</si>
  <si>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</si>
  <si>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</si>
  <si>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</si>
  <si>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</si>
  <si>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</si>
  <si>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</si>
  <si>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</si>
  <si>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</si>
  <si>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</si>
  <si>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</si>
  <si>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</si>
  <si>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</si>
  <si>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</si>
  <si>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</si>
  <si>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</si>
  <si>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</si>
  <si>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</si>
  <si>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</si>
  <si>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</si>
  <si>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</si>
  <si>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</si>
  <si>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</si>
  <si>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</si>
  <si>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</si>
  <si>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</si>
  <si>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</si>
  <si>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</si>
  <si>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</si>
  <si>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</si>
  <si>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</si>
  <si>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</si>
  <si>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</si>
  <si>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</si>
  <si>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</si>
  <si>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</si>
  <si>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</si>
  <si>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</si>
  <si>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</si>
  <si>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</si>
  <si>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</si>
  <si>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</si>
  <si>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</si>
  <si>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</si>
  <si>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</si>
  <si>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</si>
  <si>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</si>
  <si>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</si>
  <si>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</si>
  <si>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</si>
  <si>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</si>
  <si>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</si>
  <si>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</si>
  <si>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</si>
  <si>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</si>
  <si>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</si>
  <si>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</si>
  <si>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</si>
  <si>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</si>
  <si>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</si>
  <si>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</si>
  <si>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</si>
  <si>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</si>
  <si>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</si>
  <si>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</si>
  <si>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</si>
  <si>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</si>
  <si>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</si>
  <si>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</si>
  <si>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</si>
  <si>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</si>
  <si>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</si>
  <si>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</si>
  <si>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</si>
  <si>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</si>
  <si>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</si>
  <si>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</si>
  <si>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</si>
  <si>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</si>
  <si>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</si>
  <si>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</si>
  <si>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</si>
  <si>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</si>
  <si>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</si>
  <si>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</si>
  <si>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</si>
  <si>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</si>
  <si>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</si>
  <si>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</si>
  <si>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</si>
  <si>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</si>
  <si>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</si>
  <si>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</si>
  <si>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</si>
  <si>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</si>
  <si>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</si>
  <si>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</si>
  <si>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</si>
  <si>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</si>
  <si>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</si>
  <si>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</si>
  <si>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</si>
  <si>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</si>
  <si>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</si>
  <si>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</si>
  <si>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</si>
  <si>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</si>
  <si>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</si>
  <si>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</si>
  <si>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</si>
  <si>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</si>
  <si>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</si>
  <si>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</si>
  <si>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</si>
  <si>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</si>
  <si>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</si>
  <si>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</si>
  <si>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</si>
  <si>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Cerraj. Muixara</t>
  </si>
  <si>
    <t>Decor corredera 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</si>
</sst>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E21" sqref="E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20250219</v>
      </c>
      <c r="G7" s="8">
        <f ca="1">TODAY()</f>
        <v>45971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289</v>
      </c>
      <c r="C13" s="79" t="str">
        <f>IFERROR(VLOOKUP($B13,Tarifa_all_20240711!$A$2:$G$660,2,FALSE()),"-")</f>
        <v>CASC.DOBLE GUIA DESM.LAC.BLANCO MATE 9003-2 MTS</v>
      </c>
      <c r="D13" s="79"/>
      <c r="E13" s="17">
        <v>1</v>
      </c>
      <c r="F13" s="18">
        <f>IFERROR(VLOOKUP($B13,Tarifa_all_20240711!$A$2:$G$660,5,FALSE()),"-")</f>
        <v>115.4325</v>
      </c>
      <c r="G13" s="18">
        <f t="shared" ref="G13:G30" si="0">IFERROR(E13*F13,"-")</f>
        <v>115.4325</v>
      </c>
      <c r="H13" s="1"/>
    </row>
    <row r="14" spans="1:12" x14ac:dyDescent="0.25">
      <c r="A14" t="s">
        <v>15</v>
      </c>
      <c r="B14" s="16" t="s">
        <v>273</v>
      </c>
      <c r="C14" s="79" t="str">
        <f>IFERROR(VLOOKUP($B14,Tarifa_all_20240711!$A$2:$G$660,2,FALSE()),"-")</f>
        <v>GUIA SKY PLUS DESMONT.LAC.BLANCO MATE 9003-2 MTS</v>
      </c>
      <c r="D14" s="79"/>
      <c r="E14" s="17">
        <v>2</v>
      </c>
      <c r="F14" s="18">
        <f>IFERROR(VLOOKUP($B14,Tarifa_all_20240711!$A$2:$G$660,5,FALSE()),"-")</f>
        <v>43.552500000000002</v>
      </c>
      <c r="G14" s="18">
        <f t="shared" si="0"/>
        <v>87.105000000000004</v>
      </c>
      <c r="H14" s="1"/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8</v>
      </c>
      <c r="F15" s="18">
        <f>IFERROR(VLOOKUP($B15,Tarifa_all_20240711!$A$2:$G$660,5,FALSE()),"-")</f>
        <v>11.737500000000001</v>
      </c>
      <c r="G15" s="18">
        <f t="shared" si="0"/>
        <v>93.9</v>
      </c>
      <c r="H15" s="1"/>
    </row>
    <row r="16" spans="1:12" x14ac:dyDescent="0.25">
      <c r="A16" t="s">
        <v>17</v>
      </c>
      <c r="B16" s="16" t="s">
        <v>566</v>
      </c>
      <c r="C16" s="79" t="str">
        <f>IFERROR(VLOOKUP($B16,Tarifa_all_20240711!$A$2:$G$660,2,FALSE()),"-")</f>
        <v>KIT AMORTIGUADOR SKY GUIA DESMONT. BIDIRECCIONAL 60KG</v>
      </c>
      <c r="D16" s="79"/>
      <c r="E16" s="17">
        <v>2</v>
      </c>
      <c r="F16" s="18">
        <f>IFERROR(VLOOKUP($B16,Tarifa_all_20240711!$A$2:$G$660,5,FALSE()),"-")</f>
        <v>30.599999999999998</v>
      </c>
      <c r="G16" s="18">
        <f t="shared" si="0"/>
        <v>61.199999999999996</v>
      </c>
      <c r="H16" s="1"/>
    </row>
    <row r="17" spans="1:8" x14ac:dyDescent="0.25">
      <c r="A17" t="s">
        <v>18</v>
      </c>
      <c r="B17" s="16" t="s">
        <v>129</v>
      </c>
      <c r="C17" s="79" t="str">
        <f>IFERROR(VLOOKUP($B17,Tarifa_all_20240711!$A$2:$G$660,2,FALSE()),"-")</f>
        <v>KIT PUERTA PA CORREDERA LAC.BLANCO MATE 9003</v>
      </c>
      <c r="D17" s="79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337</v>
      </c>
      <c r="C18" s="79" t="str">
        <f>IFERROR(VLOOKUP($B18,Tarifa_all_20240711!$A$2:$G$660,2,FALSE()),"-")</f>
        <v>CARRO SKY MADERA 120KG</v>
      </c>
      <c r="D18" s="79"/>
      <c r="E18" s="17">
        <v>2</v>
      </c>
      <c r="F18" s="18">
        <f>IFERROR(VLOOKUP($B18,Tarifa_all_20240711!$A$2:$G$660,5,FALSE()),"-")</f>
        <v>29.954999999999998</v>
      </c>
      <c r="G18" s="18">
        <f t="shared" si="0"/>
        <v>59.91</v>
      </c>
      <c r="H18" s="1"/>
    </row>
    <row r="19" spans="1:8" x14ac:dyDescent="0.25">
      <c r="A19" t="s">
        <v>20</v>
      </c>
      <c r="B19" s="16" t="s">
        <v>375</v>
      </c>
      <c r="C19" s="79" t="str">
        <f>IFERROR(VLOOKUP($B19,Tarifa_all_20240711!$A$2:$G$660,2,FALSE()),"-")</f>
        <v>TIRADOR RECT.ADH CAVE LAC.BLANCO MATE 9003: 2 UDS</v>
      </c>
      <c r="D19" s="79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322</v>
      </c>
      <c r="C20" s="79" t="str">
        <f>IFERROR(VLOOKUP($B20,Tarifa_all_20240711!$A$2:$G$660,2,FALSE()),"-")</f>
        <v>GUIADOR FIJO PA LAC.BLANCO MATE 9003</v>
      </c>
      <c r="D20" s="79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 t="s">
        <v>140</v>
      </c>
      <c r="C21" s="79" t="str">
        <f>IFERROR(VLOOKUP($B21,Tarifa_all_20240711!$A$2:$G$660,2,FALSE()),"-")</f>
        <v>PERFIL EMBELL.HORIZ. ADH LAC.BLANCO MATE 9003</v>
      </c>
      <c r="D21" s="79"/>
      <c r="E21" s="17">
        <v>8</v>
      </c>
      <c r="F21" s="18">
        <f>IFERROR(VLOOKUP($B21,Tarifa_all_20240711!$A$2:$G$660,5,FALSE()),"-")</f>
        <v>21.794999999999998</v>
      </c>
      <c r="G21" s="18">
        <f t="shared" si="0"/>
        <v>174.35999999999999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1158.6824999999999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Cerraj. Muixara</v>
      </c>
      <c r="C9" s="86"/>
      <c r="D9" s="86"/>
      <c r="F9" s="3" t="s">
        <v>81</v>
      </c>
      <c r="G9" s="44">
        <f ca="1">TODAY()</f>
        <v>45971</v>
      </c>
    </row>
    <row r="10" spans="1:7" x14ac:dyDescent="0.25">
      <c r="A10" s="3" t="s">
        <v>82</v>
      </c>
      <c r="B10" s="11" t="str">
        <f>'DESPIECE (MATANALYSIS)'!C9</f>
        <v>Decor corredera 2H</v>
      </c>
      <c r="C10" s="45"/>
      <c r="D10" s="45"/>
      <c r="E10" s="46"/>
      <c r="F10" s="47" t="s">
        <v>83</v>
      </c>
      <c r="G10" s="7">
        <f>'DESPIECE (MATANALYSIS)'!C7</f>
        <v>20250219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1158.6824999999999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2025-11-10T16:27:05Z</cp:lastPrinted>
  <dcterms:created xsi:type="dcterms:W3CDTF">2024-04-15T12:43:19Z</dcterms:created>
  <dcterms:modified xsi:type="dcterms:W3CDTF">2025-11-10T16:27:12Z</dcterms:modified>
  <dc:language>es-ES</dc:language>
</cp:coreProperties>
</file>