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8_{FE1F9153-4F2C-497D-8AAA-B895198646F1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<sst xmlns="http://schemas.openxmlformats.org/spreadsheetml/2006/main" count="5408" uniqueCount="1453">
  <si>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</si>
  <si>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</si>
  <si>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</si>
  <si>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</si>
  <si>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</si>
  <si>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</si>
  <si>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</si>
  <si>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</si>
  <si>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</si>
  <si>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</si>
  <si>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</si>
  <si>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</si>
  <si>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</si>
  <si>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</si>
  <si>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</si>
  <si>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</si>
  <si>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</si>
  <si>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</si>
  <si>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</si>
  <si>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</si>
  <si>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</si>
  <si>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</si>
  <si>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</si>
  <si>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</si>
  <si>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</si>
  <si>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</si>
  <si>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</si>
  <si>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</si>
  <si>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</si>
  <si>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</si>
  <si>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</si>
  <si>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</si>
  <si>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</si>
  <si>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</si>
  <si>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</si>
  <si>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</si>
  <si>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</si>
  <si>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</si>
  <si>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</si>
  <si>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</si>
  <si>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</si>
  <si>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</si>
  <si>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</si>
  <si>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</si>
  <si>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</si>
  <si>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</si>
  <si>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</si>
  <si>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</si>
  <si>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</si>
  <si>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</si>
  <si>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</si>
  <si>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</si>
  <si>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</si>
  <si>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</si>
  <si>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</si>
  <si>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</si>
  <si>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</si>
  <si>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</si>
  <si>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</si>
  <si>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</si>
  <si>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</si>
  <si>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</si>
  <si>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</si>
  <si>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</si>
  <si>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</si>
  <si>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</si>
  <si>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</si>
  <si>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</si>
  <si>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</si>
  <si>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</si>
  <si>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</si>
  <si>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</si>
  <si>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</si>
  <si>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</si>
  <si>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</si>
  <si>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</si>
  <si>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</si>
  <si>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</si>
  <si>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</si>
  <si>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</si>
  <si>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</si>
  <si>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</si>
  <si>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</si>
  <si>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</si>
  <si>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</si>
  <si>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</si>
  <si>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</si>
  <si>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</si>
  <si>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</si>
  <si>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</si>
  <si>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</si>
  <si>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</si>
  <si>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</si>
  <si>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</si>
  <si>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</si>
  <si>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</si>
  <si>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</si>
  <si>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</si>
  <si>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</si>
  <si>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</si>
  <si>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</si>
  <si>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</si>
  <si>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</si>
  <si>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</si>
  <si>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</si>
  <si>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</si>
  <si>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</si>
  <si>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</si>
  <si>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</si>
  <si>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</si>
  <si>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</si>
  <si>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</si>
  <si>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</si>
  <si>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</si>
  <si>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</si>
  <si>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</si>
  <si>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</si>
  <si>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</si>
  <si>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</si>
  <si>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</si>
  <si>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</si>
  <si>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</si>
  <si>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</si>
  <si>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</si>
  <si>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</si>
  <si>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</si>
  <si>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</si>
  <si>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</si>
  <si>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</si>
  <si>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</si>
  <si>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</si>
  <si>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</si>
  <si>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</si>
  <si>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</si>
  <si>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</si>
  <si>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</si>
  <si>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</si>
  <si>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</si>
  <si>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</si>
  <si>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</si>
  <si>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</si>
  <si>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</si>
  <si>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</si>
  <si>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</si>
  <si>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</si>
  <si>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</si>
  <si>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</si>
  <si>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</si>
  <si>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</si>
  <si>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</si>
  <si>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</si>
  <si>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</si>
  <si>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</si>
  <si>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</si>
  <si>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</si>
  <si>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</si>
  <si>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</si>
  <si>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</si>
  <si>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</si>
  <si>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</si>
  <si>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</si>
  <si>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</si>
  <si>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</si>
  <si>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</si>
  <si>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</si>
  <si>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</si>
  <si>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</si>
  <si>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</si>
  <si>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</si>
  <si>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</si>
  <si>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</si>
  <si>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</si>
  <si>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</si>
  <si>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</si>
  <si>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</si>
  <si>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</si>
  <si>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</si>
  <si>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</si>
  <si>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</si>
  <si>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</si>
  <si>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</si>
  <si>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</si>
  <si>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</si>
  <si>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</si>
  <si>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</si>
  <si>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</si>
  <si>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</si>
  <si>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</si>
  <si>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</si>
  <si>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</si>
  <si>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</si>
  <si>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</si>
  <si>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</si>
  <si>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</si>
  <si>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</si>
  <si>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</si>
  <si>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</si>
  <si>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</si>
  <si>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</si>
  <si>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</si>
  <si>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</si>
  <si>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</si>
  <si>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</si>
  <si>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</si>
  <si>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</si>
  <si>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</si>
  <si>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</si>
  <si>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</si>
  <si>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</si>
  <si>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</si>
  <si>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</si>
  <si>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</si>
  <si>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</si>
  <si>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</si>
  <si>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</si>
  <si>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</si>
  <si>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</si>
  <si>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</si>
  <si>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</si>
  <si>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</si>
  <si>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</si>
  <si>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</si>
  <si>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</si>
  <si>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</si>
  <si>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</si>
  <si>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</si>
  <si>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</si>
  <si>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</si>
  <si>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</si>
  <si>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</si>
  <si>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</si>
  <si>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</si>
  <si>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</si>
  <si>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</si>
  <si>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</si>
  <si>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</si>
  <si>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</si>
  <si>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</si>
  <si>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</si>
  <si>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</si>
  <si>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</si>
  <si>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</si>
  <si>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</si>
  <si>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</si>
  <si>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</si>
  <si>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</si>
  <si>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</si>
  <si>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</si>
  <si>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</si>
  <si>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</si>
  <si>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</si>
  <si>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</si>
  <si>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</si>
  <si>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</si>
  <si>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</si>
  <si>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</si>
  <si>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</si>
  <si>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</si>
  <si>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</si>
  <si>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</si>
  <si>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</si>
  <si>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</si>
  <si>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</si>
  <si>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</si>
  <si>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</si>
  <si>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</si>
  <si>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</si>
  <si>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</si>
  <si>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</si>
  <si>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</si>
  <si>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</si>
  <si>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</si>
  <si>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</si>
  <si>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</si>
  <si>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</si>
  <si>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</si>
  <si>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</si>
  <si>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</si>
  <si>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</si>
  <si>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</si>
  <si>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</si>
  <si>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</si>
  <si>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</si>
  <si>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</si>
  <si>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</si>
  <si>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</si>
  <si>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</si>
  <si>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</si>
  <si>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</si>
  <si>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</si>
  <si>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</si>
  <si>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</si>
  <si>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</si>
  <si>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</si>
  <si>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</si>
  <si>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</si>
  <si>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</si>
  <si>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</si>
  <si>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</si>
  <si>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</si>
  <si>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</si>
  <si>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</si>
  <si>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</si>
  <si>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</si>
  <si>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</si>
  <si>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</si>
  <si>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</si>
  <si>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</si>
  <si>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</si>
  <si>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</si>
  <si>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</si>
  <si>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</si>
  <si>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</si>
  <si>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</si>
  <si>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</si>
  <si>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</si>
  <si>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</si>
  <si>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</si>
  <si>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</si>
  <si>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</si>
  <si>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</si>
  <si>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</si>
  <si>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</si>
  <si>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</si>
  <si>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</si>
  <si>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</si>
  <si>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</si>
  <si>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</si>
  <si>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</si>
  <si>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</si>
  <si>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</si>
  <si>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</si>
  <si>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</si>
  <si>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</si>
  <si>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</si>
  <si>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</si>
  <si>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</si>
  <si>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</si>
  <si>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</si>
  <si>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</si>
  <si>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</si>
  <si>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</si>
  <si>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</si>
  <si>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</si>
  <si>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</si>
  <si>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</si>
  <si>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</si>
  <si>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</si>
  <si>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</si>
  <si>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</si>
  <si>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</si>
  <si>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</si>
  <si>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</si>
  <si>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</si>
  <si>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</si>
  <si>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</si>
  <si>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</si>
  <si>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</si>
  <si>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</si>
  <si>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</si>
  <si>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</si>
  <si>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</si>
  <si>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</si>
  <si>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</si>
  <si>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</si>
  <si>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</si>
  <si>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</si>
  <si>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</si>
  <si>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</si>
  <si>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</si>
  <si>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</si>
  <si>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</si>
  <si>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</si>
  <si>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</si>
  <si>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</si>
  <si>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</si>
  <si>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</si>
  <si>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</si>
  <si>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</si>
  <si>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</si>
  <si>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</si>
  <si>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</si>
  <si>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</si>
  <si>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</si>
  <si>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</si>
  <si>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</si>
  <si>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</si>
  <si>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</si>
  <si>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</si>
  <si>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</si>
  <si>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</si>
  <si>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</si>
  <si>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</si>
  <si>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</si>
  <si>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</si>
  <si>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</si>
  <si>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</si>
  <si>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</si>
  <si>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</si>
  <si>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</si>
  <si>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</si>
  <si>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</si>
  <si>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</si>
  <si>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</si>
  <si>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</si>
  <si>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</si>
  <si>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</si>
  <si>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</si>
  <si>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</si>
  <si>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</si>
  <si>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</si>
  <si>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</si>
  <si>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</si>
  <si>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</si>
  <si>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</si>
  <si>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</si>
  <si>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</si>
  <si>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</si>
  <si>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</si>
  <si>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</si>
  <si>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</si>
  <si>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</si>
  <si>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</si>
  <si>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</si>
  <si>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</si>
  <si>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</si>
  <si>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</si>
  <si>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</si>
  <si>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</si>
  <si>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</si>
  <si>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</si>
  <si>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</si>
  <si>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</si>
  <si>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</si>
  <si>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</si>
  <si>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</si>
  <si>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</si>
  <si>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</si>
  <si>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</si>
  <si>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</si>
  <si>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</si>
  <si>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</si>
  <si>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</si>
  <si>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</si>
  <si>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</si>
  <si>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</si>
  <si>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</si>
  <si>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</si>
  <si>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</si>
  <si>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</si>
  <si>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</si>
  <si>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</si>
  <si>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</si>
  <si>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</si>
  <si>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</si>
  <si>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</si>
  <si>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</si>
  <si>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</si>
  <si>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</si>
  <si>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</si>
  <si>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</si>
  <si>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</si>
  <si>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</si>
  <si>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</si>
  <si>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</si>
  <si>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</si>
  <si>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</si>
  <si>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</si>
  <si>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</si>
  <si>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</si>
  <si>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</si>
  <si>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</si>
  <si>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</si>
  <si>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</si>
  <si>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</si>
  <si>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</si>
  <si>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</si>
  <si>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</si>
  <si>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</si>
  <si>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</si>
  <si>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</si>
  <si>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</si>
  <si>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</si>
  <si>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</si>
  <si>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</si>
  <si>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</si>
  <si>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</si>
  <si>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</si>
  <si>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</si>
  <si>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</si>
  <si>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</si>
  <si>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</si>
  <si>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</si>
  <si>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</si>
  <si>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</si>
  <si>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</si>
  <si>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</si>
  <si>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</si>
  <si>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</si>
  <si>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</si>
  <si>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</si>
  <si>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</si>
  <si>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</si>
  <si>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</si>
  <si>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</si>
  <si>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</si>
  <si>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</si>
  <si>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</si>
  <si>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</si>
  <si>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</si>
  <si>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</si>
  <si>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</si>
  <si>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</si>
  <si>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</si>
  <si>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</si>
  <si>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</si>
  <si>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</si>
  <si>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</si>
  <si>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</si>
  <si>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</si>
  <si>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</si>
  <si>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</si>
  <si>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</si>
  <si>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</si>
  <si>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</si>
  <si>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</si>
  <si>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</si>
  <si>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</si>
  <si>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</si>
  <si>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</si>
  <si>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</si>
  <si>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</si>
  <si>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</si>
  <si>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</si>
  <si>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</si>
  <si>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</si>
  <si>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</si>
  <si>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</si>
  <si>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</si>
  <si>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</si>
  <si>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</si>
  <si>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</si>
  <si>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</si>
  <si>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</si>
  <si>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</si>
  <si>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</si>
  <si>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</si>
  <si>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</si>
  <si>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</si>
  <si>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</si>
  <si>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</si>
  <si>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</si>
  <si>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</si>
  <si>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</si>
  <si>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</si>
  <si>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</si>
  <si>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</si>
  <si>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</si>
  <si>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</si>
  <si>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</si>
  <si>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</si>
  <si>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</si>
  <si>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</si>
  <si>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</si>
  <si>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</si>
  <si>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</si>
  <si>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</si>
  <si>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</si>
  <si>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</si>
  <si>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</si>
  <si>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</si>
  <si>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</si>
  <si>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</si>
  <si>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</si>
  <si>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</si>
  <si>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</si>
  <si>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</si>
  <si>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</si>
  <si>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</si>
  <si>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</si>
  <si>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</si>
  <si>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</si>
  <si>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</si>
  <si>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</si>
  <si>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</si>
  <si>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</si>
  <si>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</si>
  <si>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</si>
  <si>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</si>
  <si>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</si>
  <si>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</si>
  <si>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</si>
  <si>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</si>
  <si>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</si>
  <si>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</si>
  <si>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</si>
  <si>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</si>
  <si>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</si>
  <si>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</si>
  <si>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</si>
  <si>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</si>
  <si>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</si>
  <si>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</si>
  <si>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</si>
  <si>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</si>
  <si>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</si>
  <si>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</si>
  <si>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</si>
  <si>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</si>
  <si>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</si>
  <si>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</si>
  <si>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</si>
  <si>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</si>
  <si>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</si>
  <si>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</si>
  <si>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</si>
  <si>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</si>
  <si>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</si>
  <si>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</si>
  <si>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</si>
  <si>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</si>
  <si>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</si>
  <si>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</si>
  <si>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</si>
  <si>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</si>
  <si>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</si>
  <si>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</si>
  <si>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</si>
  <si>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</si>
  <si>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</si>
  <si>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</si>
  <si>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</si>
  <si>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</si>
  <si>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</si>
  <si>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</si>
  <si>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</si>
  <si>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</si>
  <si>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</si>
  <si>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</si>
  <si>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</si>
  <si>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</si>
  <si>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</si>
  <si>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</si>
  <si>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</si>
  <si>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</si>
  <si>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</si>
  <si>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</si>
  <si>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</si>
  <si>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</si>
  <si>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</si>
  <si>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</si>
  <si>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</si>
  <si>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</si>
  <si>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</si>
  <si>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</si>
  <si>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</si>
  <si>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</si>
  <si>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</si>
  <si>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</si>
  <si>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</si>
  <si>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</si>
  <si>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</si>
  <si>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</si>
  <si>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</si>
  <si>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</si>
  <si>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</si>
  <si>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</si>
  <si>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</si>
  <si>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</si>
  <si>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</si>
  <si>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</si>
  <si>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</si>
  <si>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</si>
  <si>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</si>
  <si>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</si>
  <si>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</si>
  <si>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</si>
  <si>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</si>
  <si>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</si>
  <si>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</si>
  <si>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</si>
  <si>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</si>
  <si>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</si>
  <si>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</si>
  <si>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</si>
  <si>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</si>
  <si>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</si>
  <si>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</si>
  <si>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</si>
  <si>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</si>
  <si>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</si>
  <si>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</si>
  <si>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</si>
  <si>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</si>
  <si>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</si>
  <si>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</si>
  <si>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</si>
  <si>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</si>
  <si>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</si>
  <si>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</si>
  <si>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</si>
  <si>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</si>
  <si>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</si>
  <si>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</si>
  <si>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</si>
  <si>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</si>
  <si>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</si>
  <si>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</si>
  <si>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</si>
  <si>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</si>
  <si>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</si>
  <si>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</si>
  <si>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</si>
  <si>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</si>
  <si>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</si>
  <si>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</si>
  <si>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</si>
  <si>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</si>
  <si>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</si>
  <si>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</si>
  <si>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</si>
  <si>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</si>
  <si>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</si>
  <si>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</si>
  <si>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</si>
  <si>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</si>
  <si>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</si>
  <si>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</si>
  <si>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</si>
  <si>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</si>
  <si>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</si>
  <si>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</si>
  <si>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</si>
  <si>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</si>
  <si>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</si>
  <si>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</si>
  <si>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</si>
  <si>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</si>
  <si>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</si>
  <si>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</si>
  <si>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</si>
  <si>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</si>
  <si>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</si>
  <si>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</si>
  <si>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</si>
  <si>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</si>
  <si>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</si>
  <si>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</si>
  <si>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</si>
  <si>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</si>
  <si>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</si>
  <si>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</si>
  <si>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</si>
  <si>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</si>
  <si>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</si>
  <si>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</si>
  <si>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</si>
  <si>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</si>
  <si>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</si>
  <si>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</si>
  <si>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</si>
  <si>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</si>
  <si>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</si>
  <si>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</si>
  <si>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</si>
  <si>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</si>
  <si>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</si>
  <si>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</si>
  <si>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</si>
  <si>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</si>
  <si>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</si>
  <si>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</si>
  <si>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</si>
  <si>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</si>
  <si>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</si>
  <si>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</si>
  <si>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</si>
  <si>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</si>
  <si>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</si>
  <si>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</si>
  <si>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</si>
  <si>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</si>
  <si>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</si>
  <si>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</si>
  <si>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</si>
  <si>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</si>
  <si>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</si>
  <si>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</si>
  <si>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</si>
  <si>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</si>
  <si>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</si>
  <si>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</si>
  <si>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</si>
  <si>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</si>
  <si>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</si>
  <si>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</si>
  <si>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</si>
  <si>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</si>
  <si>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</si>
  <si>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</si>
  <si>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</si>
  <si>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</si>
  <si>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</si>
  <si>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</si>
  <si>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</si>
  <si>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</si>
  <si>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</si>
  <si>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</si>
  <si>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</si>
  <si>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</si>
  <si>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</si>
  <si>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</si>
  <si>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</si>
  <si>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</si>
  <si>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</si>
  <si>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</si>
  <si>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</si>
  <si>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</si>
  <si>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</si>
  <si>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</si>
  <si>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</si>
  <si>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</si>
  <si>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</si>
  <si>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</si>
  <si>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</si>
  <si>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</si>
  <si>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</si>
  <si>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</si>
  <si>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</si>
  <si>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</si>
  <si>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</si>
  <si>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</si>
  <si>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</si>
  <si>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</si>
  <si>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</si>
  <si>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</si>
  <si>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</si>
  <si>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</si>
  <si>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</si>
  <si>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</si>
  <si>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</si>
  <si>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</si>
  <si>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</si>
  <si>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</si>
  <si>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</si>
  <si>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</si>
  <si>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</si>
  <si>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</si>
  <si>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</si>
  <si>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</si>
  <si>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</si>
  <si>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</si>
  <si>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</si>
  <si>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</si>
  <si>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</si>
  <si>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</si>
  <si>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</si>
  <si>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</si>
  <si>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</si>
  <si>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</si>
  <si>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</si>
  <si>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</si>
  <si>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</si>
  <si>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</si>
  <si>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</si>
  <si>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</si>
  <si>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</si>
  <si>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</si>
  <si>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</si>
  <si>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</si>
  <si>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</si>
  <si>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</si>
  <si>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</si>
  <si>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</si>
  <si>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</si>
  <si>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</si>
  <si>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</si>
  <si>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</si>
  <si>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</si>
  <si>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</si>
  <si>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</si>
  <si>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</si>
  <si>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</si>
  <si>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</si>
  <si>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</si>
  <si>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</si>
  <si>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</si>
  <si>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</si>
  <si>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</si>
  <si>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</si>
  <si>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</si>
  <si>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</si>
  <si>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</si>
  <si>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</si>
  <si>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</si>
  <si>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</si>
  <si>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</si>
  <si>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</si>
  <si>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</si>
  <si>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</si>
  <si>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</si>
  <si>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</si>
  <si>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</si>
  <si>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</si>
  <si>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</si>
  <si>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</si>
  <si>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</si>
  <si>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</si>
  <si>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</si>
  <si>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</si>
  <si>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</si>
  <si>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</si>
  <si>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</si>
  <si>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</si>
  <si>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</si>
  <si>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</si>
  <si>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</si>
  <si>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</si>
  <si>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</si>
  <si>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</si>
  <si>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</si>
  <si>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</si>
  <si>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</si>
  <si>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</si>
  <si>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</si>
  <si>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</si>
  <si>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</si>
  <si>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</si>
  <si>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</si>
  <si>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</si>
  <si>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</si>
  <si>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</si>
  <si>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</si>
  <si>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</si>
  <si>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</si>
  <si>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</si>
  <si>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</si>
  <si>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</si>
  <si>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</si>
  <si>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</si>
  <si>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</si>
  <si>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</si>
  <si>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</si>
  <si>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</si>
  <si>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</si>
  <si>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</si>
  <si>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</si>
  <si>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</si>
  <si>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</si>
  <si>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</si>
  <si>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</si>
  <si>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</si>
  <si>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</si>
  <si>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</si>
  <si>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</si>
  <si>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</si>
  <si>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</si>
  <si>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</si>
  <si>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</si>
  <si>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</si>
  <si>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</si>
  <si>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</si>
  <si>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</si>
  <si>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</si>
  <si>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</si>
  <si>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</si>
  <si>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</si>
  <si>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</si>
  <si>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</si>
  <si>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</si>
  <si>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</si>
  <si>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</si>
  <si>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</si>
  <si>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</si>
  <si>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</si>
  <si>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</si>
  <si>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</si>
  <si>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</si>
  <si>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</si>
  <si>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</si>
  <si>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</si>
  <si>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</si>
  <si>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</si>
  <si>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</si>
  <si>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</si>
  <si>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</si>
  <si>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</si>
  <si>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</si>
  <si>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</si>
  <si>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</si>
  <si>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</si>
  <si>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</si>
  <si>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</si>
  <si>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</si>
  <si>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</si>
  <si>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</si>
  <si>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</si>
  <si>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</si>
  <si>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</si>
  <si>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</si>
  <si>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</si>
  <si>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</si>
  <si>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</si>
  <si>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</si>
  <si>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</si>
  <si>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</si>
  <si>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</si>
  <si>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</si>
  <si>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</si>
  <si>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</si>
  <si>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</si>
  <si>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</si>
  <si>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</si>
  <si>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</si>
  <si>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</si>
  <si>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</si>
  <si>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</si>
  <si>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</si>
  <si>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</si>
  <si>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</si>
  <si>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</si>
  <si>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</si>
  <si>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</si>
  <si>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</si>
  <si>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</si>
  <si>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</si>
  <si>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</si>
  <si>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</si>
  <si>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</si>
  <si>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</si>
  <si>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</si>
  <si>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</si>
  <si>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</si>
  <si>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</si>
  <si>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</si>
  <si>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</si>
  <si>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</si>
  <si>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</si>
  <si>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</si>
  <si>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</si>
  <si>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</si>
  <si>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</si>
  <si>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</si>
  <si>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</si>
  <si>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</si>
  <si>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</si>
  <si>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</si>
  <si>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</si>
  <si>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</si>
  <si>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</si>
  <si>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</si>
  <si>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</si>
  <si>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</si>
  <si>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</si>
  <si>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</si>
  <si>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</si>
  <si>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</si>
  <si>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</si>
  <si>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</si>
  <si>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</si>
  <si>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</si>
  <si>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</si>
  <si>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</si>
  <si>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</si>
  <si>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</si>
  <si>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</si>
  <si>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</si>
  <si>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</si>
  <si>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</si>
  <si>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</si>
  <si>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</si>
  <si>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</si>
  <si>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</si>
  <si>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</si>
  <si>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</si>
  <si>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</si>
  <si>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</si>
  <si>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</si>
  <si>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</si>
  <si>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</si>
  <si>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</si>
  <si>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</si>
  <si>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</si>
  <si>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</si>
  <si>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</si>
  <si>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</si>
  <si>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</si>
  <si>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</si>
  <si>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</si>
  <si>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</si>
  <si>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</si>
  <si>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</si>
  <si>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</si>
  <si>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</si>
  <si>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</si>
  <si>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</si>
  <si>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</si>
  <si>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</si>
  <si>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</si>
  <si>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</si>
  <si>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</si>
  <si>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</si>
  <si>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</si>
  <si>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</si>
  <si>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</si>
  <si>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</si>
  <si>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</si>
  <si>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</si>
  <si>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</si>
  <si>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</si>
  <si>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</si>
  <si>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</si>
  <si>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</si>
  <si>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</si>
  <si>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</si>
  <si>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</si>
  <si>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</si>
  <si>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</si>
  <si>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</si>
  <si>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</si>
  <si>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</si>
  <si>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</si>
  <si>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</si>
  <si>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</si>
  <si>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</si>
  <si>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</si>
  <si>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</si>
  <si>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</si>
  <si>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</si>
  <si>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</si>
  <si>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</si>
  <si>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</si>
  <si>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</si>
  <si>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</si>
  <si>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</si>
  <si>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</si>
  <si>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</si>
  <si>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</si>
  <si>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</si>
  <si>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</si>
  <si>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</si>
  <si>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</si>
  <si>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</si>
  <si>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</si>
  <si>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</si>
  <si>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</si>
  <si>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</si>
  <si>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</si>
  <si>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</si>
  <si>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</si>
  <si>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</si>
  <si>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</si>
  <si>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</si>
  <si>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</si>
  <si>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</si>
  <si>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</si>
  <si>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</si>
  <si>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</si>
  <si>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</si>
  <si>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</si>
  <si>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</si>
  <si>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</si>
  <si>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</si>
  <si>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</si>
  <si>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</si>
  <si>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</si>
  <si>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</si>
  <si>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</si>
  <si>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</si>
  <si>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</si>
  <si>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</si>
  <si>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</si>
  <si>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</si>
  <si>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</si>
  <si>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</si>
  <si>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</si>
  <si>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</si>
  <si>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</si>
  <si>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</si>
  <si>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</si>
  <si>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</si>
  <si>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</si>
  <si>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</si>
  <si>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</si>
  <si>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</si>
  <si>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</si>
  <si>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</si>
  <si>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</si>
  <si>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</si>
  <si>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</si>
  <si>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</si>
  <si>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</si>
  <si>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</si>
  <si>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</si>
  <si>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</si>
  <si>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</si>
  <si>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</si>
  <si>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</si>
  <si>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</si>
  <si>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</si>
  <si>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</si>
  <si>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</si>
  <si>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</si>
  <si>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</si>
  <si>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</si>
  <si>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</si>
  <si>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</si>
  <si>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</si>
  <si>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</si>
  <si>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</si>
  <si>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</si>
  <si>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</si>
  <si>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</si>
  <si>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</si>
  <si>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</si>
  <si>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</si>
  <si>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</si>
  <si>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</si>
  <si>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</si>
  <si>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</si>
  <si>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</si>
  <si>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</si>
  <si>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</si>
  <si>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</si>
  <si>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</si>
  <si>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</si>
  <si>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</si>
  <si>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</si>
  <si>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</si>
  <si>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</si>
  <si>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</si>
  <si>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</si>
  <si>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</si>
  <si>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</si>
  <si>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</si>
  <si>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</si>
  <si>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</si>
  <si>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</si>
  <si>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</si>
  <si>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</si>
  <si>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</si>
  <si>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</si>
  <si>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</si>
  <si>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</si>
  <si>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</si>
  <si>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</si>
  <si>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</si>
  <si>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</si>
  <si>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</si>
  <si>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</si>
  <si>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</si>
  <si>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</si>
  <si>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</si>
  <si>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</si>
  <si>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</si>
  <si>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</si>
  <si>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</si>
  <si>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</si>
  <si>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</si>
  <si>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</si>
  <si>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</si>
  <si>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</si>
  <si>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</si>
  <si>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</si>
  <si>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</si>
  <si>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</si>
  <si>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</si>
  <si>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</si>
  <si>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</si>
  <si>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</si>
  <si>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</si>
  <si>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</si>
  <si>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</si>
  <si>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</si>
  <si>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</si>
  <si>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</si>
  <si>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</si>
  <si>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</si>
  <si>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</si>
  <si>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</si>
  <si>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</si>
  <si>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</si>
  <si>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</si>
  <si>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</si>
  <si>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</si>
  <si>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</si>
  <si>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</si>
  <si>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</si>
  <si>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</si>
  <si>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</si>
  <si>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</si>
  <si>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</si>
  <si>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</si>
  <si>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</si>
  <si>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</si>
  <si>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</si>
  <si>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</si>
  <si>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</si>
  <si>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</si>
  <si>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</si>
  <si>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</si>
  <si>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</si>
  <si>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</si>
  <si>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</si>
  <si>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</si>
  <si>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</si>
  <si>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</si>
  <si>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</si>
  <si>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</si>
  <si>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</si>
  <si>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</si>
  <si>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</si>
  <si>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</si>
  <si>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</si>
  <si>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</si>
  <si>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</si>
  <si>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</si>
  <si>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</si>
  <si>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</si>
  <si>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</si>
  <si>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</si>
  <si>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</si>
  <si>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</si>
  <si>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</si>
  <si>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</si>
  <si>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</si>
  <si>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</si>
  <si>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</si>
  <si>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</si>
  <si>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</si>
  <si>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</si>
  <si>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</si>
  <si>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</si>
  <si>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</si>
  <si>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</si>
  <si>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</si>
  <si>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</si>
  <si>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</si>
  <si>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</si>
  <si>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</si>
  <si>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</si>
  <si>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</si>
  <si>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</si>
  <si>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</si>
  <si>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</si>
  <si>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</si>
  <si>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</si>
  <si>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</si>
  <si>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</si>
  <si>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</si>
  <si>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</si>
  <si>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</si>
  <si>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</si>
  <si>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</si>
  <si>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</si>
  <si>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</si>
  <si>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</si>
  <si>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</si>
  <si>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</si>
  <si>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</si>
  <si>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</si>
  <si>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</si>
  <si>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</si>
  <si>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</si>
  <si>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</si>
  <si>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</si>
  <si>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</si>
  <si>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</si>
  <si>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</si>
  <si>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</si>
  <si>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</si>
  <si>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</si>
  <si>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</si>
  <si>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</si>
  <si>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</si>
  <si>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</si>
  <si>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</si>
  <si>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</si>
  <si>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</si>
  <si>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</si>
  <si>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</si>
  <si>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</si>
  <si>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</si>
  <si>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</si>
  <si>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</si>
  <si>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</si>
  <si>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</si>
  <si>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</si>
  <si>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</si>
  <si>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</si>
  <si>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</si>
  <si>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</si>
  <si>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</si>
  <si>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</si>
  <si>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</si>
  <si>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</si>
  <si>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</si>
  <si>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</si>
  <si>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</si>
  <si>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</si>
  <si>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</si>
  <si>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</si>
  <si>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</si>
  <si>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</si>
  <si>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</si>
  <si>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</si>
  <si>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</si>
  <si>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</si>
  <si>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</si>
  <si>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</si>
  <si>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</si>
  <si>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</si>
  <si>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</si>
  <si>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</si>
  <si>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</si>
  <si>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</si>
  <si>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</si>
  <si>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</si>
  <si>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</si>
  <si>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</si>
  <si>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</si>
  <si>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</si>
  <si>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</si>
  <si>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</si>
  <si>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</si>
  <si>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</si>
  <si>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</si>
  <si>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</si>
  <si>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</si>
  <si>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</si>
  <si>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</si>
  <si>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</si>
  <si>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</si>
  <si>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</si>
  <si>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</si>
  <si>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</si>
  <si>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</si>
  <si>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</si>
  <si>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</si>
  <si>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</si>
  <si>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</si>
  <si>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</si>
  <si>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</si>
  <si>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</si>
  <si>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</si>
  <si>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</si>
  <si>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</si>
  <si>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</si>
  <si>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</si>
  <si>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</si>
  <si>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</si>
  <si>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Muixara</t>
  </si>
  <si>
    <t>Decor corredera 1H1Fijo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</si>
</sst>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20250219</v>
      </c>
      <c r="G7" s="8">
        <f ca="1">TODAY()</f>
        <v>45971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281</v>
      </c>
      <c r="C13" s="77" t="str">
        <f>IFERROR(VLOOKUP($B13,Tarifa_all_20240711!$A$2:$G$660,2,FALSE()),"-")</f>
        <v>CARC.SIMPLE GUIA DESM.LAC.BLANCO MATE 9003-2 MTS</v>
      </c>
      <c r="D13" s="77"/>
      <c r="E13" s="17">
        <v>1</v>
      </c>
      <c r="F13" s="18">
        <f>IFERROR(VLOOKUP($B13,Tarifa_all_20240711!$A$2:$G$660,5,FALSE()),"-")</f>
        <v>58.222499999999997</v>
      </c>
      <c r="G13" s="18">
        <f t="shared" ref="G13:G30" si="0">IFERROR(E13*F13,"-")</f>
        <v>58.222499999999997</v>
      </c>
      <c r="H13" s="1"/>
    </row>
    <row r="14" spans="1:12" x14ac:dyDescent="0.25">
      <c r="A14" t="s">
        <v>15</v>
      </c>
      <c r="B14" s="16" t="s">
        <v>273</v>
      </c>
      <c r="C14" s="77" t="str">
        <f>IFERROR(VLOOKUP($B14,Tarifa_all_20240711!$A$2:$G$660,2,FALSE()),"-")</f>
        <v>GUIA SKY PLUS DESMONT.LAC.BLANCO MATE 9003-2 MTS</v>
      </c>
      <c r="D14" s="77"/>
      <c r="E14" s="17">
        <v>1</v>
      </c>
      <c r="F14" s="18">
        <f>IFERROR(VLOOKUP($B14,Tarifa_all_20240711!$A$2:$G$660,5,FALSE()),"-")</f>
        <v>43.552500000000002</v>
      </c>
      <c r="G14" s="18">
        <f t="shared" si="0"/>
        <v>43.552500000000002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7" t="str">
        <f>IFERROR(VLOOKUP($B17,Tarifa_all_20240711!$A$2:$G$660,2,FALSE()),"-")</f>
        <v>KIT PUERTA PA CORREDERA LAC.BLANCO MATE 9003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77" t="str">
        <f>IFERROR(VLOOKUP($B19,Tarifa_all_20240711!$A$2:$G$660,2,FALSE()),"-")</f>
        <v>TIRADOR RECT.ADH CAVE LAC.BLANCO MATE 9003: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77" t="str">
        <f>IFERROR(VLOOKUP($B20,Tarifa_all_20240711!$A$2:$G$660,2,FALSE()),"-")</f>
        <v>GUIADOR FIJO PA LAC.BLANCO MATE 9003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140</v>
      </c>
      <c r="C21" s="77" t="str">
        <f>IFERROR(VLOOKUP($B21,Tarifa_all_20240711!$A$2:$G$660,2,FALSE()),"-")</f>
        <v>PERFIL EMBELL.HORIZ. ADH LAC.BLANCO MATE 9003</v>
      </c>
      <c r="D21" s="77"/>
      <c r="E21" s="17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1"/>
    </row>
    <row r="22" spans="1:8" x14ac:dyDescent="0.25">
      <c r="B22" s="87" t="s">
        <v>464</v>
      </c>
      <c r="C22" s="88" t="str">
        <f>IFERROR(VLOOKUP($B22,Tarifa_all_20240711!$A$2:$G$660,2,FALSE()),"-")</f>
        <v>MARCO FIJOS 35MM D-DECOR FIJO BLANCO 9003 M 6,5 MT</v>
      </c>
      <c r="D22" s="88"/>
      <c r="E22" s="89">
        <v>1</v>
      </c>
      <c r="F22" s="90">
        <f>IFERROR(VLOOKUP($B22,Tarifa_all_20240711!$A$2:$G$660,5,FALSE()),"-")</f>
        <v>60.045000000000002</v>
      </c>
      <c r="G22" s="90">
        <f t="shared" si="0"/>
        <v>60.045000000000002</v>
      </c>
      <c r="H22" s="1"/>
    </row>
    <row r="23" spans="1:8" x14ac:dyDescent="0.25">
      <c r="B23" s="87" t="s">
        <v>444</v>
      </c>
      <c r="C23" s="88" t="str">
        <f>IFERROR(VLOOKUP($B23,Tarifa_all_20240711!$A$2:$G$660,2,FALSE()),"-")</f>
        <v>ANCLAJE TAPA 35MM D-DECOR FIJO BLAN 9003 M 6,5 MT</v>
      </c>
      <c r="D23" s="88"/>
      <c r="E23" s="89">
        <v>1</v>
      </c>
      <c r="F23" s="90">
        <f>IFERROR(VLOOKUP($B23,Tarifa_all_20240711!$A$2:$G$660,5,FALSE()),"-")</f>
        <v>29.0625</v>
      </c>
      <c r="G23" s="90">
        <f t="shared" si="0"/>
        <v>29.0625</v>
      </c>
      <c r="H23" s="1"/>
    </row>
    <row r="24" spans="1:8" x14ac:dyDescent="0.25">
      <c r="B24" s="87" t="s">
        <v>484</v>
      </c>
      <c r="C24" s="88" t="str">
        <f>IFERROR(VLOOKUP($B24,Tarifa_all_20240711!$A$2:$G$660,2,FALSE()),"-")</f>
        <v>TAPA MARCO 35MM D-DECOR FIJO BLANCO 9003 M. 6,5 MT</v>
      </c>
      <c r="D24" s="88"/>
      <c r="E24" s="89">
        <v>1</v>
      </c>
      <c r="F24" s="90">
        <f>IFERROR(VLOOKUP($B24,Tarifa_all_20240711!$A$2:$G$660,5,FALSE()),"-")</f>
        <v>24.487499999999997</v>
      </c>
      <c r="G24" s="90">
        <f t="shared" si="0"/>
        <v>24.487499999999997</v>
      </c>
      <c r="H24" s="1"/>
    </row>
    <row r="25" spans="1:8" x14ac:dyDescent="0.25">
      <c r="B25" s="87" t="s">
        <v>452</v>
      </c>
      <c r="C25" s="88" t="str">
        <f>IFERROR(VLOOKUP($B25,Tarifa_all_20240711!$A$2:$G$660,2,FALSE()),"-")</f>
        <v>PERFIL MINIMALISTA D-DECOR FIJO BLANCO 9003 M 3 MT</v>
      </c>
      <c r="D25" s="88"/>
      <c r="E25" s="89">
        <v>1</v>
      </c>
      <c r="F25" s="90">
        <f>IFERROR(VLOOKUP($B25,Tarifa_all_20240711!$A$2:$G$660,5,FALSE()),"-")</f>
        <v>36.72</v>
      </c>
      <c r="G25" s="90">
        <f t="shared" si="0"/>
        <v>36.72</v>
      </c>
      <c r="H25" s="1"/>
    </row>
    <row r="26" spans="1:8" x14ac:dyDescent="0.25">
      <c r="B26" s="87" t="s">
        <v>298</v>
      </c>
      <c r="C26" s="88" t="str">
        <f>IFERROR(VLOOKUP($B26,Tarifa_all_20240711!$A$2:$G$660,2,FALSE()),"-")</f>
        <v>Tope Domo Decor</v>
      </c>
      <c r="D26" s="88"/>
      <c r="E26" s="89">
        <v>4</v>
      </c>
      <c r="F26" s="90">
        <f>IFERROR(VLOOKUP($B26,Tarifa_all_20240711!$A$2:$G$660,5,FALSE()),"-")</f>
        <v>1.4175</v>
      </c>
      <c r="G26" s="90">
        <f t="shared" si="0"/>
        <v>5.67</v>
      </c>
      <c r="H26" s="1"/>
    </row>
    <row r="27" spans="1:8" x14ac:dyDescent="0.25">
      <c r="B27" s="87" t="s">
        <v>300</v>
      </c>
      <c r="C27" s="88" t="str">
        <f>IFERROR(VLOOKUP($B27,Tarifa_all_20240711!$A$2:$G$660,2,FALSE()),"-")</f>
        <v>PERFIL 3 MTS REDUCTOR PARA VIDRIO 6mm</v>
      </c>
      <c r="D27" s="88"/>
      <c r="E27" s="89">
        <v>3</v>
      </c>
      <c r="F27" s="90">
        <f>IFERROR(VLOOKUP($B27,Tarifa_all_20240711!$A$2:$G$660,5,FALSE()),"-")</f>
        <v>3.4275000000000002</v>
      </c>
      <c r="G27" s="90">
        <f t="shared" si="0"/>
        <v>10.282500000000001</v>
      </c>
      <c r="H27" s="1"/>
    </row>
    <row r="28" spans="1:8" x14ac:dyDescent="0.25">
      <c r="B28" s="87">
        <v>31229</v>
      </c>
      <c r="C28" s="88" t="str">
        <f>IFERROR(VLOOKUP($B28,Tarifa_all_20240711!$A$2:$G$660,2,FALSE()),"-")</f>
        <v>COMPLEMENTO FIJACION DOMO DECOR: BARRAS 3 MTS</v>
      </c>
      <c r="D28" s="88"/>
      <c r="E28" s="89">
        <v>3</v>
      </c>
      <c r="F28" s="90">
        <f>IFERROR(VLOOKUP($B28,Tarifa_all_20240711!$A$2:$G$660,5,FALSE()),"-")</f>
        <v>11.317499999999999</v>
      </c>
      <c r="G28" s="90">
        <f t="shared" si="0"/>
        <v>33.952500000000001</v>
      </c>
      <c r="H28" s="1"/>
    </row>
    <row r="29" spans="1:8" x14ac:dyDescent="0.25">
      <c r="B29" s="87"/>
      <c r="C29" s="88" t="str">
        <f>IFERROR(VLOOKUP($B29,Tarifa_all_20240711!$A$2:$G$660,2,FALSE()),"-")</f>
        <v>-</v>
      </c>
      <c r="D29" s="88"/>
      <c r="E29" s="89"/>
      <c r="F29" s="90" t="str">
        <f>IFERROR(VLOOKUP($B29,Tarifa_all_20240711!$A$2:$G$660,5,FALSE()),"-")</f>
        <v>-</v>
      </c>
      <c r="G29" s="90" t="str">
        <f t="shared" si="0"/>
        <v>-</v>
      </c>
      <c r="H29" s="1"/>
    </row>
    <row r="30" spans="1:8" x14ac:dyDescent="0.25">
      <c r="B30" s="87"/>
      <c r="C30" s="88" t="str">
        <f>IFERROR(VLOOKUP($B30,Tarifa_all_20240711!$A$2:$G$660,2,FALSE()),"-")</f>
        <v>-</v>
      </c>
      <c r="D30" s="88"/>
      <c r="E30" s="89"/>
      <c r="F30" s="90" t="str">
        <f>IFERROR(VLOOKUP($B30,Tarifa_all_20240711!$A$2:$G$660,5,FALSE()),"-")</f>
        <v>-</v>
      </c>
      <c r="G30" s="90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890.72249999999997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Muixara</v>
      </c>
      <c r="C9" s="86"/>
      <c r="D9" s="86"/>
      <c r="F9" s="3" t="s">
        <v>81</v>
      </c>
      <c r="G9" s="44">
        <f ca="1">TODAY()</f>
        <v>45971</v>
      </c>
    </row>
    <row r="10" spans="1:7" x14ac:dyDescent="0.25">
      <c r="A10" s="3" t="s">
        <v>82</v>
      </c>
      <c r="B10" s="11" t="str">
        <f>'DESPIECE (MATANALYSIS)'!C9</f>
        <v>Decor corredera 1H1Fijo</v>
      </c>
      <c r="C10" s="45"/>
      <c r="D10" s="45"/>
      <c r="E10" s="46"/>
      <c r="F10" s="47" t="s">
        <v>83</v>
      </c>
      <c r="G10" s="7">
        <f>'DESPIECE (MATANALYSIS)'!C7</f>
        <v>20250219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890.72249999999997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2025-11-10T16:02:34Z</dcterms:modified>
  <dc:language>es-ES</dc:language>
</cp:coreProperties>
</file>