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67\calculos\1\"/>
    </mc:Choice>
  </mc:AlternateContent>
  <xr:revisionPtr revIDLastSave="0" documentId="13_ncr:1_{01D46D8C-8435-4D0A-8A66-D684F4ACCD2F}" xr6:coauthVersionLast="47" xr6:coauthVersionMax="47" xr10:uidLastSave="{00000000-0000-0000-0000-000000000000}"/>
  <bookViews>
    <workbookView xWindow="-28920" yWindow="-120" windowWidth="29040" windowHeight="15720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0" l="1"/>
  <c r="F30" i="10"/>
  <c r="M30" i="10"/>
  <c r="K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F4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<sst xmlns="http://schemas.openxmlformats.org/spreadsheetml/2006/main" count="5414" uniqueCount="1459">
  <si>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</si>
  <si>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</si>
  <si>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</si>
  <si>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</si>
  <si>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</si>
  <si>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</si>
  <si>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</si>
  <si>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</si>
  <si>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</si>
  <si>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</si>
  <si>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</si>
  <si>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</si>
  <si>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</si>
  <si>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</si>
  <si>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</si>
  <si>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</si>
  <si>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</si>
  <si>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</si>
  <si>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</si>
  <si>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</si>
  <si>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</si>
  <si>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</si>
  <si>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</si>
  <si>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</si>
  <si>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</si>
  <si>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</si>
  <si>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</si>
  <si>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</si>
  <si>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</si>
  <si>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</si>
  <si>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</si>
  <si>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</si>
  <si>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</si>
  <si>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</si>
  <si>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</si>
  <si>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</si>
  <si>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</si>
  <si>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</si>
  <si>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</si>
  <si>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</si>
  <si>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</si>
  <si>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</si>
  <si>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</si>
  <si>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</si>
  <si>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</si>
  <si>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</si>
  <si>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</si>
  <si>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</si>
  <si>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</si>
  <si>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</si>
  <si>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</si>
  <si>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</si>
  <si>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</si>
  <si>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</si>
  <si>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</si>
  <si>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</si>
  <si>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</si>
  <si>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</si>
  <si>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</si>
  <si>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</si>
  <si>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</si>
  <si>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</si>
  <si>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</si>
  <si>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</si>
  <si>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</si>
  <si>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</si>
  <si>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</si>
  <si>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</si>
  <si>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</si>
  <si>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</si>
  <si>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</si>
  <si>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</si>
  <si>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</si>
  <si>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</si>
  <si>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</si>
  <si>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</si>
  <si>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</si>
  <si>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</si>
  <si>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</si>
  <si>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</si>
  <si>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</si>
  <si>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</si>
  <si>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</si>
  <si>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</si>
  <si>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</si>
  <si>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</si>
  <si>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</si>
  <si>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</si>
  <si>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</si>
  <si>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</si>
  <si>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</si>
  <si>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</si>
  <si>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</si>
  <si>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</si>
  <si>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</si>
  <si>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</si>
  <si>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</si>
  <si>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</si>
  <si>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</si>
  <si>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</si>
  <si>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</si>
  <si>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</si>
  <si>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</si>
  <si>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</si>
  <si>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</si>
  <si>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</si>
  <si>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</si>
  <si>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</si>
  <si>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</si>
  <si>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</si>
  <si>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</si>
  <si>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</si>
  <si>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</si>
  <si>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</si>
  <si>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</si>
  <si>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</si>
  <si>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</si>
  <si>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</si>
  <si>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</si>
  <si>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</si>
  <si>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</si>
  <si>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</si>
  <si>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</si>
  <si>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</si>
  <si>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</si>
  <si>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</si>
  <si>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</si>
  <si>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</si>
  <si>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</si>
  <si>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</si>
  <si>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</si>
  <si>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</si>
  <si>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</si>
  <si>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</si>
  <si>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</si>
  <si>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</si>
  <si>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</si>
  <si>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</si>
  <si>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</si>
  <si>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</si>
  <si>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</si>
  <si>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</si>
  <si>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</si>
  <si>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</si>
  <si>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</si>
  <si>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</si>
  <si>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</si>
  <si>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</si>
  <si>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</si>
  <si>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</si>
  <si>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</si>
  <si>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</si>
  <si>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</si>
  <si>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</si>
  <si>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</si>
  <si>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</si>
  <si>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</si>
  <si>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</si>
  <si>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</si>
  <si>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</si>
  <si>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</si>
  <si>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</si>
  <si>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</si>
  <si>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</si>
  <si>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</si>
  <si>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</si>
  <si>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</si>
  <si>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</si>
  <si>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</si>
  <si>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</si>
  <si>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</si>
  <si>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</si>
  <si>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</si>
  <si>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</si>
  <si>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</si>
  <si>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</si>
  <si>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</si>
  <si>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</si>
  <si>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</si>
  <si>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</si>
  <si>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</si>
  <si>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</si>
  <si>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</si>
  <si>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</si>
  <si>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</si>
  <si>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</si>
  <si>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</si>
  <si>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</si>
  <si>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</si>
  <si>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</si>
  <si>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</si>
  <si>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</si>
  <si>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</si>
  <si>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</si>
  <si>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</si>
  <si>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</si>
  <si>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</si>
  <si>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</si>
  <si>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</si>
  <si>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</si>
  <si>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</si>
  <si>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</si>
  <si>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</si>
  <si>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</si>
  <si>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</si>
  <si>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</si>
  <si>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</si>
  <si>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</si>
  <si>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</si>
  <si>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</si>
  <si>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</si>
  <si>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</si>
  <si>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</si>
  <si>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</si>
  <si>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</si>
  <si>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</si>
  <si>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</si>
  <si>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</si>
  <si>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</si>
  <si>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</si>
  <si>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</si>
  <si>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</si>
  <si>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</si>
  <si>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</si>
  <si>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</si>
  <si>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</si>
  <si>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</si>
  <si>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</si>
  <si>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</si>
  <si>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</si>
  <si>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</si>
  <si>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</si>
  <si>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</si>
  <si>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</si>
  <si>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</si>
  <si>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</si>
  <si>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</si>
  <si>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</si>
  <si>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</si>
  <si>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</si>
  <si>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</si>
  <si>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</si>
  <si>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</si>
  <si>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</si>
  <si>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</si>
  <si>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</si>
  <si>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</si>
  <si>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</si>
  <si>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</si>
  <si>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</si>
  <si>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</si>
  <si>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</si>
  <si>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</si>
  <si>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</si>
  <si>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</si>
  <si>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</si>
  <si>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</si>
  <si>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</si>
  <si>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</si>
  <si>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</si>
  <si>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</si>
  <si>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</si>
  <si>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</si>
  <si>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</si>
  <si>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</si>
  <si>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</si>
  <si>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</si>
  <si>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</si>
  <si>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</si>
  <si>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</si>
  <si>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</si>
  <si>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</si>
  <si>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</si>
  <si>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</si>
  <si>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</si>
  <si>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</si>
  <si>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</si>
  <si>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</si>
  <si>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</si>
  <si>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</si>
  <si>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</si>
  <si>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</si>
  <si>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</si>
  <si>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</si>
  <si>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</si>
  <si>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</si>
  <si>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</si>
  <si>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</si>
  <si>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</si>
  <si>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</si>
  <si>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</si>
  <si>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</si>
  <si>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</si>
  <si>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</si>
  <si>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</si>
  <si>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</si>
  <si>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</si>
  <si>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</si>
  <si>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</si>
  <si>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</si>
  <si>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</si>
  <si>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</si>
  <si>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</si>
  <si>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</si>
  <si>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</si>
  <si>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</si>
  <si>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</si>
  <si>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</si>
  <si>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</si>
  <si>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</si>
  <si>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</si>
  <si>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</si>
  <si>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</si>
  <si>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</si>
  <si>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</si>
  <si>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</si>
  <si>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</si>
  <si>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</si>
  <si>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</si>
  <si>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</si>
  <si>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</si>
  <si>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</si>
  <si>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</si>
  <si>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</si>
  <si>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</si>
  <si>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</si>
  <si>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</si>
  <si>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</si>
  <si>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</si>
  <si>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</si>
  <si>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</si>
  <si>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</si>
  <si>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</si>
  <si>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</si>
  <si>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</si>
  <si>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</si>
  <si>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</si>
  <si>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</si>
  <si>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</si>
  <si>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</si>
  <si>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</si>
  <si>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</si>
  <si>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</si>
  <si>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</si>
  <si>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</si>
  <si>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</si>
  <si>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</si>
  <si>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</si>
  <si>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</si>
  <si>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</si>
  <si>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</si>
  <si>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</si>
  <si>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</si>
  <si>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</si>
  <si>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</si>
  <si>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</si>
  <si>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</si>
  <si>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</si>
  <si>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</si>
  <si>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</si>
  <si>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</si>
  <si>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</si>
  <si>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</si>
  <si>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</si>
  <si>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</si>
  <si>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</si>
  <si>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</si>
  <si>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</si>
  <si>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</si>
  <si>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</si>
  <si>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</si>
  <si>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</si>
  <si>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</si>
  <si>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</si>
  <si>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</si>
  <si>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</si>
  <si>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</si>
  <si>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</si>
  <si>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</si>
  <si>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</si>
  <si>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</si>
  <si>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</si>
  <si>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</si>
  <si>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</si>
  <si>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</si>
  <si>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</si>
  <si>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</si>
  <si>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</si>
  <si>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</si>
  <si>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</si>
  <si>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</si>
  <si>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</si>
  <si>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</si>
  <si>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</si>
  <si>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</si>
  <si>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</si>
  <si>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</si>
  <si>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</si>
  <si>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</si>
  <si>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</si>
  <si>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</si>
  <si>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</si>
  <si>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</si>
  <si>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</si>
  <si>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</si>
  <si>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</si>
  <si>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</si>
  <si>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</si>
  <si>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</si>
  <si>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</si>
  <si>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</si>
  <si>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</si>
  <si>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</si>
  <si>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</si>
  <si>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</si>
  <si>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</si>
  <si>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</si>
  <si>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</si>
  <si>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</si>
  <si>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</si>
  <si>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</si>
  <si>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</si>
  <si>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</si>
  <si>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</si>
  <si>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</si>
  <si>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</si>
  <si>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</si>
  <si>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</si>
  <si>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</si>
  <si>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</si>
  <si>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</si>
  <si>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</si>
  <si>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</si>
  <si>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</si>
  <si>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</si>
  <si>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</si>
  <si>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</si>
  <si>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</si>
  <si>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</si>
  <si>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</si>
  <si>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</si>
  <si>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</si>
  <si>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</si>
  <si>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</si>
  <si>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</si>
  <si>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</si>
  <si>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</si>
  <si>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</si>
  <si>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</si>
  <si>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</si>
  <si>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</si>
  <si>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</si>
  <si>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</si>
  <si>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</si>
  <si>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</si>
  <si>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</si>
  <si>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</si>
  <si>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</si>
  <si>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</si>
  <si>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</si>
  <si>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</si>
  <si>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</si>
  <si>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</si>
  <si>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</si>
  <si>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</si>
  <si>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</si>
  <si>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</si>
  <si>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</si>
  <si>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</si>
  <si>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</si>
  <si>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</si>
  <si>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</si>
  <si>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</si>
  <si>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</si>
  <si>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</si>
  <si>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</si>
  <si>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</si>
  <si>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</si>
  <si>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</si>
  <si>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</si>
  <si>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</si>
  <si>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</si>
  <si>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</si>
  <si>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</si>
  <si>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</si>
  <si>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</si>
  <si>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</si>
  <si>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</si>
  <si>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</si>
  <si>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</si>
  <si>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</si>
  <si>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</si>
  <si>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</si>
  <si>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</si>
  <si>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</si>
  <si>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</si>
  <si>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</si>
  <si>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</si>
  <si>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</si>
  <si>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</si>
  <si>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</si>
  <si>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</si>
  <si>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</si>
  <si>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</si>
  <si>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</si>
  <si>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</si>
  <si>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</si>
  <si>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</si>
  <si>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</si>
  <si>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</si>
  <si>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</si>
  <si>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</si>
  <si>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</si>
  <si>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</si>
  <si>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</si>
  <si>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</si>
  <si>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</si>
  <si>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</si>
  <si>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</si>
  <si>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</si>
  <si>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</si>
  <si>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</si>
  <si>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</si>
  <si>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</si>
  <si>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</si>
  <si>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</si>
  <si>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</si>
  <si>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</si>
  <si>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</si>
  <si>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</si>
  <si>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</si>
  <si>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</si>
  <si>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</si>
  <si>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</si>
  <si>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</si>
  <si>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</si>
  <si>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</si>
  <si>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</si>
  <si>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</si>
  <si>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</si>
  <si>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</si>
  <si>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</si>
  <si>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</si>
  <si>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</si>
  <si>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</si>
  <si>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</si>
  <si>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</si>
  <si>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</si>
  <si>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</si>
  <si>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</si>
  <si>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</si>
  <si>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</si>
  <si>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</si>
  <si>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</si>
  <si>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</si>
  <si>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</si>
  <si>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</si>
  <si>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</si>
  <si>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</si>
  <si>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</si>
  <si>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</si>
  <si>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</si>
  <si>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</si>
  <si>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</si>
  <si>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</si>
  <si>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</si>
  <si>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</si>
  <si>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</si>
  <si>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</si>
  <si>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</si>
  <si>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</si>
  <si>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</si>
  <si>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</si>
  <si>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</si>
  <si>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</si>
  <si>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</si>
  <si>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</si>
  <si>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</si>
  <si>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</si>
  <si>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</si>
  <si>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</si>
  <si>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</si>
  <si>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</si>
  <si>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</si>
  <si>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</si>
  <si>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</si>
  <si>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</si>
  <si>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</si>
  <si>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</si>
  <si>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</si>
  <si>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</si>
  <si>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</si>
  <si>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</si>
  <si>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</si>
  <si>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</si>
  <si>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</si>
  <si>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</si>
  <si>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</si>
  <si>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</si>
  <si>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</si>
  <si>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</si>
  <si>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</si>
  <si>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</si>
  <si>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</si>
  <si>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</si>
  <si>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</si>
  <si>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</si>
  <si>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</si>
  <si>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</si>
  <si>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</si>
  <si>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</si>
  <si>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</si>
  <si>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</si>
  <si>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</si>
  <si>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</si>
  <si>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</si>
  <si>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</si>
  <si>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</si>
  <si>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</si>
  <si>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</si>
  <si>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</si>
  <si>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</si>
  <si>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</si>
  <si>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</si>
  <si>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</si>
  <si>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</si>
  <si>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</si>
  <si>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</si>
  <si>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</si>
  <si>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</si>
  <si>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</si>
  <si>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</si>
  <si>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</si>
  <si>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</si>
  <si>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</si>
  <si>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</si>
  <si>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</si>
  <si>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</si>
  <si>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</si>
  <si>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</si>
  <si>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</si>
  <si>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</si>
  <si>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</si>
  <si>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</si>
  <si>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</si>
  <si>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</si>
  <si>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</si>
  <si>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</si>
  <si>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</si>
  <si>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</si>
  <si>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</si>
  <si>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</si>
  <si>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</si>
  <si>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</si>
  <si>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</si>
  <si>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</si>
  <si>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</si>
  <si>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</si>
  <si>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</si>
  <si>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</si>
  <si>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</si>
  <si>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</si>
  <si>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</si>
  <si>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</si>
  <si>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</si>
  <si>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</si>
  <si>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</si>
  <si>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</si>
  <si>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</si>
  <si>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</si>
  <si>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</si>
  <si>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</si>
  <si>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</si>
  <si>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</si>
  <si>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</si>
  <si>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</si>
  <si>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</si>
  <si>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</si>
  <si>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</si>
  <si>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</si>
  <si>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</si>
  <si>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</si>
  <si>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</si>
  <si>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</si>
  <si>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</si>
  <si>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</si>
  <si>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</si>
  <si>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</si>
  <si>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</si>
  <si>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</si>
  <si>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</si>
  <si>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</si>
  <si>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</si>
  <si>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</si>
  <si>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</si>
  <si>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</si>
  <si>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</si>
  <si>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</si>
  <si>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</si>
  <si>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</si>
  <si>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</si>
  <si>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</si>
  <si>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</si>
  <si>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</si>
  <si>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</si>
  <si>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</si>
  <si>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</si>
  <si>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</si>
  <si>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</si>
  <si>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</si>
  <si>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</si>
  <si>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</si>
  <si>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</si>
  <si>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</si>
  <si>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</si>
  <si>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</si>
  <si>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</si>
  <si>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</si>
  <si>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</si>
  <si>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</si>
  <si>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</si>
  <si>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</si>
  <si>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</si>
  <si>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</si>
  <si>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</si>
  <si>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</si>
  <si>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</si>
  <si>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</si>
  <si>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</si>
  <si>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</si>
  <si>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</si>
  <si>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</si>
  <si>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</si>
  <si>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</si>
  <si>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</si>
  <si>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</si>
  <si>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</si>
  <si>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</si>
  <si>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</si>
  <si>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</si>
  <si>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</si>
  <si>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</si>
  <si>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</si>
  <si>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</si>
  <si>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</si>
  <si>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</si>
  <si>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</si>
  <si>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</si>
  <si>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</si>
  <si>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</si>
  <si>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</si>
  <si>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</si>
  <si>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</si>
  <si>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</si>
  <si>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</si>
  <si>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</si>
  <si>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</si>
  <si>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</si>
  <si>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</si>
  <si>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</si>
  <si>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</si>
  <si>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</si>
  <si>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</si>
  <si>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</si>
  <si>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</si>
  <si>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</si>
  <si>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</si>
  <si>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</si>
  <si>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</si>
  <si>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</si>
  <si>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</si>
  <si>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</si>
  <si>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</si>
  <si>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</si>
  <si>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</si>
  <si>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</si>
  <si>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</si>
  <si>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</si>
  <si>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</si>
  <si>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</si>
  <si>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</si>
  <si>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</si>
  <si>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</si>
  <si>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</si>
  <si>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</si>
  <si>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</si>
  <si>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</si>
  <si>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</si>
  <si>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</si>
  <si>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</si>
  <si>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</si>
  <si>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</si>
  <si>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</si>
  <si>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</si>
  <si>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</si>
  <si>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</si>
  <si>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</si>
  <si>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</si>
  <si>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</si>
  <si>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</si>
  <si>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</si>
  <si>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</si>
  <si>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</si>
  <si>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</si>
  <si>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</si>
  <si>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</si>
  <si>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</si>
  <si>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</si>
  <si>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</si>
  <si>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</si>
  <si>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</si>
  <si>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</si>
  <si>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</si>
  <si>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</si>
  <si>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</si>
  <si>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</si>
  <si>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</si>
  <si>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</si>
  <si>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</si>
  <si>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</si>
  <si>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</si>
  <si>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</si>
  <si>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</si>
  <si>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</si>
  <si>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</si>
  <si>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</si>
  <si>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</si>
  <si>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</si>
  <si>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</si>
  <si>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</si>
  <si>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</si>
  <si>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</si>
  <si>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</si>
  <si>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</si>
  <si>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</si>
  <si>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</si>
  <si>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</si>
  <si>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</si>
  <si>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</si>
  <si>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</si>
  <si>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</si>
  <si>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</si>
  <si>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</si>
  <si>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</si>
  <si>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</si>
  <si>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</si>
  <si>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</si>
  <si>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</si>
  <si>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</si>
  <si>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</si>
  <si>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</si>
  <si>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</si>
  <si>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</si>
  <si>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</si>
  <si>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</si>
  <si>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</si>
  <si>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</si>
  <si>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</si>
  <si>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</si>
  <si>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</si>
  <si>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</si>
  <si>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</si>
  <si>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</si>
  <si>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</si>
  <si>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</si>
  <si>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</si>
  <si>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</si>
  <si>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</si>
  <si>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</si>
  <si>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</si>
  <si>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</si>
  <si>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</si>
  <si>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</si>
  <si>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</si>
  <si>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</si>
  <si>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</si>
  <si>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</si>
  <si>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</si>
  <si>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</si>
  <si>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</si>
  <si>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</si>
  <si>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</si>
  <si>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</si>
  <si>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</si>
  <si>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</si>
  <si>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</si>
  <si>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</si>
  <si>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</si>
  <si>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</si>
  <si>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</si>
  <si>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</si>
  <si>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</si>
  <si>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</si>
  <si>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</si>
  <si>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</si>
  <si>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</si>
  <si>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</si>
  <si>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</si>
  <si>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</si>
  <si>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</si>
  <si>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</si>
  <si>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</si>
  <si>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</si>
  <si>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</si>
  <si>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</si>
  <si>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</si>
  <si>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</si>
  <si>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</si>
  <si>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</si>
  <si>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</si>
  <si>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</si>
  <si>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</si>
  <si>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</si>
  <si>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</si>
  <si>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</si>
  <si>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</si>
  <si>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</si>
  <si>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</si>
  <si>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</si>
  <si>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</si>
  <si>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</si>
  <si>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</si>
  <si>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</si>
  <si>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</si>
  <si>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</si>
  <si>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</si>
  <si>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</si>
  <si>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</si>
  <si>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</si>
  <si>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</si>
  <si>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</si>
  <si>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</si>
  <si>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</si>
  <si>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</si>
  <si>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</si>
  <si>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</si>
  <si>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</si>
  <si>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</si>
  <si>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</si>
  <si>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</si>
  <si>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</si>
  <si>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</si>
  <si>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</si>
  <si>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</si>
  <si>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</si>
  <si>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</si>
  <si>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</si>
  <si>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</si>
  <si>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</si>
  <si>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</si>
  <si>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</si>
  <si>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</si>
  <si>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</si>
  <si>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</si>
  <si>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</si>
  <si>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</si>
  <si>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</si>
  <si>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</si>
  <si>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</si>
  <si>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</si>
  <si>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</si>
  <si>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</si>
  <si>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</si>
  <si>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</si>
  <si>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</si>
  <si>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</si>
  <si>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</si>
  <si>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</si>
  <si>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</si>
  <si>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</si>
  <si>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</si>
  <si>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</si>
  <si>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</si>
  <si>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</si>
  <si>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</si>
  <si>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</si>
  <si>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</si>
  <si>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</si>
  <si>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</si>
  <si>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</si>
  <si>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</si>
  <si>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</si>
  <si>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</si>
  <si>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</si>
  <si>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</si>
  <si>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</si>
  <si>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</si>
  <si>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</si>
  <si>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</si>
  <si>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</si>
  <si>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</si>
  <si>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</si>
  <si>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</si>
  <si>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</si>
  <si>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</si>
  <si>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</si>
  <si>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</si>
  <si>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</si>
  <si>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</si>
  <si>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</si>
  <si>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</si>
  <si>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</si>
  <si>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</si>
  <si>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</si>
  <si>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</si>
  <si>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</si>
  <si>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</si>
  <si>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</si>
  <si>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</si>
  <si>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</si>
  <si>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</si>
  <si>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</si>
  <si>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</si>
  <si>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</si>
  <si>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</si>
  <si>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</si>
  <si>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</si>
  <si>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</si>
  <si>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</si>
  <si>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</si>
  <si>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</si>
  <si>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</si>
  <si>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</si>
  <si>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</si>
  <si>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</si>
  <si>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</si>
  <si>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</si>
  <si>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</si>
  <si>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</si>
  <si>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</si>
  <si>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</si>
  <si>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</si>
  <si>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</si>
  <si>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</si>
  <si>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</si>
  <si>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</si>
  <si>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</si>
  <si>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</si>
  <si>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</si>
  <si>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</si>
  <si>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</si>
  <si>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</si>
  <si>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</si>
  <si>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</si>
  <si>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</si>
  <si>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</si>
  <si>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</si>
  <si>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</si>
  <si>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</si>
  <si>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</si>
  <si>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</si>
  <si>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</si>
  <si>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</si>
  <si>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</si>
  <si>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</si>
  <si>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</si>
  <si>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</si>
  <si>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</si>
  <si>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</si>
  <si>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</si>
  <si>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</si>
  <si>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</si>
  <si>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</si>
  <si>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</si>
  <si>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</si>
  <si>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</si>
  <si>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</si>
  <si>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</si>
  <si>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</si>
  <si>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</si>
  <si>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</si>
  <si>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</si>
  <si>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</si>
  <si>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</si>
  <si>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</si>
  <si>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</si>
  <si>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</si>
  <si>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</si>
  <si>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</si>
  <si>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</si>
  <si>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</si>
  <si>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</si>
  <si>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</si>
  <si>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</si>
  <si>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</si>
  <si>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</si>
  <si>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</si>
  <si>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</si>
  <si>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</si>
  <si>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</si>
  <si>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</si>
  <si>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</si>
  <si>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</si>
  <si>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</si>
  <si>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</si>
  <si>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</si>
  <si>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</si>
  <si>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</si>
  <si>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</si>
  <si>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</si>
  <si>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</si>
  <si>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</si>
  <si>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</si>
  <si>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</si>
  <si>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</si>
  <si>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</si>
  <si>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</si>
  <si>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</si>
  <si>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</si>
  <si>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</si>
  <si>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</si>
  <si>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</si>
  <si>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</si>
  <si>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</si>
  <si>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</si>
  <si>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</si>
  <si>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</si>
  <si>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</si>
  <si>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</si>
  <si>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</si>
  <si>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</si>
  <si>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</si>
  <si>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</si>
  <si>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</si>
  <si>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</si>
  <si>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</si>
  <si>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</si>
  <si>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</si>
  <si>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</si>
  <si>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</si>
  <si>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</si>
  <si>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</si>
  <si>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</si>
  <si>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</si>
  <si>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</si>
  <si>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</si>
  <si>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</si>
  <si>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</si>
  <si>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</si>
  <si>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</si>
  <si>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</si>
  <si>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</si>
  <si>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</si>
  <si>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</si>
  <si>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</si>
  <si>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</si>
  <si>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</si>
  <si>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</si>
  <si>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</si>
  <si>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</si>
  <si>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</si>
  <si>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</si>
  <si>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</si>
  <si>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</si>
  <si>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</si>
  <si>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</si>
  <si>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</si>
  <si>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</si>
  <si>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</si>
  <si>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</si>
  <si>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</si>
  <si>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</si>
  <si>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</si>
  <si>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</si>
  <si>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</si>
  <si>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</si>
  <si>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</si>
  <si>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</si>
  <si>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</si>
  <si>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</si>
  <si>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</si>
  <si>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</si>
  <si>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</si>
  <si>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</si>
  <si>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</si>
  <si>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</si>
  <si>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</si>
  <si>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</si>
  <si>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</si>
  <si>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</si>
  <si>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</si>
  <si>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</si>
  <si>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</si>
  <si>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</si>
  <si>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</si>
  <si>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</si>
  <si>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</si>
  <si>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</si>
  <si>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</si>
  <si>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</si>
  <si>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</si>
  <si>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</si>
  <si>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</si>
  <si>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</si>
  <si>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</si>
  <si>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</si>
  <si>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</si>
  <si>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</si>
  <si>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</si>
  <si>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</si>
  <si>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</si>
  <si>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</si>
  <si>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</si>
  <si>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</si>
  <si>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</si>
  <si>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</si>
  <si>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</si>
  <si>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</si>
  <si>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</si>
  <si>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</si>
  <si>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</si>
  <si>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</si>
  <si>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</si>
  <si>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</si>
  <si>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</si>
  <si>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</si>
  <si>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</si>
  <si>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</si>
  <si>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</si>
  <si>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</si>
  <si>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</si>
  <si>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</si>
  <si>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</si>
  <si>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</si>
  <si>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</si>
  <si>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</si>
  <si>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</si>
  <si>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</si>
  <si>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</si>
  <si>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</si>
  <si>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</si>
  <si>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</si>
  <si>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</si>
  <si>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</si>
  <si>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</si>
  <si>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</si>
  <si>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</si>
  <si>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</si>
  <si>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</si>
  <si>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</si>
  <si>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</si>
  <si>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</si>
  <si>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</si>
  <si>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</si>
  <si>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</si>
  <si>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</si>
  <si>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</si>
  <si>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</si>
  <si>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</si>
  <si>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</si>
  <si>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</si>
  <si>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</si>
  <si>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</si>
  <si>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</si>
  <si>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</si>
  <si>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</si>
  <si>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</si>
  <si>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</si>
  <si>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</si>
  <si>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</si>
  <si>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</si>
  <si>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</si>
  <si>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</si>
  <si>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</si>
  <si>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</si>
  <si>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</si>
  <si>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</si>
  <si>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</si>
  <si>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</si>
  <si>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</si>
  <si>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</si>
  <si>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</si>
  <si>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</si>
  <si>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</si>
  <si>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</si>
  <si>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</si>
  <si>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</si>
  <si>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</si>
  <si>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</si>
  <si>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</si>
  <si>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</si>
  <si>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</si>
  <si>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</si>
  <si>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</si>
  <si>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</si>
  <si>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</si>
  <si>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</si>
  <si>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</si>
  <si>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</si>
  <si>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</si>
  <si>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</si>
  <si>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</si>
  <si>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</si>
  <si>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</si>
  <si>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</si>
  <si>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</si>
  <si>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</si>
  <si>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</si>
  <si>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</si>
  <si>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</si>
  <si>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</si>
  <si>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</si>
  <si>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</si>
  <si>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</si>
  <si>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</si>
  <si>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</si>
  <si>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</si>
  <si>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</si>
  <si>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</si>
  <si>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</si>
  <si>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</si>
  <si>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</si>
  <si>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</si>
  <si>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</si>
  <si>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</si>
  <si>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</si>
  <si>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</si>
  <si>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</si>
  <si>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</si>
  <si>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</si>
  <si>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</si>
  <si>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</si>
  <si>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</si>
  <si>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</si>
  <si>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</si>
  <si>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</si>
  <si>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</si>
  <si>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</si>
  <si>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</si>
  <si>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</si>
  <si>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</si>
  <si>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</si>
  <si>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</si>
  <si>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</si>
  <si>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</si>
  <si>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</si>
  <si>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</si>
  <si>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</si>
  <si>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</si>
  <si>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</si>
  <si>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</si>
  <si>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</si>
  <si>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</si>
  <si>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</si>
  <si>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</si>
  <si>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</si>
  <si>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</si>
  <si>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</si>
  <si>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</si>
  <si>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</si>
  <si>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</si>
  <si>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</si>
  <si>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</si>
  <si>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</si>
  <si>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</si>
  <si>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</si>
  <si>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</si>
  <si>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</si>
  <si>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</si>
  <si>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</si>
  <si>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</si>
  <si>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</si>
  <si>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</si>
  <si>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</si>
  <si>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</si>
  <si>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</si>
  <si>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</si>
  <si>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</si>
  <si>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</si>
  <si>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</si>
  <si>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</si>
  <si>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</si>
  <si>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</si>
  <si>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</si>
  <si>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</si>
  <si>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</si>
  <si>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</si>
  <si>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</si>
  <si>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</si>
  <si>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</si>
  <si>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</si>
  <si>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</si>
  <si>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</si>
  <si>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</si>
  <si>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</si>
  <si>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</si>
  <si>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</si>
  <si>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</si>
  <si>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</si>
  <si>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</si>
  <si>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</si>
  <si>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</si>
  <si>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</si>
  <si>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</si>
  <si>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</si>
  <si>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</si>
  <si>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</si>
  <si>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</si>
  <si>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</si>
  <si>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</si>
  <si>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</si>
  <si>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</si>
  <si>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</si>
  <si>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</si>
  <si>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</si>
  <si>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</si>
  <si>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</si>
  <si>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</si>
  <si>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</si>
  <si>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</si>
  <si>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</si>
  <si>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</si>
  <si>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</si>
  <si>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</si>
  <si>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</si>
  <si>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</si>
  <si>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</si>
  <si>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</si>
  <si>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</si>
  <si>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</si>
  <si>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</si>
  <si>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</si>
  <si>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</si>
  <si>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</si>
  <si>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</si>
  <si>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</si>
  <si>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</si>
  <si>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</si>
  <si>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</si>
  <si>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</si>
  <si>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</si>
  <si>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</si>
  <si>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</si>
  <si>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</si>
  <si>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</si>
  <si>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</si>
  <si>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</si>
  <si>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</si>
  <si>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</si>
  <si>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</si>
  <si>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</si>
  <si>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</si>
  <si>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</si>
  <si>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</si>
  <si>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</si>
  <si>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</si>
  <si>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</si>
  <si>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Isidoro Brines</t>
  </si>
  <si>
    <t>Decor reforma cocina-salón</t>
  </si>
  <si>
    <t>CUAD40x2</t>
  </si>
  <si>
    <t>CUADRADO 40 mm x 2 mm, BARRA: 6,5 MTS</t>
  </si>
  <si>
    <t>Tarifa No-Est</t>
  </si>
  <si>
    <t>4035x2450 mm</t>
  </si>
  <si>
    <t>35040 - 60 Kgrs</t>
  </si>
  <si>
    <t>35037 - 60 Kgrs</t>
  </si>
  <si>
    <t>35054 - CAVE adhesivo</t>
  </si>
  <si>
    <t>Inferior, Arrastre derecha</t>
  </si>
  <si>
    <t>Cuadrado 40x2 mm 1 barra incluida</t>
  </si>
  <si>
    <t>35007 - Techo vista, 2 uds a 6m.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</si>
</sst>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/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180976</xdr:colOff>
      <xdr:row>14</xdr:row>
      <xdr:rowOff>57150</xdr:rowOff>
    </xdr:from>
    <xdr:to>
      <xdr:col>6</xdr:col>
      <xdr:colOff>124085</xdr:colOff>
      <xdr:row>25</xdr:row>
      <xdr:rowOff>121650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B5E01A-6D5D-1B82-4994-611AB21A2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6" y="2876550"/>
          <a:ext cx="3638809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79"/>
  <sheetViews>
    <sheetView view="pageBreakPreview" zoomScaleNormal="95" zoomScaleSheetLayoutView="100" workbookViewId="0">
      <selection activeCell="G31" sqref="G3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20250067</v>
      </c>
      <c r="G7" s="8">
        <f ca="1">TODAY()</f>
        <v>45747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870</v>
      </c>
      <c r="C13" s="82" t="str">
        <f>IFERROR(VLOOKUP($B13,Tarifa_all_20240711!$A$2:$G$660,2,FALSE()),"-")</f>
        <v>GUIA SUP TECHO PLUS LAC.NEGRO TEXTURADO-6 MTS</v>
      </c>
      <c r="D13" s="82"/>
      <c r="E13" s="17">
        <v>2</v>
      </c>
      <c r="F13" s="18">
        <f>IFERROR(VLOOKUP($B13,Tarifa_all_20240711!$A$2:$G$660,5,FALSE()),"-")</f>
        <v>130.38</v>
      </c>
      <c r="G13" s="18">
        <f t="shared" ref="G13:G30" si="0">IFERROR(E13*F13,"-")</f>
        <v>260.76</v>
      </c>
      <c r="H13" s="1"/>
    </row>
    <row r="14" spans="1:12" x14ac:dyDescent="0.25">
      <c r="A14" t="s">
        <v>15</v>
      </c>
      <c r="B14" s="16" t="s">
        <v>1439</v>
      </c>
      <c r="C14" s="82" t="str">
        <f>IFERROR(VLOOKUP($B14,Tarifa_all_20240711!$A$2:$G$660,2,FALSE()),"-")</f>
        <v>TAPETA LAT. GUIA TECHO NEGRO</v>
      </c>
      <c r="D14" s="82"/>
      <c r="E14" s="17">
        <v>4</v>
      </c>
      <c r="F14" s="18">
        <f>IFERROR(VLOOKUP($B14,Tarifa_all_20240711!$A$2:$G$660,5,FALSE()),"-")</f>
        <v>10.484999999999999</v>
      </c>
      <c r="G14" s="18">
        <f t="shared" si="0"/>
        <v>41.94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2" t="str">
        <f>IFERROR(VLOOKUP($B16,Tarifa_all_20240711!$A$2:$G$660,2,FALSE()),"-")</f>
        <v>KIT AMORTIGUADOR SKY BIDIRECCIONAL 60KG</v>
      </c>
      <c r="D16" s="82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13" x14ac:dyDescent="0.25">
      <c r="A17" t="s">
        <v>18</v>
      </c>
      <c r="B17" s="16" t="s">
        <v>130</v>
      </c>
      <c r="C17" s="82" t="str">
        <f>IFERROR(VLOOKUP($B17,Tarifa_all_20240711!$A$2:$G$660,2,FALSE()),"-")</f>
        <v>KIT PUERTA PA CORREDERA LAC.NEGRO TEXTURADO</v>
      </c>
      <c r="D17" s="82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13" x14ac:dyDescent="0.25">
      <c r="A18" t="s">
        <v>19</v>
      </c>
      <c r="B18" s="16" t="s">
        <v>331</v>
      </c>
      <c r="C18" s="82" t="str">
        <f>IFERROR(VLOOKUP($B18,Tarifa_all_20240711!$A$2:$G$660,2,FALSE()),"-")</f>
        <v>CARRO SKY MADERA 60KG</v>
      </c>
      <c r="D18" s="82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13" x14ac:dyDescent="0.25">
      <c r="A19" t="s">
        <v>20</v>
      </c>
      <c r="B19" s="16" t="s">
        <v>511</v>
      </c>
      <c r="C19" s="82" t="str">
        <f>IFERROR(VLOOKUP($B19,Tarifa_all_20240711!$A$2:$G$660,2,FALSE()),"-")</f>
        <v>TIRADOR RECT.ADH CAVE LAC.NEGRO TEXTURADO: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13" x14ac:dyDescent="0.25">
      <c r="A20" t="s">
        <v>21</v>
      </c>
      <c r="B20" s="16" t="s">
        <v>1132</v>
      </c>
      <c r="C20" s="82" t="str">
        <f>IFERROR(VLOOKUP($B20,Tarifa_all_20240711!$A$2:$G$660,2,FALSE()),"-")</f>
        <v>GUIADOR FIJO PA LAC.NEGRO TEXTURADO</v>
      </c>
      <c r="D20" s="82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13" x14ac:dyDescent="0.25">
      <c r="A21" t="s">
        <v>22</v>
      </c>
      <c r="B21" s="16" t="s">
        <v>324</v>
      </c>
      <c r="C21" s="82" t="str">
        <f>IFERROR(VLOOKUP($B21,Tarifa_all_20240711!$A$2:$G$660,2,FALSE()),"-")</f>
        <v>ARRASTRE PUERTA PA DCHA LAC.NEGRO MATE</v>
      </c>
      <c r="D21" s="82"/>
      <c r="E21" s="17">
        <v>1</v>
      </c>
      <c r="F21" s="18">
        <f>IFERROR(VLOOKUP($B21,Tarifa_all_20240711!$A$2:$G$660,5,FALSE()),"-")</f>
        <v>13.86</v>
      </c>
      <c r="G21" s="18">
        <f t="shared" si="0"/>
        <v>13.86</v>
      </c>
      <c r="H21" s="1"/>
    </row>
    <row r="22" spans="1:13" x14ac:dyDescent="0.25">
      <c r="B22" s="76" t="s">
        <v>139</v>
      </c>
      <c r="C22" s="84" t="str">
        <f>IFERROR(VLOOKUP($B22,Tarifa_all_20240711!$A$2:$G$660,2,FALSE()),"-")</f>
        <v>PERFIL EMBELL.HORIZ. ADH LAC.NEGRO TEXTURADO</v>
      </c>
      <c r="D22" s="84"/>
      <c r="E22" s="77">
        <v>9</v>
      </c>
      <c r="F22" s="78">
        <f>IFERROR(VLOOKUP($B22,Tarifa_all_20240711!$A$2:$G$660,5,FALSE()),"-")</f>
        <v>21.794999999999998</v>
      </c>
      <c r="G22" s="78">
        <f t="shared" si="0"/>
        <v>196.15499999999997</v>
      </c>
      <c r="H22" s="1"/>
    </row>
    <row r="23" spans="1:13" x14ac:dyDescent="0.25">
      <c r="B23" s="16" t="s">
        <v>456</v>
      </c>
      <c r="C23" s="82" t="str">
        <f>IFERROR(VLOOKUP($B23,Tarifa_all_20240711!$A$2:$G$660,2,FALSE()),"-")</f>
        <v>MARCO FIJOS 35MM D-DECOR FIJO NEGRO TEXT 3 MTS</v>
      </c>
      <c r="D23" s="82"/>
      <c r="E23" s="17">
        <v>2</v>
      </c>
      <c r="F23" s="18">
        <f>IFERROR(VLOOKUP($B23,Tarifa_all_20240711!$A$2:$G$660,5,FALSE()),"-")</f>
        <v>27.712500000000002</v>
      </c>
      <c r="G23" s="18">
        <f t="shared" si="0"/>
        <v>55.425000000000004</v>
      </c>
      <c r="H23" s="1"/>
    </row>
    <row r="24" spans="1:13" x14ac:dyDescent="0.25">
      <c r="B24" s="16" t="s">
        <v>436</v>
      </c>
      <c r="C24" s="82" t="str">
        <f>IFERROR(VLOOKUP($B24,Tarifa_all_20240711!$A$2:$G$660,2,FALSE()),"-")</f>
        <v>ANCLAJE TAPA 35MM D-DECOR FIJO NEGRO TEXT 3 MTS</v>
      </c>
      <c r="D24" s="82"/>
      <c r="E24" s="17">
        <v>2</v>
      </c>
      <c r="F24" s="18">
        <f>IFERROR(VLOOKUP($B24,Tarifa_all_20240711!$A$2:$G$660,5,FALSE()),"-")</f>
        <v>13.4175</v>
      </c>
      <c r="G24" s="18">
        <f t="shared" si="0"/>
        <v>26.835000000000001</v>
      </c>
      <c r="H24" s="1"/>
    </row>
    <row r="25" spans="1:13" x14ac:dyDescent="0.25">
      <c r="B25" s="16" t="s">
        <v>476</v>
      </c>
      <c r="C25" s="82" t="str">
        <f>IFERROR(VLOOKUP($B25,Tarifa_all_20240711!$A$2:$G$660,2,FALSE()),"-")</f>
        <v>TAPA MARCO 35MM D-DECOR FIJO NEGRO TEXT 3 MTS</v>
      </c>
      <c r="D25" s="82"/>
      <c r="E25" s="17">
        <v>2</v>
      </c>
      <c r="F25" s="18">
        <f>IFERROR(VLOOKUP($B25,Tarifa_all_20240711!$A$2:$G$660,5,FALSE()),"-")</f>
        <v>11.3025</v>
      </c>
      <c r="G25" s="18">
        <f t="shared" si="0"/>
        <v>22.605</v>
      </c>
      <c r="H25" s="1"/>
    </row>
    <row r="26" spans="1:13" x14ac:dyDescent="0.25">
      <c r="B26" s="16" t="s">
        <v>294</v>
      </c>
      <c r="C26" s="82" t="str">
        <f>IFERROR(VLOOKUP($B26,Tarifa_all_20240711!$A$2:$G$660,2,FALSE()),"-")</f>
        <v>Tope Domo Decor</v>
      </c>
      <c r="D26" s="82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13" x14ac:dyDescent="0.25">
      <c r="B27" s="16" t="s">
        <v>296</v>
      </c>
      <c r="C27" s="82" t="str">
        <f>IFERROR(VLOOKUP($B27,Tarifa_all_20240711!$A$2:$G$660,2,FALSE()),"-")</f>
        <v>PERFIL 3 MTS REDUCTOR PARA VIDRIO 6mm</v>
      </c>
      <c r="D27" s="82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13" x14ac:dyDescent="0.25">
      <c r="B28" s="16">
        <v>31229</v>
      </c>
      <c r="C28" s="82" t="str">
        <f>IFERROR(VLOOKUP($B28,Tarifa_all_20240711!$A$2:$G$660,2,FALSE()),"-")</f>
        <v>COMPLEMENTO FIJACION DOMO DECOR: BARRAS 3 MTS</v>
      </c>
      <c r="D28" s="82"/>
      <c r="E28" s="17">
        <v>4</v>
      </c>
      <c r="F28" s="18">
        <f>IFERROR(VLOOKUP($B28,Tarifa_all_20240711!$A$2:$G$660,5,FALSE()),"-")</f>
        <v>11.317499999999999</v>
      </c>
      <c r="G28" s="18">
        <f t="shared" si="0"/>
        <v>45.269999999999996</v>
      </c>
      <c r="H28" s="1"/>
    </row>
    <row r="29" spans="1:13" x14ac:dyDescent="0.25">
      <c r="B29" s="16" t="s">
        <v>446</v>
      </c>
      <c r="C29" s="82" t="str">
        <f>IFERROR(VLOOKUP($B29,Tarifa_all_20240711!$A$2:$G$660,2,FALSE()),"-")</f>
        <v>PERFIL MINIMALISTA D-DECOR FIJO NEGRO TEXT 3 MTS</v>
      </c>
      <c r="D29" s="82"/>
      <c r="E29" s="17">
        <v>1</v>
      </c>
      <c r="F29" s="18">
        <f>IFERROR(VLOOKUP($B29,Tarifa_all_20240711!$A$2:$G$660,5,FALSE()),"-")</f>
        <v>36.72</v>
      </c>
      <c r="G29" s="18">
        <f t="shared" si="0"/>
        <v>36.72</v>
      </c>
      <c r="H29" s="1"/>
      <c r="I29" t="s">
        <v>1451</v>
      </c>
    </row>
    <row r="30" spans="1:13" x14ac:dyDescent="0.25">
      <c r="B30" s="92" t="s">
        <v>1449</v>
      </c>
      <c r="C30" s="93" t="s">
        <v>1450</v>
      </c>
      <c r="D30" s="93"/>
      <c r="E30" s="94">
        <v>1</v>
      </c>
      <c r="F30" s="95">
        <f>M30</f>
        <v>54.01305</v>
      </c>
      <c r="G30" s="95">
        <f t="shared" si="0"/>
        <v>54.01305</v>
      </c>
      <c r="H30" s="1"/>
      <c r="I30">
        <v>13.19</v>
      </c>
      <c r="J30">
        <v>6.5</v>
      </c>
      <c r="K30">
        <f>I30*J30</f>
        <v>85.734999999999999</v>
      </c>
      <c r="L30" s="91">
        <v>0.37</v>
      </c>
      <c r="M30">
        <f>K30*(1-L30)</f>
        <v>54.01305</v>
      </c>
    </row>
    <row r="31" spans="1:13" x14ac:dyDescent="0.25">
      <c r="B31" s="19"/>
      <c r="C31" s="19"/>
      <c r="D31" s="19"/>
      <c r="E31" s="19"/>
      <c r="F31" s="20"/>
      <c r="G31" s="21">
        <f>SUM(G13:G30)</f>
        <v>1371.6580500000002</v>
      </c>
    </row>
    <row r="32" spans="1:13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3"/>
      <c r="E52" s="83"/>
      <c r="F52" s="8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Normal="85" zoomScaleSheetLayoutView="100" workbookViewId="0">
      <selection activeCell="B36" sqref="B3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Isidoro Brines</v>
      </c>
      <c r="C9" s="90"/>
      <c r="D9" s="90"/>
      <c r="F9" s="3" t="s">
        <v>81</v>
      </c>
      <c r="G9" s="44">
        <f ca="1">TODAY()</f>
        <v>45747</v>
      </c>
    </row>
    <row r="10" spans="1:7" x14ac:dyDescent="0.25">
      <c r="A10" s="3" t="s">
        <v>82</v>
      </c>
      <c r="B10" s="11" t="str">
        <f>'DESPIECE (MATANALYSIS)'!C9</f>
        <v>Decor reforma cocina-salón</v>
      </c>
      <c r="C10" s="45"/>
      <c r="D10" s="45"/>
      <c r="E10" s="46"/>
      <c r="F10" s="47" t="s">
        <v>83</v>
      </c>
      <c r="G10" s="7">
        <f>'DESPIECE (MATANALYSIS)'!C7</f>
        <v>20250067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1458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1453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1454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1455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1456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1457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1371.6580500000002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2025-03-31T15:59:27Z</dcterms:modified>
  <dc:language>es-ES</dc:language>
</cp:coreProperties>
</file>