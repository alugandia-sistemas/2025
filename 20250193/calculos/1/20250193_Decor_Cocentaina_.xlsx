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3\calculos\1\"/>
    </mc:Choice>
  </mc:AlternateContent>
  <xr:revisionPtr revIDLastSave="0" documentId="13_ncr:1_{08CFA428-7978-4C10-A0DE-FE1BF36AA6EB}" xr6:coauthVersionLast="47" xr6:coauthVersionMax="47" xr10:uidLastSave="{00000000-0000-0000-0000-000000000000}"/>
  <bookViews>
    <workbookView xWindow="210" yWindow="330" windowWidth="18930" windowHeight="1491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<sst xmlns="http://schemas.openxmlformats.org/spreadsheetml/2006/main" count="5400" uniqueCount="1453">
  <si>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</si>
  <si>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</si>
  <si>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</si>
  <si>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</si>
  <si>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</si>
  <si>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</si>
  <si>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</si>
  <si>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</si>
  <si>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</si>
  <si>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</si>
  <si>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</si>
  <si>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</si>
  <si>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</si>
  <si>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</si>
  <si>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</si>
  <si>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</si>
  <si>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</si>
  <si>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</si>
  <si>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</si>
  <si>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</si>
  <si>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</si>
  <si>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</si>
  <si>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</si>
  <si>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</si>
  <si>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</si>
  <si>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</si>
  <si>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</si>
  <si>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</si>
  <si>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</si>
  <si>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</si>
  <si>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</si>
  <si>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</si>
  <si>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</si>
  <si>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</si>
  <si>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</si>
  <si>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</si>
  <si>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</si>
  <si>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</si>
  <si>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</si>
  <si>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</si>
  <si>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</si>
  <si>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</si>
  <si>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</si>
  <si>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</si>
  <si>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</si>
  <si>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</si>
  <si>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</si>
  <si>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</si>
  <si>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</si>
  <si>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</si>
  <si>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</si>
  <si>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</si>
  <si>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</si>
  <si>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</si>
  <si>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</si>
  <si>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</si>
  <si>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</si>
  <si>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</si>
  <si>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</si>
  <si>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</si>
  <si>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</si>
  <si>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</si>
  <si>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</si>
  <si>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</si>
  <si>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</si>
  <si>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</si>
  <si>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</si>
  <si>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</si>
  <si>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</si>
  <si>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</si>
  <si>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</si>
  <si>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</si>
  <si>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</si>
  <si>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</si>
  <si>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</si>
  <si>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</si>
  <si>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</si>
  <si>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</si>
  <si>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</si>
  <si>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</si>
  <si>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</si>
  <si>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</si>
  <si>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</si>
  <si>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</si>
  <si>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</si>
  <si>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</si>
  <si>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</si>
  <si>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</si>
  <si>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</si>
  <si>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</si>
  <si>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</si>
  <si>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</si>
  <si>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</si>
  <si>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</si>
  <si>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</si>
  <si>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</si>
  <si>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</si>
  <si>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</si>
  <si>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</si>
  <si>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</si>
  <si>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</si>
  <si>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</si>
  <si>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</si>
  <si>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</si>
  <si>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</si>
  <si>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</si>
  <si>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</si>
  <si>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</si>
  <si>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</si>
  <si>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</si>
  <si>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</si>
  <si>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</si>
  <si>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</si>
  <si>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</si>
  <si>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</si>
  <si>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</si>
  <si>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</si>
  <si>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</si>
  <si>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</si>
  <si>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</si>
  <si>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</si>
  <si>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</si>
  <si>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</si>
  <si>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</si>
  <si>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</si>
  <si>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</si>
  <si>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</si>
  <si>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</si>
  <si>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</si>
  <si>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</si>
  <si>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</si>
  <si>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</si>
  <si>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</si>
  <si>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</si>
  <si>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</si>
  <si>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</si>
  <si>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</si>
  <si>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</si>
  <si>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</si>
  <si>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</si>
  <si>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</si>
  <si>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</si>
  <si>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</si>
  <si>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</si>
  <si>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</si>
  <si>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</si>
  <si>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</si>
  <si>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</si>
  <si>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</si>
  <si>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</si>
  <si>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</si>
  <si>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</si>
  <si>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</si>
  <si>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</si>
  <si>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</si>
  <si>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</si>
  <si>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</si>
  <si>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</si>
  <si>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</si>
  <si>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</si>
  <si>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</si>
  <si>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</si>
  <si>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</si>
  <si>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</si>
  <si>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</si>
  <si>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</si>
  <si>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</si>
  <si>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</si>
  <si>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</si>
  <si>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</si>
  <si>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</si>
  <si>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</si>
  <si>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</si>
  <si>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</si>
  <si>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</si>
  <si>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</si>
  <si>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</si>
  <si>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</si>
  <si>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</si>
  <si>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</si>
  <si>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</si>
  <si>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</si>
  <si>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</si>
  <si>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</si>
  <si>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</si>
  <si>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</si>
  <si>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</si>
  <si>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</si>
  <si>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</si>
  <si>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</si>
  <si>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</si>
  <si>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</si>
  <si>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</si>
  <si>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</si>
  <si>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</si>
  <si>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</si>
  <si>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</si>
  <si>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</si>
  <si>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</si>
  <si>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</si>
  <si>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</si>
  <si>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</si>
  <si>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</si>
  <si>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</si>
  <si>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</si>
  <si>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</si>
  <si>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</si>
  <si>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</si>
  <si>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</si>
  <si>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</si>
  <si>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</si>
  <si>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</si>
  <si>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</si>
  <si>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</si>
  <si>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</si>
  <si>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</si>
  <si>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</si>
  <si>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</si>
  <si>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</si>
  <si>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</si>
  <si>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</si>
  <si>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</si>
  <si>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</si>
  <si>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</si>
  <si>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</si>
  <si>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</si>
  <si>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</si>
  <si>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</si>
  <si>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</si>
  <si>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</si>
  <si>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</si>
  <si>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</si>
  <si>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</si>
  <si>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</si>
  <si>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</si>
  <si>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</si>
  <si>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</si>
  <si>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</si>
  <si>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</si>
  <si>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</si>
  <si>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</si>
  <si>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</si>
  <si>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</si>
  <si>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</si>
  <si>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</si>
  <si>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</si>
  <si>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</si>
  <si>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</si>
  <si>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</si>
  <si>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</si>
  <si>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</si>
  <si>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</si>
  <si>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</si>
  <si>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</si>
  <si>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</si>
  <si>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</si>
  <si>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</si>
  <si>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</si>
  <si>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</si>
  <si>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</si>
  <si>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</si>
  <si>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</si>
  <si>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</si>
  <si>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</si>
  <si>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</si>
  <si>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</si>
  <si>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</si>
  <si>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</si>
  <si>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</si>
  <si>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</si>
  <si>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</si>
  <si>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</si>
  <si>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</si>
  <si>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</si>
  <si>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</si>
  <si>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</si>
  <si>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</si>
  <si>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</si>
  <si>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</si>
  <si>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</si>
  <si>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</si>
  <si>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</si>
  <si>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</si>
  <si>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</si>
  <si>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</si>
  <si>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</si>
  <si>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</si>
  <si>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</si>
  <si>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</si>
  <si>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</si>
  <si>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</si>
  <si>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</si>
  <si>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</si>
  <si>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</si>
  <si>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</si>
  <si>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</si>
  <si>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</si>
  <si>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</si>
  <si>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</si>
  <si>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</si>
  <si>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</si>
  <si>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</si>
  <si>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</si>
  <si>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</si>
  <si>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</si>
  <si>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</si>
  <si>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</si>
  <si>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</si>
  <si>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</si>
  <si>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</si>
  <si>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</si>
  <si>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</si>
  <si>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</si>
  <si>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</si>
  <si>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</si>
  <si>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</si>
  <si>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</si>
  <si>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</si>
  <si>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</si>
  <si>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</si>
  <si>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</si>
  <si>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</si>
  <si>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</si>
  <si>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</si>
  <si>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</si>
  <si>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</si>
  <si>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</si>
  <si>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</si>
  <si>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</si>
  <si>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</si>
  <si>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</si>
  <si>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</si>
  <si>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</si>
  <si>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</si>
  <si>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</si>
  <si>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</si>
  <si>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</si>
  <si>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</si>
  <si>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</si>
  <si>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</si>
  <si>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</si>
  <si>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</si>
  <si>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</si>
  <si>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</si>
  <si>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</si>
  <si>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</si>
  <si>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</si>
  <si>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</si>
  <si>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</si>
  <si>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</si>
  <si>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</si>
  <si>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</si>
  <si>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</si>
  <si>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</si>
  <si>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</si>
  <si>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</si>
  <si>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</si>
  <si>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</si>
  <si>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</si>
  <si>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</si>
  <si>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</si>
  <si>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</si>
  <si>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</si>
  <si>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</si>
  <si>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</si>
  <si>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</si>
  <si>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</si>
  <si>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</si>
  <si>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</si>
  <si>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</si>
  <si>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</si>
  <si>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</si>
  <si>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</si>
  <si>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</si>
  <si>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</si>
  <si>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</si>
  <si>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</si>
  <si>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</si>
  <si>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</si>
  <si>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</si>
  <si>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</si>
  <si>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</si>
  <si>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</si>
  <si>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</si>
  <si>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</si>
  <si>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</si>
  <si>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</si>
  <si>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</si>
  <si>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</si>
  <si>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</si>
  <si>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</si>
  <si>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</si>
  <si>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</si>
  <si>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</si>
  <si>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</si>
  <si>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</si>
  <si>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</si>
  <si>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</si>
  <si>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</si>
  <si>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</si>
  <si>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</si>
  <si>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</si>
  <si>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</si>
  <si>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</si>
  <si>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</si>
  <si>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</si>
  <si>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</si>
  <si>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</si>
  <si>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</si>
  <si>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</si>
  <si>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</si>
  <si>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</si>
  <si>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</si>
  <si>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</si>
  <si>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</si>
  <si>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</si>
  <si>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</si>
  <si>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</si>
  <si>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</si>
  <si>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</si>
  <si>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</si>
  <si>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</si>
  <si>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</si>
  <si>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</si>
  <si>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</si>
  <si>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</si>
  <si>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</si>
  <si>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</si>
  <si>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</si>
  <si>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</si>
  <si>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</si>
  <si>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</si>
  <si>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</si>
  <si>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</si>
  <si>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</si>
  <si>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</si>
  <si>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</si>
  <si>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</si>
  <si>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</si>
  <si>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</si>
  <si>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</si>
  <si>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</si>
  <si>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</si>
  <si>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</si>
  <si>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</si>
  <si>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</si>
  <si>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</si>
  <si>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</si>
  <si>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</si>
  <si>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</si>
  <si>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</si>
  <si>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</si>
  <si>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</si>
  <si>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</si>
  <si>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</si>
  <si>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</si>
  <si>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</si>
  <si>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</si>
  <si>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</si>
  <si>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</si>
  <si>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</si>
  <si>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</si>
  <si>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</si>
  <si>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</si>
  <si>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</si>
  <si>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</si>
  <si>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</si>
  <si>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</si>
  <si>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</si>
  <si>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</si>
  <si>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</si>
  <si>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</si>
  <si>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</si>
  <si>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</si>
  <si>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</si>
  <si>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</si>
  <si>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</si>
  <si>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</si>
  <si>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</si>
  <si>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</si>
  <si>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</si>
  <si>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</si>
  <si>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</si>
  <si>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</si>
  <si>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</si>
  <si>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</si>
  <si>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</si>
  <si>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</si>
  <si>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</si>
  <si>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</si>
  <si>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</si>
  <si>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</si>
  <si>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</si>
  <si>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</si>
  <si>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</si>
  <si>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</si>
  <si>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</si>
  <si>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</si>
  <si>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</si>
  <si>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</si>
  <si>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</si>
  <si>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</si>
  <si>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</si>
  <si>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</si>
  <si>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</si>
  <si>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</si>
  <si>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</si>
  <si>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</si>
  <si>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</si>
  <si>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</si>
  <si>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</si>
  <si>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</si>
  <si>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</si>
  <si>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</si>
  <si>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</si>
  <si>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</si>
  <si>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</si>
  <si>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</si>
  <si>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</si>
  <si>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</si>
  <si>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</si>
  <si>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</si>
  <si>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</si>
  <si>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</si>
  <si>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</si>
  <si>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</si>
  <si>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</si>
  <si>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</si>
  <si>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</si>
  <si>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</si>
  <si>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</si>
  <si>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</si>
  <si>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</si>
  <si>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</si>
  <si>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</si>
  <si>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</si>
  <si>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</si>
  <si>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</si>
  <si>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</si>
  <si>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</si>
  <si>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</si>
  <si>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</si>
  <si>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</si>
  <si>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</si>
  <si>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</si>
  <si>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</si>
  <si>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</si>
  <si>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</si>
  <si>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</si>
  <si>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</si>
  <si>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</si>
  <si>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</si>
  <si>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</si>
  <si>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</si>
  <si>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</si>
  <si>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</si>
  <si>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</si>
  <si>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</si>
  <si>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</si>
  <si>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</si>
  <si>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</si>
  <si>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</si>
  <si>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</si>
  <si>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</si>
  <si>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</si>
  <si>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</si>
  <si>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</si>
  <si>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</si>
  <si>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</si>
  <si>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</si>
  <si>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</si>
  <si>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</si>
  <si>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</si>
  <si>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</si>
  <si>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</si>
  <si>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</si>
  <si>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</si>
  <si>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</si>
  <si>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</si>
  <si>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</si>
  <si>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</si>
  <si>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</si>
  <si>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</si>
  <si>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</si>
  <si>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</si>
  <si>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</si>
  <si>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</si>
  <si>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</si>
  <si>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</si>
  <si>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</si>
  <si>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</si>
  <si>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</si>
  <si>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</si>
  <si>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</si>
  <si>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</si>
  <si>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</si>
  <si>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</si>
  <si>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</si>
  <si>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</si>
  <si>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</si>
  <si>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</si>
  <si>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</si>
  <si>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</si>
  <si>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</si>
  <si>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</si>
  <si>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</si>
  <si>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</si>
  <si>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</si>
  <si>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</si>
  <si>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</si>
  <si>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</si>
  <si>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</si>
  <si>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</si>
  <si>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</si>
  <si>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</si>
  <si>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</si>
  <si>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</si>
  <si>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</si>
  <si>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</si>
  <si>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</si>
  <si>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</si>
  <si>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</si>
  <si>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</si>
  <si>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</si>
  <si>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</si>
  <si>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</si>
  <si>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</si>
  <si>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</si>
  <si>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</si>
  <si>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</si>
  <si>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</si>
  <si>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</si>
  <si>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</si>
  <si>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</si>
  <si>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</si>
  <si>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</si>
  <si>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</si>
  <si>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</si>
  <si>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</si>
  <si>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</si>
  <si>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</si>
  <si>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</si>
  <si>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</si>
  <si>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</si>
  <si>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</si>
  <si>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</si>
  <si>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</si>
  <si>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</si>
  <si>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</si>
  <si>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</si>
  <si>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</si>
  <si>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</si>
  <si>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</si>
  <si>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</si>
  <si>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</si>
  <si>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</si>
  <si>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</si>
  <si>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</si>
  <si>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</si>
  <si>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</si>
  <si>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</si>
  <si>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</si>
  <si>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</si>
  <si>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</si>
  <si>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</si>
  <si>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</si>
  <si>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</si>
  <si>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</si>
  <si>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</si>
  <si>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</si>
  <si>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</si>
  <si>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</si>
  <si>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</si>
  <si>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</si>
  <si>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</si>
  <si>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</si>
  <si>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</si>
  <si>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</si>
  <si>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</si>
  <si>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</si>
  <si>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</si>
  <si>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</si>
  <si>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</si>
  <si>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</si>
  <si>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</si>
  <si>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</si>
  <si>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</si>
  <si>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</si>
  <si>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</si>
  <si>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</si>
  <si>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</si>
  <si>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</si>
  <si>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</si>
  <si>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</si>
  <si>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</si>
  <si>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</si>
  <si>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</si>
  <si>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</si>
  <si>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</si>
  <si>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</si>
  <si>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</si>
  <si>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</si>
  <si>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</si>
  <si>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</si>
  <si>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</si>
  <si>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</si>
  <si>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</si>
  <si>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</si>
  <si>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</si>
  <si>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</si>
  <si>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</si>
  <si>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</si>
  <si>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</si>
  <si>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</si>
  <si>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</si>
  <si>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</si>
  <si>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</si>
  <si>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</si>
  <si>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</si>
  <si>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</si>
  <si>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</si>
  <si>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</si>
  <si>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</si>
  <si>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</si>
  <si>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</si>
  <si>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</si>
  <si>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</si>
  <si>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</si>
  <si>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</si>
  <si>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</si>
  <si>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</si>
  <si>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</si>
  <si>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</si>
  <si>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</si>
  <si>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</si>
  <si>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</si>
  <si>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</si>
  <si>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</si>
  <si>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</si>
  <si>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</si>
  <si>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</si>
  <si>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</si>
  <si>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</si>
  <si>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</si>
  <si>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</si>
  <si>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</si>
  <si>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</si>
  <si>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</si>
  <si>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</si>
  <si>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</si>
  <si>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</si>
  <si>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</si>
  <si>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</si>
  <si>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</si>
  <si>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</si>
  <si>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</si>
  <si>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</si>
  <si>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</si>
  <si>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</si>
  <si>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</si>
  <si>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</si>
  <si>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</si>
  <si>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</si>
  <si>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</si>
  <si>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</si>
  <si>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</si>
  <si>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</si>
  <si>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</si>
  <si>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</si>
  <si>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</si>
  <si>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</si>
  <si>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</si>
  <si>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</si>
  <si>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</si>
  <si>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</si>
  <si>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</si>
  <si>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</si>
  <si>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</si>
  <si>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</si>
  <si>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</si>
  <si>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</si>
  <si>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</si>
  <si>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</si>
  <si>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</si>
  <si>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</si>
  <si>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</si>
  <si>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</si>
  <si>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</si>
  <si>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</si>
  <si>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</si>
  <si>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</si>
  <si>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</si>
  <si>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</si>
  <si>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</si>
  <si>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</si>
  <si>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</si>
  <si>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</si>
  <si>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</si>
  <si>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</si>
  <si>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</si>
  <si>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</si>
  <si>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</si>
  <si>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</si>
  <si>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</si>
  <si>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</si>
  <si>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</si>
  <si>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</si>
  <si>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</si>
  <si>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</si>
  <si>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</si>
  <si>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</si>
  <si>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</si>
  <si>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</si>
  <si>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</si>
  <si>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</si>
  <si>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</si>
  <si>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</si>
  <si>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</si>
  <si>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</si>
  <si>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</si>
  <si>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</si>
  <si>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</si>
  <si>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</si>
  <si>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</si>
  <si>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</si>
  <si>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</si>
  <si>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</si>
  <si>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</si>
  <si>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</si>
  <si>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</si>
  <si>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</si>
  <si>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</si>
  <si>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</si>
  <si>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</si>
  <si>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</si>
  <si>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</si>
  <si>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</si>
  <si>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</si>
  <si>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</si>
  <si>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</si>
  <si>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</si>
  <si>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</si>
  <si>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</si>
  <si>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</si>
  <si>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</si>
  <si>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</si>
  <si>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</si>
  <si>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</si>
  <si>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</si>
  <si>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</si>
  <si>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</si>
  <si>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</si>
  <si>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</si>
  <si>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</si>
  <si>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</si>
  <si>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</si>
  <si>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</si>
  <si>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</si>
  <si>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</si>
  <si>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</si>
  <si>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</si>
  <si>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</si>
  <si>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</si>
  <si>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</si>
  <si>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</si>
  <si>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</si>
  <si>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</si>
  <si>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</si>
  <si>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</si>
  <si>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</si>
  <si>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</si>
  <si>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</si>
  <si>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</si>
  <si>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</si>
  <si>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</si>
  <si>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</si>
  <si>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</si>
  <si>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</si>
  <si>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</si>
  <si>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</si>
  <si>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</si>
  <si>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</si>
  <si>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</si>
  <si>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</si>
  <si>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</si>
  <si>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</si>
  <si>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</si>
  <si>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</si>
  <si>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</si>
  <si>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</si>
  <si>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</si>
  <si>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</si>
  <si>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</si>
  <si>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</si>
  <si>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</si>
  <si>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</si>
  <si>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</si>
  <si>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</si>
  <si>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</si>
  <si>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</si>
  <si>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</si>
  <si>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</si>
  <si>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</si>
  <si>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</si>
  <si>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</si>
  <si>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</si>
  <si>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</si>
  <si>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</si>
  <si>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</si>
  <si>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</si>
  <si>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</si>
  <si>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</si>
  <si>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</si>
  <si>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</si>
  <si>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</si>
  <si>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</si>
  <si>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</si>
  <si>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</si>
  <si>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</si>
  <si>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</si>
  <si>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</si>
  <si>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</si>
  <si>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</si>
  <si>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</si>
  <si>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</si>
  <si>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</si>
  <si>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</si>
  <si>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</si>
  <si>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</si>
  <si>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</si>
  <si>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</si>
  <si>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</si>
  <si>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</si>
  <si>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</si>
  <si>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</si>
  <si>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</si>
  <si>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</si>
  <si>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</si>
  <si>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</si>
  <si>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</si>
  <si>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</si>
  <si>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</si>
  <si>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</si>
  <si>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</si>
  <si>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</si>
  <si>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</si>
  <si>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</si>
  <si>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</si>
  <si>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</si>
  <si>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</si>
  <si>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</si>
  <si>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</si>
  <si>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</si>
  <si>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</si>
  <si>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</si>
  <si>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</si>
  <si>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</si>
  <si>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</si>
  <si>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</si>
  <si>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</si>
  <si>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</si>
  <si>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</si>
  <si>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</si>
  <si>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</si>
  <si>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</si>
  <si>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</si>
  <si>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</si>
  <si>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</si>
  <si>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</si>
  <si>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</si>
  <si>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</si>
  <si>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</si>
  <si>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</si>
  <si>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</si>
  <si>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</si>
  <si>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</si>
  <si>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</si>
  <si>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</si>
  <si>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</si>
  <si>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</si>
  <si>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</si>
  <si>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</si>
  <si>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</si>
  <si>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</si>
  <si>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</si>
  <si>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</si>
  <si>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</si>
  <si>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</si>
  <si>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</si>
  <si>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</si>
  <si>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</si>
  <si>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</si>
  <si>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</si>
  <si>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</si>
  <si>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</si>
  <si>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</si>
  <si>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</si>
  <si>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</si>
  <si>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</si>
  <si>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</si>
  <si>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</si>
  <si>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</si>
  <si>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</si>
  <si>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</si>
  <si>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</si>
  <si>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</si>
  <si>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</si>
  <si>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</si>
  <si>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</si>
  <si>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</si>
  <si>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</si>
  <si>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</si>
  <si>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</si>
  <si>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</si>
  <si>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</si>
  <si>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</si>
  <si>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</si>
  <si>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</si>
  <si>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</si>
  <si>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</si>
  <si>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</si>
  <si>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</si>
  <si>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</si>
  <si>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</si>
  <si>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</si>
  <si>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</si>
  <si>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</si>
  <si>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</si>
  <si>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</si>
  <si>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</si>
  <si>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</si>
  <si>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</si>
  <si>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</si>
  <si>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</si>
  <si>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</si>
  <si>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</si>
  <si>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</si>
  <si>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</si>
  <si>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</si>
  <si>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</si>
  <si>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</si>
  <si>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</si>
  <si>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</si>
  <si>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</si>
  <si>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</si>
  <si>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</si>
  <si>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</si>
  <si>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</si>
  <si>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</si>
  <si>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</si>
  <si>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</si>
  <si>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</si>
  <si>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</si>
  <si>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</si>
  <si>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</si>
  <si>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</si>
  <si>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</si>
  <si>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</si>
  <si>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</si>
  <si>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</si>
  <si>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</si>
  <si>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</si>
  <si>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</si>
  <si>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</si>
  <si>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</si>
  <si>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</si>
  <si>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</si>
  <si>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</si>
  <si>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</si>
  <si>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</si>
  <si>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</si>
  <si>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</si>
  <si>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</si>
  <si>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</si>
  <si>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</si>
  <si>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</si>
  <si>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</si>
  <si>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</si>
  <si>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</si>
  <si>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</si>
  <si>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</si>
  <si>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</si>
  <si>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</si>
  <si>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</si>
  <si>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</si>
  <si>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</si>
  <si>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</si>
  <si>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</si>
  <si>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</si>
  <si>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</si>
  <si>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</si>
  <si>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</si>
  <si>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</si>
  <si>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</si>
  <si>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</si>
  <si>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</si>
  <si>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</si>
  <si>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</si>
  <si>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</si>
  <si>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</si>
  <si>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</si>
  <si>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</si>
  <si>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</si>
  <si>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</si>
  <si>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</si>
  <si>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</si>
  <si>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</si>
  <si>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</si>
  <si>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</si>
  <si>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</si>
  <si>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</si>
  <si>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</si>
  <si>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</si>
  <si>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</si>
  <si>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</si>
  <si>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</si>
  <si>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</si>
  <si>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</si>
  <si>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</si>
  <si>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</si>
  <si>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</si>
  <si>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</si>
  <si>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</si>
  <si>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</si>
  <si>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</si>
  <si>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</si>
  <si>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</si>
  <si>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</si>
  <si>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</si>
  <si>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</si>
  <si>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</si>
  <si>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</si>
  <si>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</si>
  <si>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</si>
  <si>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</si>
  <si>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</si>
  <si>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</si>
  <si>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</si>
  <si>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</si>
  <si>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</si>
  <si>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</si>
  <si>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</si>
  <si>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</si>
  <si>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</si>
  <si>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</si>
  <si>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</si>
  <si>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</si>
  <si>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</si>
  <si>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</si>
  <si>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</si>
  <si>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</si>
  <si>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</si>
  <si>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</si>
  <si>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</si>
  <si>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</si>
  <si>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</si>
  <si>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</si>
  <si>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</si>
  <si>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</si>
  <si>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</si>
  <si>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</si>
  <si>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</si>
  <si>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</si>
  <si>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</si>
  <si>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</si>
  <si>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</si>
  <si>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</si>
  <si>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</si>
  <si>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</si>
  <si>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</si>
  <si>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</si>
  <si>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</si>
  <si>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</si>
  <si>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</si>
  <si>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</si>
  <si>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</si>
  <si>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</si>
  <si>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</si>
  <si>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</si>
  <si>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</si>
  <si>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</si>
  <si>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</si>
  <si>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</si>
  <si>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</si>
  <si>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</si>
  <si>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</si>
  <si>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</si>
  <si>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</si>
  <si>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</si>
  <si>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</si>
  <si>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</si>
  <si>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</si>
  <si>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</si>
  <si>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</si>
  <si>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</si>
  <si>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</si>
  <si>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</si>
  <si>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</si>
  <si>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</si>
  <si>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</si>
  <si>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</si>
  <si>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</si>
  <si>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</si>
  <si>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</si>
  <si>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</si>
  <si>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</si>
  <si>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</si>
  <si>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</si>
  <si>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</si>
  <si>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</si>
  <si>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</si>
  <si>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</si>
  <si>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</si>
  <si>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</si>
  <si>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</si>
  <si>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</si>
  <si>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</si>
  <si>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</si>
  <si>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</si>
  <si>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</si>
  <si>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</si>
  <si>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</si>
  <si>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</si>
  <si>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</si>
  <si>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</si>
  <si>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</si>
  <si>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</si>
  <si>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</si>
  <si>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</si>
  <si>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</si>
  <si>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</si>
  <si>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</si>
  <si>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</si>
  <si>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</si>
  <si>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</si>
  <si>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</si>
  <si>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</si>
  <si>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</si>
  <si>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</si>
  <si>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</si>
  <si>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</si>
  <si>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</si>
  <si>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</si>
  <si>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</si>
  <si>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</si>
  <si>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</si>
  <si>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</si>
  <si>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</si>
  <si>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</si>
  <si>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</si>
  <si>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</si>
  <si>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</si>
  <si>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</si>
  <si>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</si>
  <si>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</si>
  <si>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</si>
  <si>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</si>
  <si>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</si>
  <si>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</si>
  <si>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</si>
  <si>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</si>
  <si>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</si>
  <si>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</si>
  <si>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</si>
  <si>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</si>
  <si>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</si>
  <si>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</si>
  <si>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</si>
  <si>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</si>
  <si>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</si>
  <si>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</si>
  <si>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</si>
  <si>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</si>
  <si>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</si>
  <si>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</si>
  <si>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</si>
  <si>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</si>
  <si>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</si>
  <si>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</si>
  <si>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</si>
  <si>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</si>
  <si>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</si>
  <si>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</si>
  <si>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</si>
  <si>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</si>
  <si>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</si>
  <si>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</si>
  <si>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</si>
  <si>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</si>
  <si>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</si>
  <si>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</si>
  <si>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</si>
  <si>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</si>
  <si>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</si>
  <si>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</si>
  <si>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</si>
  <si>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</si>
  <si>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</si>
  <si>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</si>
  <si>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</si>
  <si>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</si>
  <si>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</si>
  <si>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</si>
  <si>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</si>
  <si>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</si>
  <si>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</si>
  <si>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</si>
  <si>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</si>
  <si>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</si>
  <si>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</si>
  <si>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</si>
  <si>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</si>
  <si>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</si>
  <si>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</si>
  <si>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</si>
  <si>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</si>
  <si>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</si>
  <si>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</si>
  <si>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</si>
  <si>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</si>
  <si>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</si>
  <si>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</si>
  <si>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</si>
  <si>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</si>
  <si>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</si>
  <si>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</si>
  <si>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</si>
  <si>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</si>
  <si>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</si>
  <si>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</si>
  <si>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</si>
  <si>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</si>
  <si>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</si>
  <si>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</si>
  <si>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</si>
  <si>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</si>
  <si>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</si>
  <si>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</si>
  <si>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</si>
  <si>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</si>
  <si>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</si>
  <si>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</si>
  <si>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</si>
  <si>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</si>
  <si>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</si>
  <si>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</si>
  <si>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</si>
  <si>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</si>
  <si>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</si>
  <si>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</si>
  <si>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</si>
  <si>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</si>
  <si>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</si>
  <si>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</si>
  <si>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</si>
  <si>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</si>
  <si>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</si>
  <si>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</si>
  <si>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</si>
  <si>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</si>
  <si>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</si>
  <si>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</si>
  <si>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</si>
  <si>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</si>
  <si>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</si>
  <si>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</si>
  <si>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</si>
  <si>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</si>
  <si>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</si>
  <si>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</si>
  <si>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</si>
  <si>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</si>
  <si>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</si>
  <si>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</si>
  <si>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</si>
  <si>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</si>
  <si>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</si>
  <si>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</si>
  <si>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</si>
  <si>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</si>
  <si>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</si>
  <si>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</si>
  <si>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</si>
  <si>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</si>
  <si>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</si>
  <si>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</si>
  <si>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</si>
  <si>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</si>
  <si>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</si>
  <si>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</si>
  <si>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</si>
  <si>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</si>
  <si>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</si>
  <si>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</si>
  <si>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</si>
  <si>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</si>
  <si>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</si>
  <si>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</si>
  <si>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</si>
  <si>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</si>
  <si>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</si>
  <si>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</si>
  <si>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</si>
  <si>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</si>
  <si>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</si>
  <si>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</si>
  <si>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</si>
  <si>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</si>
  <si>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</si>
  <si>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</si>
  <si>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</si>
  <si>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</si>
  <si>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</si>
  <si>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</si>
  <si>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</si>
  <si>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</si>
  <si>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</si>
  <si>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</si>
  <si>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</si>
  <si>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</si>
  <si>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</si>
  <si>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</si>
  <si>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</si>
  <si>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</si>
  <si>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</si>
  <si>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</si>
  <si>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</si>
  <si>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</si>
  <si>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</si>
  <si>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</si>
  <si>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</si>
  <si>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</si>
  <si>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</si>
  <si>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</si>
  <si>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</si>
  <si>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</si>
  <si>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</si>
  <si>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</si>
  <si>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</si>
  <si>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</si>
  <si>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</si>
  <si>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</si>
  <si>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</si>
  <si>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</si>
  <si>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</si>
  <si>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</si>
  <si>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</si>
  <si>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</si>
  <si>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</si>
  <si>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</si>
  <si>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</si>
  <si>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</si>
  <si>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Cocentaina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</si>
</sst>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21" sqref="E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20250193</v>
      </c>
      <c r="G7" s="8">
        <f ca="1">TODAY()</f>
        <v>45933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79" t="str">
        <f>IFERROR(VLOOKUP($B13,Tarifa_all_20240711!$A$2:$G$660,2,FALSE()),"-")</f>
        <v>GUIA SUP TECHO PLUS LAC.NEGRO MATE-3 MTS</v>
      </c>
      <c r="D13" s="79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79" t="str">
        <f>IFERROR(VLOOKUP($B14,Tarifa_all_20240711!$A$2:$G$660,2,FALSE()),"-")</f>
        <v>TAPETA LAT. GUIA TECHO NEGRO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343</v>
      </c>
      <c r="C16" s="79" t="str">
        <f>IFERROR(VLOOKUP($B16,Tarifa_all_20240711!$A$2:$G$660,2,FALSE()),"-")</f>
        <v>KIT AMORTIGUADOR SKY BIDIRECCIONAL 80KG</v>
      </c>
      <c r="D16" s="79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431.37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Biselats Alcoi</v>
      </c>
      <c r="C9" s="86"/>
      <c r="D9" s="86"/>
      <c r="F9" s="3" t="s">
        <v>81</v>
      </c>
      <c r="G9" s="44">
        <f ca="1">TODAY()</f>
        <v>45933</v>
      </c>
    </row>
    <row r="10" spans="1:7" x14ac:dyDescent="0.25">
      <c r="A10" s="3" t="s">
        <v>82</v>
      </c>
      <c r="B10" s="11" t="str">
        <f>'DESPIECE (MATANALYSIS)'!C9</f>
        <v>Cocentaina</v>
      </c>
      <c r="C10" s="45"/>
      <c r="D10" s="45"/>
      <c r="E10" s="46"/>
      <c r="F10" s="47" t="s">
        <v>83</v>
      </c>
      <c r="G10" s="7">
        <f>'DESPIECE (MATANALYSIS)'!C7</f>
        <v>20250193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431.37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2025-10-03T05:45:05Z</cp:lastPrinted>
  <dcterms:created xsi:type="dcterms:W3CDTF">2024-04-15T12:43:19Z</dcterms:created>
  <dcterms:modified xsi:type="dcterms:W3CDTF">2025-10-03T05:45:19Z</dcterms:modified>
  <dc:language>es-ES</dc:language>
</cp:coreProperties>
</file>