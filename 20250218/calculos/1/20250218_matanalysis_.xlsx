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18\calculos\1\"/>
    </mc:Choice>
  </mc:AlternateContent>
  <xr:revisionPtr revIDLastSave="0" documentId="13_ncr:1_{DD80DFFE-22CA-49BB-89E3-7D5F45B1544F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0" l="1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13" i="10"/>
  <c r="J14" i="10"/>
  <c r="J16" i="10"/>
  <c r="J18" i="10"/>
  <c r="J13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K31" i="10" l="1"/>
  <c r="G10" i="2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<sst xmlns="http://schemas.openxmlformats.org/spreadsheetml/2006/main" count="5419" uniqueCount="1460">
  <si>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</si>
  <si>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</si>
  <si>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</si>
  <si>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</si>
  <si>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</si>
  <si>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</si>
  <si>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</si>
  <si>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</si>
  <si>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</si>
  <si>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</si>
  <si>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</si>
  <si>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</si>
  <si>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</si>
  <si>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</si>
  <si>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</si>
  <si>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</si>
  <si>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</si>
  <si>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</si>
  <si>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</si>
  <si>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</si>
  <si>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</si>
  <si>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</si>
  <si>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</si>
  <si>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</si>
  <si>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</si>
  <si>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</si>
  <si>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</si>
  <si>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</si>
  <si>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</si>
  <si>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</si>
  <si>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</si>
  <si>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</si>
  <si>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</si>
  <si>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</si>
  <si>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</si>
  <si>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</si>
  <si>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</si>
  <si>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</si>
  <si>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</si>
  <si>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</si>
  <si>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</si>
  <si>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</si>
  <si>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</si>
  <si>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</si>
  <si>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</si>
  <si>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</si>
  <si>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</si>
  <si>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</si>
  <si>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</si>
  <si>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</si>
  <si>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</si>
  <si>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</si>
  <si>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</si>
  <si>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</si>
  <si>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</si>
  <si>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</si>
  <si>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</si>
  <si>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</si>
  <si>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</si>
  <si>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</si>
  <si>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</si>
  <si>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</si>
  <si>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</si>
  <si>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</si>
  <si>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</si>
  <si>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</si>
  <si>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</si>
  <si>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</si>
  <si>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</si>
  <si>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</si>
  <si>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</si>
  <si>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</si>
  <si>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</si>
  <si>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</si>
  <si>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</si>
  <si>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</si>
  <si>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</si>
  <si>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</si>
  <si>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</si>
  <si>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</si>
  <si>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</si>
  <si>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</si>
  <si>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</si>
  <si>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</si>
  <si>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</si>
  <si>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</si>
  <si>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</si>
  <si>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</si>
  <si>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</si>
  <si>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</si>
  <si>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</si>
  <si>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</si>
  <si>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</si>
  <si>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</si>
  <si>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</si>
  <si>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</si>
  <si>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</si>
  <si>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</si>
  <si>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</si>
  <si>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</si>
  <si>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</si>
  <si>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</si>
  <si>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</si>
  <si>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</si>
  <si>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</si>
  <si>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</si>
  <si>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</si>
  <si>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</si>
  <si>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</si>
  <si>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</si>
  <si>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</si>
  <si>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</si>
  <si>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</si>
  <si>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</si>
  <si>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</si>
  <si>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</si>
  <si>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</si>
  <si>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</si>
  <si>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</si>
  <si>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</si>
  <si>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</si>
  <si>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</si>
  <si>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</si>
  <si>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</si>
  <si>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</si>
  <si>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</si>
  <si>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</si>
  <si>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</si>
  <si>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</si>
  <si>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</si>
  <si>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</si>
  <si>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</si>
  <si>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</si>
  <si>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</si>
  <si>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</si>
  <si>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</si>
  <si>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</si>
  <si>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</si>
  <si>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</si>
  <si>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</si>
  <si>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</si>
  <si>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</si>
  <si>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</si>
  <si>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</si>
  <si>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</si>
  <si>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</si>
  <si>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</si>
  <si>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</si>
  <si>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</si>
  <si>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</si>
  <si>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</si>
  <si>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</si>
  <si>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</si>
  <si>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</si>
  <si>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</si>
  <si>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</si>
  <si>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</si>
  <si>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</si>
  <si>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</si>
  <si>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</si>
  <si>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</si>
  <si>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</si>
  <si>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</si>
  <si>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</si>
  <si>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</si>
  <si>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</si>
  <si>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</si>
  <si>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</si>
  <si>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</si>
  <si>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</si>
  <si>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</si>
  <si>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</si>
  <si>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</si>
  <si>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</si>
  <si>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</si>
  <si>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</si>
  <si>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</si>
  <si>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</si>
  <si>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</si>
  <si>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</si>
  <si>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</si>
  <si>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</si>
  <si>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</si>
  <si>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</si>
  <si>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</si>
  <si>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</si>
  <si>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</si>
  <si>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</si>
  <si>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</si>
  <si>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</si>
  <si>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</si>
  <si>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</si>
  <si>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</si>
  <si>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</si>
  <si>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</si>
  <si>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</si>
  <si>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</si>
  <si>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</si>
  <si>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</si>
  <si>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</si>
  <si>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</si>
  <si>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</si>
  <si>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</si>
  <si>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</si>
  <si>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</si>
  <si>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</si>
  <si>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</si>
  <si>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</si>
  <si>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</si>
  <si>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</si>
  <si>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</si>
  <si>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</si>
  <si>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</si>
  <si>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</si>
  <si>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</si>
  <si>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</si>
  <si>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</si>
  <si>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</si>
  <si>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</si>
  <si>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</si>
  <si>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</si>
  <si>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</si>
  <si>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</si>
  <si>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</si>
  <si>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</si>
  <si>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</si>
  <si>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</si>
  <si>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</si>
  <si>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</si>
  <si>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</si>
  <si>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</si>
  <si>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</si>
  <si>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</si>
  <si>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</si>
  <si>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</si>
  <si>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</si>
  <si>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</si>
  <si>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</si>
  <si>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</si>
  <si>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</si>
  <si>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</si>
  <si>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</si>
  <si>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</si>
  <si>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</si>
  <si>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</si>
  <si>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</si>
  <si>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</si>
  <si>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</si>
  <si>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</si>
  <si>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</si>
  <si>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</si>
  <si>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</si>
  <si>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</si>
  <si>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</si>
  <si>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</si>
  <si>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</si>
  <si>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</si>
  <si>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</si>
  <si>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</si>
  <si>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</si>
  <si>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</si>
  <si>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</si>
  <si>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</si>
  <si>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</si>
  <si>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</si>
  <si>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</si>
  <si>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</si>
  <si>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</si>
  <si>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</si>
  <si>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</si>
  <si>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</si>
  <si>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</si>
  <si>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</si>
  <si>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</si>
  <si>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</si>
  <si>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</si>
  <si>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</si>
  <si>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</si>
  <si>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</si>
  <si>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</si>
  <si>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</si>
  <si>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</si>
  <si>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</si>
  <si>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</si>
  <si>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</si>
  <si>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</si>
  <si>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</si>
  <si>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</si>
  <si>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</si>
  <si>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</si>
  <si>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</si>
  <si>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</si>
  <si>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</si>
  <si>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</si>
  <si>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</si>
  <si>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</si>
  <si>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</si>
  <si>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</si>
  <si>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</si>
  <si>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</si>
  <si>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</si>
  <si>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</si>
  <si>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</si>
  <si>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</si>
  <si>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</si>
  <si>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</si>
  <si>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</si>
  <si>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</si>
  <si>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</si>
  <si>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</si>
  <si>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</si>
  <si>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</si>
  <si>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</si>
  <si>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</si>
  <si>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</si>
  <si>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</si>
  <si>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</si>
  <si>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</si>
  <si>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</si>
  <si>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</si>
  <si>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</si>
  <si>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</si>
  <si>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</si>
  <si>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</si>
  <si>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</si>
  <si>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</si>
  <si>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</si>
  <si>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</si>
  <si>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</si>
  <si>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</si>
  <si>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</si>
  <si>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</si>
  <si>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</si>
  <si>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</si>
  <si>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</si>
  <si>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</si>
  <si>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</si>
  <si>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</si>
  <si>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</si>
  <si>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</si>
  <si>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</si>
  <si>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</si>
  <si>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</si>
  <si>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</si>
  <si>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</si>
  <si>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</si>
  <si>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</si>
  <si>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</si>
  <si>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</si>
  <si>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</si>
  <si>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</si>
  <si>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</si>
  <si>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</si>
  <si>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</si>
  <si>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</si>
  <si>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</si>
  <si>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</si>
  <si>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</si>
  <si>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</si>
  <si>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</si>
  <si>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</si>
  <si>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</si>
  <si>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</si>
  <si>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</si>
  <si>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</si>
  <si>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</si>
  <si>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</si>
  <si>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</si>
  <si>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</si>
  <si>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</si>
  <si>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</si>
  <si>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</si>
  <si>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</si>
  <si>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</si>
  <si>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</si>
  <si>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</si>
  <si>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</si>
  <si>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</si>
  <si>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</si>
  <si>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</si>
  <si>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</si>
  <si>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</si>
  <si>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</si>
  <si>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</si>
  <si>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</si>
  <si>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</si>
  <si>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</si>
  <si>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</si>
  <si>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</si>
  <si>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</si>
  <si>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</si>
  <si>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</si>
  <si>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</si>
  <si>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</si>
  <si>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</si>
  <si>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</si>
  <si>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</si>
  <si>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</si>
  <si>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</si>
  <si>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</si>
  <si>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</si>
  <si>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</si>
  <si>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</si>
  <si>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</si>
  <si>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</si>
  <si>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</si>
  <si>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</si>
  <si>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</si>
  <si>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</si>
  <si>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</si>
  <si>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</si>
  <si>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</si>
  <si>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</si>
  <si>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</si>
  <si>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</si>
  <si>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</si>
  <si>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</si>
  <si>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</si>
  <si>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</si>
  <si>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</si>
  <si>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</si>
  <si>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</si>
  <si>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</si>
  <si>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</si>
  <si>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</si>
  <si>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</si>
  <si>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</si>
  <si>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</si>
  <si>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</si>
  <si>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</si>
  <si>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</si>
  <si>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</si>
  <si>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</si>
  <si>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</si>
  <si>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</si>
  <si>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</si>
  <si>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</si>
  <si>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</si>
  <si>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</si>
  <si>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</si>
  <si>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</si>
  <si>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</si>
  <si>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</si>
  <si>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</si>
  <si>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</si>
  <si>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</si>
  <si>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</si>
  <si>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</si>
  <si>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</si>
  <si>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</si>
  <si>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</si>
  <si>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</si>
  <si>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</si>
  <si>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</si>
  <si>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</si>
  <si>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</si>
  <si>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</si>
  <si>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</si>
  <si>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</si>
  <si>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</si>
  <si>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</si>
  <si>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</si>
  <si>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</si>
  <si>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</si>
  <si>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</si>
  <si>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</si>
  <si>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</si>
  <si>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</si>
  <si>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</si>
  <si>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</si>
  <si>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</si>
  <si>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</si>
  <si>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</si>
  <si>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</si>
  <si>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</si>
  <si>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</si>
  <si>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</si>
  <si>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</si>
  <si>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</si>
  <si>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</si>
  <si>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</si>
  <si>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</si>
  <si>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</si>
  <si>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</si>
  <si>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</si>
  <si>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</si>
  <si>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</si>
  <si>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</si>
  <si>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</si>
  <si>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</si>
  <si>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</si>
  <si>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</si>
  <si>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</si>
  <si>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</si>
  <si>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</si>
  <si>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</si>
  <si>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</si>
  <si>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</si>
  <si>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</si>
  <si>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</si>
  <si>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</si>
  <si>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</si>
  <si>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</si>
  <si>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</si>
  <si>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</si>
  <si>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</si>
  <si>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</si>
  <si>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</si>
  <si>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</si>
  <si>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</si>
  <si>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</si>
  <si>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</si>
  <si>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</si>
  <si>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</si>
  <si>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</si>
  <si>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</si>
  <si>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</si>
  <si>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</si>
  <si>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</si>
  <si>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</si>
  <si>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</si>
  <si>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</si>
  <si>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</si>
  <si>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</si>
  <si>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</si>
  <si>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</si>
  <si>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</si>
  <si>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</si>
  <si>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</si>
  <si>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</si>
  <si>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</si>
  <si>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</si>
  <si>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</si>
  <si>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</si>
  <si>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</si>
  <si>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</si>
  <si>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</si>
  <si>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</si>
  <si>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</si>
  <si>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</si>
  <si>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</si>
  <si>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</si>
  <si>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</si>
  <si>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</si>
  <si>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</si>
  <si>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</si>
  <si>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</si>
  <si>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</si>
  <si>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</si>
  <si>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</si>
  <si>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</si>
  <si>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</si>
  <si>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</si>
  <si>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</si>
  <si>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</si>
  <si>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</si>
  <si>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</si>
  <si>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</si>
  <si>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</si>
  <si>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</si>
  <si>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</si>
  <si>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</si>
  <si>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</si>
  <si>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</si>
  <si>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</si>
  <si>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</si>
  <si>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</si>
  <si>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</si>
  <si>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</si>
  <si>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</si>
  <si>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</si>
  <si>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</si>
  <si>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</si>
  <si>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</si>
  <si>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</si>
  <si>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</si>
  <si>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</si>
  <si>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</si>
  <si>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</si>
  <si>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</si>
  <si>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</si>
  <si>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</si>
  <si>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</si>
  <si>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</si>
  <si>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</si>
  <si>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</si>
  <si>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</si>
  <si>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</si>
  <si>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</si>
  <si>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</si>
  <si>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</si>
  <si>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</si>
  <si>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</si>
  <si>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</si>
  <si>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</si>
  <si>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</si>
  <si>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</si>
  <si>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</si>
  <si>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</si>
  <si>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</si>
  <si>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</si>
  <si>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</si>
  <si>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</si>
  <si>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</si>
  <si>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</si>
  <si>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</si>
  <si>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</si>
  <si>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</si>
  <si>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</si>
  <si>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</si>
  <si>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</si>
  <si>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</si>
  <si>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</si>
  <si>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</si>
  <si>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</si>
  <si>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</si>
  <si>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</si>
  <si>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</si>
  <si>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</si>
  <si>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</si>
  <si>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</si>
  <si>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</si>
  <si>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</si>
  <si>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</si>
  <si>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</si>
  <si>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</si>
  <si>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</si>
  <si>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</si>
  <si>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</si>
  <si>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</si>
  <si>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</si>
  <si>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</si>
  <si>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</si>
  <si>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</si>
  <si>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</si>
  <si>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</si>
  <si>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</si>
  <si>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</si>
  <si>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</si>
  <si>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</si>
  <si>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</si>
  <si>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</si>
  <si>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</si>
  <si>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</si>
  <si>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</si>
  <si>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</si>
  <si>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</si>
  <si>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</si>
  <si>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</si>
  <si>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</si>
  <si>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</si>
  <si>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</si>
  <si>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</si>
  <si>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</si>
  <si>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</si>
  <si>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</si>
  <si>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</si>
  <si>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</si>
  <si>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</si>
  <si>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</si>
  <si>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</si>
  <si>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</si>
  <si>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</si>
  <si>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</si>
  <si>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</si>
  <si>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</si>
  <si>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</si>
  <si>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</si>
  <si>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</si>
  <si>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</si>
  <si>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</si>
  <si>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</si>
  <si>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</si>
  <si>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</si>
  <si>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</si>
  <si>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</si>
  <si>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</si>
  <si>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</si>
  <si>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</si>
  <si>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</si>
  <si>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</si>
  <si>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</si>
  <si>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</si>
  <si>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</si>
  <si>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</si>
  <si>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</si>
  <si>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</si>
  <si>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</si>
  <si>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</si>
  <si>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</si>
  <si>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</si>
  <si>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</si>
  <si>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</si>
  <si>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</si>
  <si>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</si>
  <si>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</si>
  <si>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</si>
  <si>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</si>
  <si>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</si>
  <si>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</si>
  <si>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</si>
  <si>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</si>
  <si>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</si>
  <si>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</si>
  <si>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</si>
  <si>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</si>
  <si>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</si>
  <si>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</si>
  <si>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</si>
  <si>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</si>
  <si>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</si>
  <si>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</si>
  <si>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</si>
  <si>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</si>
  <si>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</si>
  <si>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</si>
  <si>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</si>
  <si>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</si>
  <si>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</si>
  <si>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</si>
  <si>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</si>
  <si>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</si>
  <si>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</si>
  <si>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</si>
  <si>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</si>
  <si>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</si>
  <si>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</si>
  <si>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</si>
  <si>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</si>
  <si>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</si>
  <si>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</si>
  <si>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</si>
  <si>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</si>
  <si>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</si>
  <si>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</si>
  <si>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</si>
  <si>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</si>
  <si>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</si>
  <si>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</si>
  <si>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</si>
  <si>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</si>
  <si>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</si>
  <si>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</si>
  <si>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</si>
  <si>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</si>
  <si>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</si>
  <si>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</si>
  <si>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</si>
  <si>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</si>
  <si>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</si>
  <si>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</si>
  <si>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</si>
  <si>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</si>
  <si>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</si>
  <si>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</si>
  <si>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</si>
  <si>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</si>
  <si>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</si>
  <si>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</si>
  <si>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</si>
  <si>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</si>
  <si>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</si>
  <si>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</si>
  <si>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</si>
  <si>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</si>
  <si>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</si>
  <si>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</si>
  <si>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</si>
  <si>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</si>
  <si>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</si>
  <si>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</si>
  <si>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</si>
  <si>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</si>
  <si>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</si>
  <si>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</si>
  <si>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</si>
  <si>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</si>
  <si>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</si>
  <si>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</si>
  <si>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</si>
  <si>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</si>
  <si>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</si>
  <si>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</si>
  <si>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</si>
  <si>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</si>
  <si>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</si>
  <si>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</si>
  <si>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</si>
  <si>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</si>
  <si>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</si>
  <si>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</si>
  <si>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</si>
  <si>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</si>
  <si>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</si>
  <si>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</si>
  <si>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</si>
  <si>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</si>
  <si>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</si>
  <si>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</si>
  <si>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</si>
  <si>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</si>
  <si>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</si>
  <si>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</si>
  <si>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</si>
  <si>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</si>
  <si>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</si>
  <si>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</si>
  <si>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</si>
  <si>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</si>
  <si>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</si>
  <si>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</si>
  <si>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</si>
  <si>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</si>
  <si>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</si>
  <si>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</si>
  <si>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</si>
  <si>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</si>
  <si>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</si>
  <si>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</si>
  <si>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</si>
  <si>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</si>
  <si>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</si>
  <si>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</si>
  <si>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</si>
  <si>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</si>
  <si>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</si>
  <si>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</si>
  <si>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</si>
  <si>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</si>
  <si>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</si>
  <si>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</si>
  <si>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</si>
  <si>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</si>
  <si>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</si>
  <si>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</si>
  <si>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</si>
  <si>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</si>
  <si>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</si>
  <si>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</si>
  <si>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</si>
  <si>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</si>
  <si>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</si>
  <si>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</si>
  <si>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</si>
  <si>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</si>
  <si>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</si>
  <si>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</si>
  <si>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</si>
  <si>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</si>
  <si>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</si>
  <si>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</si>
  <si>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</si>
  <si>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</si>
  <si>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</si>
  <si>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</si>
  <si>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</si>
  <si>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</si>
  <si>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</si>
  <si>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</si>
  <si>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</si>
  <si>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</si>
  <si>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</si>
  <si>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</si>
  <si>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</si>
  <si>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</si>
  <si>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</si>
  <si>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</si>
  <si>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</si>
  <si>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</si>
  <si>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</si>
  <si>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</si>
  <si>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</si>
  <si>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</si>
  <si>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</si>
  <si>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</si>
  <si>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</si>
  <si>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</si>
  <si>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</si>
  <si>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</si>
  <si>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</si>
  <si>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</si>
  <si>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</si>
  <si>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</si>
  <si>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</si>
  <si>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</si>
  <si>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</si>
  <si>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</si>
  <si>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</si>
  <si>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</si>
  <si>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</si>
  <si>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</si>
  <si>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</si>
  <si>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</si>
  <si>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</si>
  <si>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</si>
  <si>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</si>
  <si>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</si>
  <si>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</si>
  <si>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</si>
  <si>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</si>
  <si>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</si>
  <si>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</si>
  <si>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</si>
  <si>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</si>
  <si>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</si>
  <si>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</si>
  <si>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</si>
  <si>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</si>
  <si>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</si>
  <si>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</si>
  <si>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</si>
  <si>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</si>
  <si>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</si>
  <si>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</si>
  <si>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</si>
  <si>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</si>
  <si>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</si>
  <si>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</si>
  <si>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</si>
  <si>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</si>
  <si>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</si>
  <si>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</si>
  <si>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</si>
  <si>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</si>
  <si>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</si>
  <si>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</si>
  <si>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</si>
  <si>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</si>
  <si>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</si>
  <si>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</si>
  <si>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</si>
  <si>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</si>
  <si>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</si>
  <si>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</si>
  <si>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</si>
  <si>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</si>
  <si>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</si>
  <si>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</si>
  <si>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</si>
  <si>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</si>
  <si>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</si>
  <si>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</si>
  <si>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</si>
  <si>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</si>
  <si>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</si>
  <si>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</si>
  <si>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</si>
  <si>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</si>
  <si>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</si>
  <si>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</si>
  <si>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</si>
  <si>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</si>
  <si>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</si>
  <si>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</si>
  <si>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</si>
  <si>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</si>
  <si>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</si>
  <si>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</si>
  <si>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</si>
  <si>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</si>
  <si>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</si>
  <si>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</si>
  <si>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</si>
  <si>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</si>
  <si>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</si>
  <si>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</si>
  <si>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</si>
  <si>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</si>
  <si>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</si>
  <si>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</si>
  <si>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</si>
  <si>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</si>
  <si>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</si>
  <si>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</si>
  <si>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</si>
  <si>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</si>
  <si>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</si>
  <si>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</si>
  <si>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</si>
  <si>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</si>
  <si>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</si>
  <si>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</si>
  <si>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</si>
  <si>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</si>
  <si>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</si>
  <si>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</si>
  <si>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</si>
  <si>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</si>
  <si>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</si>
  <si>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</si>
  <si>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</si>
  <si>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</si>
  <si>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</si>
  <si>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</si>
  <si>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</si>
  <si>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</si>
  <si>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</si>
  <si>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</si>
  <si>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</si>
  <si>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</si>
  <si>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</si>
  <si>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</si>
  <si>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</si>
  <si>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</si>
  <si>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</si>
  <si>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</si>
  <si>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</si>
  <si>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</si>
  <si>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</si>
  <si>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</si>
  <si>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</si>
  <si>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</si>
  <si>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</si>
  <si>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</si>
  <si>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</si>
  <si>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</si>
  <si>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</si>
  <si>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</si>
  <si>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</si>
  <si>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</si>
  <si>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</si>
  <si>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</si>
  <si>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</si>
  <si>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</si>
  <si>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</si>
  <si>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</si>
  <si>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</si>
  <si>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</si>
  <si>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</si>
  <si>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</si>
  <si>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</si>
  <si>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</si>
  <si>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</si>
  <si>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</si>
  <si>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</si>
  <si>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</si>
  <si>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</si>
  <si>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</si>
  <si>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</si>
  <si>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</si>
  <si>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</si>
  <si>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</si>
  <si>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</si>
  <si>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</si>
  <si>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</si>
  <si>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</si>
  <si>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</si>
  <si>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</si>
  <si>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</si>
  <si>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</si>
  <si>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</si>
  <si>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</si>
  <si>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</si>
  <si>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</si>
  <si>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</si>
  <si>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</si>
  <si>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</si>
  <si>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</si>
  <si>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</si>
  <si>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</si>
  <si>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</si>
  <si>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</si>
  <si>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</si>
  <si>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</si>
  <si>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</si>
  <si>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</si>
  <si>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</si>
  <si>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</si>
  <si>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</si>
  <si>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</si>
  <si>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</si>
  <si>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</si>
  <si>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</si>
  <si>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</si>
  <si>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</si>
  <si>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</si>
  <si>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</si>
  <si>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</si>
  <si>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</si>
  <si>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</si>
  <si>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</si>
  <si>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</si>
  <si>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</si>
  <si>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</si>
  <si>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</si>
  <si>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</si>
  <si>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</si>
  <si>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</si>
  <si>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</si>
  <si>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</si>
  <si>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</si>
  <si>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</si>
  <si>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</si>
  <si>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</si>
  <si>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</si>
  <si>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</si>
  <si>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</si>
  <si>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</si>
  <si>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</si>
  <si>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</si>
  <si>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</si>
  <si>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</si>
  <si>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</si>
  <si>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</si>
  <si>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</si>
  <si>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</si>
  <si>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</si>
  <si>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</si>
  <si>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</si>
  <si>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</si>
  <si>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</si>
  <si>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</si>
  <si>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</si>
  <si>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</si>
  <si>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</si>
  <si>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</si>
  <si>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</si>
  <si>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</si>
  <si>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</si>
  <si>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</si>
  <si>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</si>
  <si>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</si>
  <si>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</si>
  <si>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</si>
  <si>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</si>
  <si>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</si>
  <si>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</si>
  <si>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</si>
  <si>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</si>
  <si>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</si>
  <si>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</si>
  <si>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</si>
  <si>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</si>
  <si>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</si>
  <si>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</si>
  <si>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</si>
  <si>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</si>
  <si>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</si>
  <si>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</si>
  <si>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</si>
  <si>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</si>
  <si>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</si>
  <si>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</si>
  <si>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</si>
  <si>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</si>
  <si>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</si>
  <si>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</si>
  <si>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</si>
  <si>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</si>
  <si>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</si>
  <si>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</si>
  <si>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</si>
  <si>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</si>
  <si>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</si>
  <si>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</si>
  <si>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</si>
  <si>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</si>
  <si>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</si>
  <si>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</si>
  <si>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</si>
  <si>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</si>
  <si>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</si>
  <si>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</si>
  <si>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</si>
  <si>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</si>
  <si>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</si>
  <si>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</si>
  <si>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</si>
  <si>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</si>
  <si>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</si>
  <si>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</si>
  <si>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</si>
  <si>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</si>
  <si>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</si>
  <si>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</si>
  <si>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</si>
  <si>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</si>
  <si>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</si>
  <si>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</si>
  <si>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</si>
  <si>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</si>
  <si>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</si>
  <si>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</si>
  <si>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</si>
  <si>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</si>
  <si>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</si>
  <si>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</si>
  <si>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</si>
  <si>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</si>
  <si>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</si>
  <si>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</si>
  <si>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</si>
  <si>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</si>
  <si>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</si>
  <si>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</si>
  <si>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</si>
  <si>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</si>
  <si>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</si>
  <si>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</si>
  <si>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</si>
  <si>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</si>
  <si>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</si>
  <si>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</si>
  <si>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</si>
  <si>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</si>
  <si>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</si>
  <si>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</si>
  <si>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</si>
  <si>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</si>
  <si>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</si>
  <si>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</si>
  <si>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</si>
  <si>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</si>
  <si>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</si>
  <si>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</si>
  <si>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</si>
  <si>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</si>
  <si>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</si>
  <si>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</si>
  <si>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</si>
  <si>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</si>
  <si>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</si>
  <si>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</si>
  <si>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</si>
  <si>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</si>
  <si>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</si>
  <si>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</si>
  <si>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</si>
  <si>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</si>
  <si>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</si>
  <si>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</si>
  <si>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</si>
  <si>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</si>
  <si>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</si>
  <si>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</si>
  <si>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</si>
  <si>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</si>
  <si>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</si>
  <si>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</si>
  <si>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</si>
  <si>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</si>
  <si>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</si>
  <si>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</si>
  <si>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</si>
  <si>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</si>
  <si>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</si>
  <si>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</si>
  <si>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</si>
  <si>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</si>
  <si>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</si>
  <si>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</si>
  <si>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</si>
  <si>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</si>
  <si>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</si>
  <si>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</si>
  <si>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</si>
  <si>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</si>
  <si>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</si>
  <si>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</si>
  <si>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</si>
  <si>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</si>
  <si>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</si>
  <si>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</si>
  <si>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</si>
  <si>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</si>
  <si>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</si>
  <si>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</si>
  <si>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</si>
  <si>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</si>
  <si>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</si>
  <si>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</si>
  <si>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</si>
  <si>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</si>
  <si>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</si>
  <si>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</si>
  <si>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</si>
  <si>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</si>
  <si>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</si>
  <si>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</si>
  <si>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</si>
  <si>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</si>
  <si>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</si>
  <si>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</si>
  <si>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</si>
  <si>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</si>
  <si>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</si>
  <si>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</si>
  <si>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</si>
  <si>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</si>
  <si>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</si>
  <si>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</si>
  <si>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</si>
  <si>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</si>
  <si>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</si>
  <si>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</si>
  <si>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</si>
  <si>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</si>
  <si>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</si>
  <si>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</si>
  <si>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</si>
  <si>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</si>
  <si>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</si>
  <si>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</si>
  <si>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</si>
  <si>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</si>
  <si>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</si>
  <si>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</si>
  <si>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</si>
  <si>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</si>
  <si>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</si>
  <si>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</si>
  <si>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</si>
  <si>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</si>
  <si>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</si>
  <si>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</si>
  <si>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</si>
  <si>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</si>
  <si>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</si>
  <si>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</si>
  <si>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</si>
  <si>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</si>
  <si>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</si>
  <si>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</si>
  <si>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</si>
  <si>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</si>
  <si>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</si>
  <si>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</si>
  <si>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</si>
  <si>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</si>
  <si>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</si>
  <si>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</si>
  <si>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</si>
  <si>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</si>
  <si>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</si>
  <si>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</si>
  <si>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</si>
  <si>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</si>
  <si>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</si>
  <si>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</si>
  <si>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</si>
  <si>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</si>
  <si>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</si>
  <si>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</si>
  <si>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</si>
  <si>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</si>
  <si>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</si>
  <si>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</si>
  <si>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</si>
  <si>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</si>
  <si>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</si>
  <si>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</si>
  <si>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</si>
  <si>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</si>
  <si>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</si>
  <si>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</si>
  <si>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</si>
  <si>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</si>
  <si>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</si>
  <si>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</si>
  <si>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</si>
  <si>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</si>
  <si>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</si>
  <si>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</si>
  <si>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</si>
  <si>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</si>
  <si>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</si>
  <si>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</si>
  <si>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</si>
  <si>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</si>
  <si>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</si>
  <si>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</si>
  <si>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</si>
  <si>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</si>
  <si>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</si>
  <si>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</si>
  <si>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</si>
  <si>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</si>
  <si>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</si>
  <si>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</si>
  <si>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</si>
  <si>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</si>
  <si>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</si>
  <si>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</si>
  <si>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</si>
  <si>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</si>
  <si>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</si>
  <si>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</si>
  <si>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</si>
  <si>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</si>
  <si>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</si>
  <si>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</si>
  <si>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</si>
  <si>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</si>
  <si>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</si>
  <si>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</si>
  <si>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</si>
  <si>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</si>
  <si>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</si>
  <si>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</si>
  <si>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</si>
  <si>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</si>
  <si>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</si>
  <si>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</si>
  <si>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</si>
  <si>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</si>
  <si>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</si>
  <si>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</si>
  <si>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</si>
  <si>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</si>
  <si>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</si>
  <si>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</si>
  <si>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</si>
  <si>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</si>
  <si>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</si>
  <si>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</si>
  <si>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</si>
  <si>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</si>
  <si>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</si>
  <si>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</si>
  <si>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</si>
  <si>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</si>
  <si>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</si>
  <si>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</si>
  <si>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</si>
  <si>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</si>
  <si>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</si>
  <si>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</si>
  <si>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</si>
  <si>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</si>
  <si>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</si>
  <si>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</si>
  <si>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</si>
  <si>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</si>
  <si>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</si>
  <si>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</si>
  <si>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</si>
  <si>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</si>
  <si>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</si>
  <si>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</si>
  <si>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</si>
  <si>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</si>
  <si>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</si>
  <si>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</si>
  <si>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</si>
  <si>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</si>
  <si>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</si>
  <si>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</si>
  <si>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</si>
  <si>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</si>
  <si>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</si>
  <si>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</si>
  <si>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Galas Decor y muebles</t>
  </si>
  <si>
    <t>ADINOR</t>
  </si>
  <si>
    <t>SK113.L.BM.3</t>
  </si>
  <si>
    <t>Coste</t>
  </si>
  <si>
    <t>SK.AMORT.120</t>
  </si>
  <si>
    <t>SK.CR.120</t>
  </si>
  <si>
    <t>SK.ST.113</t>
  </si>
  <si>
    <t>-</t>
  </si>
  <si>
    <t>Guías Decor, ruedas, amortiguadores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</si>
</sst>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6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F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theme="0" tint="-0.499984740745262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2" borderId="5" xfId="0" applyNumberFormat="1" applyFill="1" applyBorder="1" applyAlignment="1">
      <alignment horizontal="right" vertical="center"/>
    </xf>
    <xf numFmtId="0" fontId="7" fillId="0" borderId="0" xfId="0" applyFont="1" applyAlignment="1"/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0" fontId="0" fillId="0" borderId="0" xfId="0" applyAlignment="1">
      <alignment horizontal="right" vertical="center" wrapText="1"/>
    </xf>
    <xf numFmtId="0" fontId="8" fillId="2" borderId="0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view="pageBreakPreview" topLeftCell="A18" zoomScale="145" zoomScaleNormal="80" zoomScaleSheetLayoutView="145" workbookViewId="0">
      <selection activeCell="J37" sqref="J37:K37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6" max="6" width="0" hidden="1" customWidth="1"/>
    <col min="7" max="7" width="16.42578125" hidden="1" customWidth="1"/>
    <col min="8" max="9" width="16.42578125" style="7" hidden="1" customWidth="1"/>
    <col min="10" max="10" width="16.42578125" style="7"/>
    <col min="11" max="11" width="23.42578125" customWidth="1"/>
  </cols>
  <sheetData>
    <row r="1" spans="1:12" x14ac:dyDescent="0.25">
      <c r="H1" s="10"/>
      <c r="I1" s="10"/>
      <c r="J1" s="10"/>
      <c r="K1" s="1"/>
      <c r="L1" s="1"/>
    </row>
    <row r="2" spans="1:12" ht="40.5" customHeight="1" x14ac:dyDescent="0.25">
      <c r="G2" s="2" t="s">
        <v>0</v>
      </c>
      <c r="H2" s="10"/>
      <c r="I2" s="10"/>
      <c r="J2" s="10"/>
      <c r="K2" s="1"/>
      <c r="L2" s="1"/>
    </row>
    <row r="3" spans="1:12" ht="21" x14ac:dyDescent="0.35">
      <c r="E3" s="87"/>
      <c r="F3" s="87"/>
      <c r="G3" s="87"/>
      <c r="H3" s="48" t="s">
        <v>1</v>
      </c>
      <c r="I3" s="48"/>
      <c r="K3" s="48" t="s">
        <v>1</v>
      </c>
      <c r="L3" s="48"/>
    </row>
    <row r="5" spans="1:12" ht="18.75" x14ac:dyDescent="0.25">
      <c r="B5" s="77" t="s">
        <v>2</v>
      </c>
      <c r="C5" s="77" t="s">
        <v>3</v>
      </c>
      <c r="D5" s="66"/>
      <c r="E5" s="4"/>
      <c r="F5" s="4"/>
      <c r="G5" s="5" t="s">
        <v>4</v>
      </c>
      <c r="J5" s="4"/>
      <c r="K5" s="4"/>
    </row>
    <row r="7" spans="1:12" x14ac:dyDescent="0.25">
      <c r="B7" s="6" t="s">
        <v>5</v>
      </c>
      <c r="C7" s="7">
        <v>20250218</v>
      </c>
      <c r="G7" s="8">
        <f ca="1">TODAY()</f>
        <v>45968</v>
      </c>
    </row>
    <row r="8" spans="1:12" x14ac:dyDescent="0.25">
      <c r="B8" s="9" t="s">
        <v>6</v>
      </c>
      <c r="C8" s="10" t="s">
        <v>1451</v>
      </c>
    </row>
    <row r="9" spans="1:12" ht="30" x14ac:dyDescent="0.25">
      <c r="B9" s="3" t="s">
        <v>7</v>
      </c>
      <c r="C9" s="90" t="s">
        <v>1459</v>
      </c>
      <c r="H9" s="10"/>
      <c r="I9" s="10"/>
      <c r="J9" s="10"/>
      <c r="K9" s="1"/>
      <c r="L9" s="1"/>
    </row>
    <row r="10" spans="1:12" x14ac:dyDescent="0.25">
      <c r="B10" s="3"/>
      <c r="C10" s="11"/>
      <c r="H10" s="10"/>
      <c r="I10" s="10"/>
      <c r="J10" s="10"/>
      <c r="K10" s="1"/>
      <c r="L10" s="1"/>
    </row>
    <row r="11" spans="1:12" x14ac:dyDescent="0.25">
      <c r="B11" s="3"/>
      <c r="C11" s="11"/>
      <c r="H11" s="10"/>
      <c r="I11" s="10"/>
      <c r="J11" s="10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88" t="s">
        <v>1452</v>
      </c>
      <c r="I12" s="89" t="s">
        <v>1454</v>
      </c>
      <c r="J12" s="15" t="s">
        <v>12</v>
      </c>
      <c r="K12" s="15"/>
    </row>
    <row r="13" spans="1:12" x14ac:dyDescent="0.25">
      <c r="A13" t="s">
        <v>14</v>
      </c>
      <c r="B13" s="16" t="s">
        <v>211</v>
      </c>
      <c r="C13" s="78" t="str">
        <f>IFERROR(VLOOKUP($B13,Tarifa_all_20240711!$A$2:$G$660,2,FALSE()),"-")</f>
        <v>GUIA SUP PLADUR PLUS LAC.BLANCO MATE 9003-3 MTS</v>
      </c>
      <c r="D13" s="78"/>
      <c r="E13" s="17">
        <v>1</v>
      </c>
      <c r="F13" s="18">
        <f>IFERROR(VLOOKUP($B13,Tarifa_all_20240711!$A$2:$G$660,5,FALSE()),"-")</f>
        <v>106.63500000000001</v>
      </c>
      <c r="G13" s="18">
        <f t="shared" ref="G13:G30" si="0">IFERROR(E13*F13,"-")</f>
        <v>106.63500000000001</v>
      </c>
      <c r="H13" s="88" t="s">
        <v>1453</v>
      </c>
      <c r="I13" s="18">
        <v>94.385000000000005</v>
      </c>
      <c r="J13" s="18">
        <f>IFERROR(I13*(1-30%)*(1+50%),"-")</f>
        <v>99.104250000000008</v>
      </c>
      <c r="K13" s="18">
        <f>IFERROR(E13*J13,"-")</f>
        <v>99.104250000000008</v>
      </c>
    </row>
    <row r="14" spans="1:12" x14ac:dyDescent="0.25">
      <c r="A14" t="s">
        <v>15</v>
      </c>
      <c r="B14" s="16" t="s">
        <v>347</v>
      </c>
      <c r="C14" s="78" t="str">
        <f>IFERROR(VLOOKUP($B14,Tarifa_all_20240711!$A$2:$G$660,2,FALSE()),"-")</f>
        <v>KIT ANCLAJE TECHO PARA GUIA PLADUR PLUS</v>
      </c>
      <c r="D14" s="78"/>
      <c r="E14" s="17">
        <v>7</v>
      </c>
      <c r="F14" s="18">
        <f>IFERROR(VLOOKUP($B14,Tarifa_all_20240711!$A$2:$G$660,5,FALSE()),"-")</f>
        <v>11.654999999999999</v>
      </c>
      <c r="G14" s="18">
        <f t="shared" si="0"/>
        <v>81.584999999999994</v>
      </c>
      <c r="H14" s="88" t="s">
        <v>1457</v>
      </c>
      <c r="I14" s="18">
        <v>10.83</v>
      </c>
      <c r="J14" s="18">
        <f t="shared" ref="J14:J18" si="1">IFERROR(I14*(1-30%)*(1+50%),"-")</f>
        <v>11.371499999999999</v>
      </c>
      <c r="K14" s="18">
        <f t="shared" ref="K14:K30" si="2">IFERROR(E14*J14,"-")</f>
        <v>79.600499999999997</v>
      </c>
    </row>
    <row r="15" spans="1:12" x14ac:dyDescent="0.25">
      <c r="A15" t="s">
        <v>16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88"/>
      <c r="I15" s="18"/>
      <c r="J15" s="18" t="s">
        <v>1458</v>
      </c>
      <c r="K15" s="18" t="str">
        <f t="shared" si="2"/>
        <v>-</v>
      </c>
    </row>
    <row r="16" spans="1:12" x14ac:dyDescent="0.25">
      <c r="A16" t="s">
        <v>17</v>
      </c>
      <c r="B16" s="16" t="s">
        <v>345</v>
      </c>
      <c r="C16" s="78" t="str">
        <f>IFERROR(VLOOKUP($B16,Tarifa_all_20240711!$A$2:$G$660,2,FALSE()),"-")</f>
        <v>KIT AMORTIGUADOR SKY BIDIRECCIONAL 100KG</v>
      </c>
      <c r="D16" s="78"/>
      <c r="E16" s="17">
        <v>1</v>
      </c>
      <c r="F16" s="18">
        <f>IFERROR(VLOOKUP($B16,Tarifa_all_20240711!$A$2:$G$660,5,FALSE()),"-")</f>
        <v>35.782499999999999</v>
      </c>
      <c r="G16" s="18">
        <f t="shared" si="0"/>
        <v>35.782499999999999</v>
      </c>
      <c r="H16" s="88" t="s">
        <v>1455</v>
      </c>
      <c r="I16" s="18">
        <v>28.096</v>
      </c>
      <c r="J16" s="18">
        <f t="shared" si="1"/>
        <v>29.500799999999998</v>
      </c>
      <c r="K16" s="18">
        <f t="shared" si="2"/>
        <v>29.500799999999998</v>
      </c>
    </row>
    <row r="17" spans="1:11" x14ac:dyDescent="0.25">
      <c r="A17" t="s">
        <v>18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88"/>
      <c r="I17" s="18"/>
      <c r="J17" s="18" t="s">
        <v>1458</v>
      </c>
      <c r="K17" s="18" t="str">
        <f t="shared" si="2"/>
        <v>-</v>
      </c>
    </row>
    <row r="18" spans="1:11" x14ac:dyDescent="0.25">
      <c r="A18" t="s">
        <v>19</v>
      </c>
      <c r="B18" s="16" t="s">
        <v>337</v>
      </c>
      <c r="C18" s="78" t="str">
        <f>IFERROR(VLOOKUP($B18,Tarifa_all_20240711!$A$2:$G$660,2,FALSE()),"-")</f>
        <v>CARRO SKY MADERA 120KG</v>
      </c>
      <c r="D18" s="78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88" t="s">
        <v>1456</v>
      </c>
      <c r="I18" s="18">
        <v>63.74</v>
      </c>
      <c r="J18" s="18">
        <f t="shared" si="1"/>
        <v>66.927000000000007</v>
      </c>
      <c r="K18" s="18">
        <f t="shared" si="2"/>
        <v>66.927000000000007</v>
      </c>
    </row>
    <row r="19" spans="1:11" x14ac:dyDescent="0.25">
      <c r="A19" t="s">
        <v>20</v>
      </c>
      <c r="B19" s="16"/>
      <c r="C19" s="78" t="str">
        <f>IFERROR(VLOOKUP($B19,Tarifa_all_20240711!$A$2:$G$660,2,FALSE()),"-")</f>
        <v>-</v>
      </c>
      <c r="D19" s="78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0"/>
      <c r="I19" s="18"/>
      <c r="J19" s="18" t="s">
        <v>1458</v>
      </c>
      <c r="K19" s="18" t="str">
        <f t="shared" si="2"/>
        <v>-</v>
      </c>
    </row>
    <row r="20" spans="1:11" x14ac:dyDescent="0.25">
      <c r="A20" t="s">
        <v>21</v>
      </c>
      <c r="B20" s="16"/>
      <c r="C20" s="78" t="str">
        <f>IFERROR(VLOOKUP($B20,Tarifa_all_20240711!$A$2:$G$660,2,FALSE()),"-")</f>
        <v>-</v>
      </c>
      <c r="D20" s="78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0"/>
      <c r="I20" s="18"/>
      <c r="J20" s="18" t="s">
        <v>1458</v>
      </c>
      <c r="K20" s="18" t="str">
        <f t="shared" si="2"/>
        <v>-</v>
      </c>
    </row>
    <row r="21" spans="1:11" x14ac:dyDescent="0.25">
      <c r="A21" t="s">
        <v>22</v>
      </c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0"/>
      <c r="I21" s="18"/>
      <c r="J21" s="18" t="s">
        <v>1458</v>
      </c>
      <c r="K21" s="18" t="str">
        <f t="shared" si="2"/>
        <v>-</v>
      </c>
    </row>
    <row r="22" spans="1:11" x14ac:dyDescent="0.25">
      <c r="B22" s="16"/>
      <c r="C22" s="78" t="str">
        <f>IFERROR(VLOOKUP($B22,Tarifa_all_20240711!$A$2:$G$660,2,FALSE()),"-")</f>
        <v>-</v>
      </c>
      <c r="D22" s="78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0"/>
      <c r="I22" s="18"/>
      <c r="J22" s="18" t="s">
        <v>1458</v>
      </c>
      <c r="K22" s="18" t="str">
        <f t="shared" si="2"/>
        <v>-</v>
      </c>
    </row>
    <row r="23" spans="1:11" x14ac:dyDescent="0.25">
      <c r="B23" s="16"/>
      <c r="C23" s="78" t="str">
        <f>IFERROR(VLOOKUP($B23,Tarifa_all_20240711!$A$2:$G$660,2,FALSE()),"-")</f>
        <v>-</v>
      </c>
      <c r="D23" s="78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0"/>
      <c r="I23" s="18"/>
      <c r="J23" s="18" t="s">
        <v>1458</v>
      </c>
      <c r="K23" s="18" t="str">
        <f t="shared" si="2"/>
        <v>-</v>
      </c>
    </row>
    <row r="24" spans="1:11" x14ac:dyDescent="0.25">
      <c r="B24" s="16"/>
      <c r="C24" s="78" t="str">
        <f>IFERROR(VLOOKUP($B24,Tarifa_all_20240711!$A$2:$G$660,2,FALSE()),"-")</f>
        <v>-</v>
      </c>
      <c r="D24" s="7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0"/>
      <c r="I24" s="18"/>
      <c r="J24" s="18" t="s">
        <v>1458</v>
      </c>
      <c r="K24" s="18" t="str">
        <f t="shared" si="2"/>
        <v>-</v>
      </c>
    </row>
    <row r="25" spans="1:11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0"/>
      <c r="I25" s="18"/>
      <c r="J25" s="18" t="s">
        <v>1458</v>
      </c>
      <c r="K25" s="18" t="str">
        <f t="shared" si="2"/>
        <v>-</v>
      </c>
    </row>
    <row r="26" spans="1:11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0"/>
      <c r="I26" s="18"/>
      <c r="J26" s="18" t="s">
        <v>1458</v>
      </c>
      <c r="K26" s="18" t="str">
        <f t="shared" si="2"/>
        <v>-</v>
      </c>
    </row>
    <row r="27" spans="1:11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0"/>
      <c r="I27" s="18"/>
      <c r="J27" s="18" t="s">
        <v>1458</v>
      </c>
      <c r="K27" s="18" t="str">
        <f t="shared" si="2"/>
        <v>-</v>
      </c>
    </row>
    <row r="28" spans="1:11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0"/>
      <c r="I28" s="18"/>
      <c r="J28" s="18" t="s">
        <v>1458</v>
      </c>
      <c r="K28" s="18" t="str">
        <f t="shared" si="2"/>
        <v>-</v>
      </c>
    </row>
    <row r="29" spans="1:11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0"/>
      <c r="I29" s="18"/>
      <c r="J29" s="18" t="s">
        <v>1458</v>
      </c>
      <c r="K29" s="18" t="str">
        <f t="shared" si="2"/>
        <v>-</v>
      </c>
    </row>
    <row r="30" spans="1:11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0"/>
      <c r="I30" s="18"/>
      <c r="J30" s="18" t="s">
        <v>1458</v>
      </c>
      <c r="K30" s="18" t="str">
        <f t="shared" si="2"/>
        <v>-</v>
      </c>
    </row>
    <row r="31" spans="1:11" x14ac:dyDescent="0.25">
      <c r="B31" s="19"/>
      <c r="C31" s="19"/>
      <c r="D31" s="19"/>
      <c r="E31" s="19"/>
      <c r="F31" s="20"/>
      <c r="G31" s="21">
        <f>SUM(G13:G30)</f>
        <v>253.95749999999998</v>
      </c>
      <c r="I31" s="18"/>
      <c r="J31" s="86"/>
      <c r="K31" s="86">
        <f>SUM(K13:K30)</f>
        <v>275.13254999999998</v>
      </c>
    </row>
    <row r="32" spans="1:11" x14ac:dyDescent="0.25">
      <c r="B32" s="19"/>
      <c r="C32" s="19"/>
      <c r="D32" s="19"/>
      <c r="E32" s="19"/>
      <c r="F32" s="20"/>
      <c r="G32" s="20"/>
      <c r="J32" s="92"/>
      <c r="K32" s="92"/>
    </row>
    <row r="33" spans="2:11" x14ac:dyDescent="0.25">
      <c r="B33" s="22" t="s">
        <v>23</v>
      </c>
      <c r="C33" s="23"/>
      <c r="D33" s="23"/>
      <c r="E33" s="23"/>
      <c r="F33" s="23"/>
      <c r="G33" s="24"/>
      <c r="J33" s="91"/>
      <c r="K33" s="91"/>
    </row>
    <row r="34" spans="2:11" ht="15" customHeight="1" x14ac:dyDescent="0.25">
      <c r="B34" s="25" t="s">
        <v>24</v>
      </c>
      <c r="C34" s="26" t="s">
        <v>75</v>
      </c>
      <c r="D34" s="26"/>
      <c r="E34" s="26"/>
      <c r="F34" s="26"/>
      <c r="G34" s="24"/>
      <c r="J34" s="91"/>
      <c r="K34" s="91"/>
    </row>
    <row r="35" spans="2:11" x14ac:dyDescent="0.25">
      <c r="B35" s="27" t="s">
        <v>25</v>
      </c>
      <c r="C35" s="26"/>
      <c r="D35" s="26"/>
      <c r="E35" s="26"/>
      <c r="F35" s="26"/>
      <c r="G35" s="24"/>
      <c r="J35" s="91"/>
      <c r="K35" s="91"/>
    </row>
    <row r="36" spans="2:11" x14ac:dyDescent="0.25">
      <c r="B36" s="28" t="s">
        <v>1450</v>
      </c>
      <c r="C36" s="29"/>
      <c r="D36" s="29"/>
      <c r="E36" s="29"/>
      <c r="F36" s="29"/>
      <c r="G36" s="24"/>
      <c r="J36" s="91"/>
      <c r="K36" s="91"/>
    </row>
    <row r="37" spans="2:11" x14ac:dyDescent="0.25">
      <c r="B37" s="27"/>
      <c r="C37" s="26"/>
      <c r="D37" s="26"/>
      <c r="E37" s="26"/>
      <c r="F37" s="26"/>
      <c r="G37" s="20"/>
      <c r="J37" s="92"/>
      <c r="K37" s="92"/>
    </row>
    <row r="38" spans="2:11" x14ac:dyDescent="0.25">
      <c r="B38" s="27"/>
      <c r="C38" s="26"/>
      <c r="D38" s="26"/>
      <c r="E38" s="26"/>
      <c r="F38" s="26"/>
      <c r="G38" s="24"/>
    </row>
    <row r="39" spans="2:11" x14ac:dyDescent="0.25">
      <c r="B39" s="30"/>
      <c r="C39" s="31"/>
      <c r="D39" s="31"/>
      <c r="E39" s="31"/>
      <c r="F39" s="31"/>
      <c r="G39" s="24"/>
    </row>
    <row r="40" spans="2:11" x14ac:dyDescent="0.25">
      <c r="B40" s="27"/>
      <c r="C40" s="31"/>
      <c r="D40" s="31"/>
      <c r="E40" s="31"/>
      <c r="F40" s="31"/>
      <c r="G40" s="24"/>
    </row>
    <row r="41" spans="2:11" x14ac:dyDescent="0.25">
      <c r="B41" s="26"/>
      <c r="C41" s="26"/>
      <c r="D41" s="26"/>
      <c r="E41" s="26"/>
      <c r="F41" s="26"/>
      <c r="G41" s="24"/>
    </row>
    <row r="42" spans="2:11" x14ac:dyDescent="0.25">
      <c r="B42" s="32"/>
      <c r="D42" s="32"/>
      <c r="E42" s="32"/>
      <c r="F42" s="32"/>
    </row>
    <row r="43" spans="2:11" x14ac:dyDescent="0.25">
      <c r="C43" s="33" t="s">
        <v>26</v>
      </c>
      <c r="D43" s="34" t="s">
        <v>27</v>
      </c>
      <c r="E43" s="34"/>
      <c r="F43" s="34"/>
    </row>
    <row r="44" spans="2:11" x14ac:dyDescent="0.25">
      <c r="C44" s="35" t="s">
        <v>28</v>
      </c>
      <c r="D44" s="23" t="s">
        <v>28</v>
      </c>
      <c r="E44" s="23"/>
      <c r="F44" s="23"/>
    </row>
    <row r="45" spans="2:11" x14ac:dyDescent="0.25">
      <c r="C45" s="35" t="s">
        <v>29</v>
      </c>
      <c r="D45" s="23" t="s">
        <v>29</v>
      </c>
      <c r="E45" s="23"/>
      <c r="F45" s="23"/>
    </row>
    <row r="46" spans="2:11" x14ac:dyDescent="0.25">
      <c r="C46" s="35" t="s">
        <v>30</v>
      </c>
      <c r="D46" s="23" t="s">
        <v>31</v>
      </c>
      <c r="E46" s="23"/>
      <c r="F46" s="23"/>
    </row>
    <row r="47" spans="2:11" x14ac:dyDescent="0.25">
      <c r="C47" s="35" t="s">
        <v>32</v>
      </c>
      <c r="D47" s="23" t="s">
        <v>30</v>
      </c>
      <c r="E47" s="23"/>
      <c r="F47" s="23"/>
    </row>
    <row r="48" spans="2:11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0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B5:C5"/>
    <mergeCell ref="C13:D13"/>
    <mergeCell ref="C14:D14"/>
  </mergeCells>
  <pageMargins left="0.7" right="0.7" top="0.75" bottom="0.75" header="0.511811023622047" footer="0.511811023622047"/>
  <pageSetup paperSize="9" scale="74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4" t="s">
        <v>79</v>
      </c>
      <c r="B6" s="84"/>
      <c r="C6" s="84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5" t="str">
        <f>'DESPIECE (MATANALYSIS)'!C8</f>
        <v>Galas Decor y muebles</v>
      </c>
      <c r="C9" s="85"/>
      <c r="D9" s="85"/>
      <c r="F9" s="3" t="s">
        <v>81</v>
      </c>
      <c r="G9" s="44">
        <f ca="1">TODAY()</f>
        <v>45968</v>
      </c>
    </row>
    <row r="10" spans="1:7" x14ac:dyDescent="0.25">
      <c r="A10" s="3" t="s">
        <v>82</v>
      </c>
      <c r="B10" s="11" t="str">
        <f>'DESPIECE (MATANALYSIS)'!C9</f>
        <v>Guías Decor, ruedas, amortiguadores</v>
      </c>
      <c r="C10" s="45"/>
      <c r="D10" s="45"/>
      <c r="E10" s="46"/>
      <c r="F10" s="47" t="s">
        <v>83</v>
      </c>
      <c r="G10" s="7">
        <f>'DESPIECE (MATANALYSIS)'!C7</f>
        <v>20250218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0"/>
      <c r="B46" s="80"/>
      <c r="C46" s="71"/>
      <c r="D46" s="71"/>
      <c r="E46" s="71"/>
      <c r="F46" s="72"/>
      <c r="G46" s="73"/>
    </row>
    <row r="47" spans="1:7" ht="22.7" customHeight="1" x14ac:dyDescent="0.25">
      <c r="A47" s="81" t="s">
        <v>99</v>
      </c>
      <c r="B47" s="81"/>
      <c r="C47" s="59"/>
      <c r="D47" s="59"/>
      <c r="E47" s="59"/>
      <c r="F47" s="82">
        <f>'DESPIECE (MATANALYSIS)'!G31</f>
        <v>253.95749999999998</v>
      </c>
      <c r="G47" s="82"/>
    </row>
    <row r="48" spans="1:7" s="1" customFormat="1" ht="22.7" customHeight="1" x14ac:dyDescent="0.25">
      <c r="A48" s="83" t="s">
        <v>100</v>
      </c>
      <c r="B48" s="83"/>
      <c r="C48" s="83"/>
      <c r="D48" s="83"/>
      <c r="E48" s="83"/>
      <c r="F48" s="83"/>
      <c r="G48" s="83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2025-11-07T12:24:38Z</cp:lastPrinted>
  <dcterms:created xsi:type="dcterms:W3CDTF">2024-04-15T12:43:19Z</dcterms:created>
  <dcterms:modified xsi:type="dcterms:W3CDTF">2025-11-07T12:25:45Z</dcterms:modified>
  <dc:language>es-ES</dc:language>
</cp:coreProperties>
</file>