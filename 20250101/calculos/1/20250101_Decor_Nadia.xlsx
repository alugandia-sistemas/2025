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1\calculos\1\"/>
    </mc:Choice>
  </mc:AlternateContent>
  <xr:revisionPtr revIDLastSave="0" documentId="13_ncr:1_{FBF49828-B642-418E-B057-F245D64A7564}" xr6:coauthVersionLast="47" xr6:coauthVersionMax="47" xr10:uidLastSave="{00000000-0000-0000-0000-000000000000}"/>
  <bookViews>
    <workbookView xWindow="-145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<sst xmlns="http://schemas.openxmlformats.org/spreadsheetml/2006/main" count="5396" uniqueCount="1449">
  <si>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</si>
  <si>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</si>
  <si>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</si>
  <si>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</si>
  <si>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</si>
  <si>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</si>
  <si>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</si>
  <si>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</si>
  <si>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</si>
  <si>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</si>
  <si>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</si>
  <si>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</si>
  <si>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</si>
  <si>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</si>
  <si>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</si>
  <si>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</si>
  <si>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</si>
  <si>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</si>
  <si>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</si>
  <si>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</si>
  <si>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</si>
  <si>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</si>
  <si>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</si>
  <si>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</si>
  <si>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</si>
  <si>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</si>
  <si>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</si>
  <si>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</si>
  <si>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</si>
  <si>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</si>
  <si>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</si>
  <si>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</si>
  <si>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</si>
  <si>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</si>
  <si>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</si>
  <si>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</si>
  <si>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</si>
  <si>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</si>
  <si>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</si>
  <si>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</si>
  <si>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</si>
  <si>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</si>
  <si>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</si>
  <si>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</si>
  <si>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</si>
  <si>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</si>
  <si>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</si>
  <si>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</si>
  <si>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</si>
  <si>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</si>
  <si>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</si>
  <si>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</si>
  <si>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</si>
  <si>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</si>
  <si>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</si>
  <si>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</si>
  <si>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</si>
  <si>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</si>
  <si>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</si>
  <si>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</si>
  <si>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</si>
  <si>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</si>
  <si>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</si>
  <si>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</si>
  <si>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</si>
  <si>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</si>
  <si>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</si>
  <si>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</si>
  <si>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</si>
  <si>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</si>
  <si>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</si>
  <si>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</si>
  <si>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</si>
  <si>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</si>
  <si>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</si>
  <si>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</si>
  <si>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</si>
  <si>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</si>
  <si>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</si>
  <si>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</si>
  <si>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</si>
  <si>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</si>
  <si>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</si>
  <si>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</si>
  <si>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</si>
  <si>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</si>
  <si>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</si>
  <si>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</si>
  <si>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</si>
  <si>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</si>
  <si>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</si>
  <si>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</si>
  <si>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</si>
  <si>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</si>
  <si>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</si>
  <si>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</si>
  <si>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</si>
  <si>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</si>
  <si>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</si>
  <si>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</si>
  <si>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</si>
  <si>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</si>
  <si>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</si>
  <si>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</si>
  <si>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</si>
  <si>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</si>
  <si>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</si>
  <si>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</si>
  <si>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</si>
  <si>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</si>
  <si>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</si>
  <si>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</si>
  <si>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</si>
  <si>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</si>
  <si>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</si>
  <si>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</si>
  <si>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</si>
  <si>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</si>
  <si>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</si>
  <si>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</si>
  <si>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</si>
  <si>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</si>
  <si>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</si>
  <si>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</si>
  <si>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</si>
  <si>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</si>
  <si>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</si>
  <si>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</si>
  <si>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</si>
  <si>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</si>
  <si>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</si>
  <si>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</si>
  <si>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</si>
  <si>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</si>
  <si>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</si>
  <si>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</si>
  <si>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</si>
  <si>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</si>
  <si>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</si>
  <si>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</si>
  <si>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</si>
  <si>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</si>
  <si>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</si>
  <si>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</si>
  <si>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</si>
  <si>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</si>
  <si>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</si>
  <si>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</si>
  <si>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</si>
  <si>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</si>
  <si>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</si>
  <si>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</si>
  <si>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</si>
  <si>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</si>
  <si>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</si>
  <si>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</si>
  <si>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</si>
  <si>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</si>
  <si>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</si>
  <si>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</si>
  <si>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</si>
  <si>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</si>
  <si>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</si>
  <si>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</si>
  <si>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</si>
  <si>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</si>
  <si>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</si>
  <si>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</si>
  <si>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</si>
  <si>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</si>
  <si>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</si>
  <si>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</si>
  <si>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</si>
  <si>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</si>
  <si>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</si>
  <si>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</si>
  <si>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</si>
  <si>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</si>
  <si>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</si>
  <si>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</si>
  <si>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</si>
  <si>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</si>
  <si>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</si>
  <si>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</si>
  <si>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</si>
  <si>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</si>
  <si>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</si>
  <si>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</si>
  <si>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</si>
  <si>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</si>
  <si>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</si>
  <si>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</si>
  <si>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</si>
  <si>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</si>
  <si>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</si>
  <si>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</si>
  <si>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</si>
  <si>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</si>
  <si>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</si>
  <si>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</si>
  <si>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</si>
  <si>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</si>
  <si>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</si>
  <si>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</si>
  <si>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</si>
  <si>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</si>
  <si>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</si>
  <si>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</si>
  <si>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</si>
  <si>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</si>
  <si>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</si>
  <si>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</si>
  <si>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</si>
  <si>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</si>
  <si>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</si>
  <si>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</si>
  <si>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</si>
  <si>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</si>
  <si>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</si>
  <si>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</si>
  <si>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</si>
  <si>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</si>
  <si>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</si>
  <si>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</si>
  <si>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</si>
  <si>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</si>
  <si>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</si>
  <si>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</si>
  <si>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</si>
  <si>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</si>
  <si>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</si>
  <si>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</si>
  <si>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</si>
  <si>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</si>
  <si>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</si>
  <si>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</si>
  <si>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</si>
  <si>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</si>
  <si>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</si>
  <si>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</si>
  <si>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</si>
  <si>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</si>
  <si>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</si>
  <si>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</si>
  <si>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</si>
  <si>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</si>
  <si>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</si>
  <si>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</si>
  <si>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</si>
  <si>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</si>
  <si>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</si>
  <si>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</si>
  <si>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</si>
  <si>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</si>
  <si>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</si>
  <si>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</si>
  <si>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</si>
  <si>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</si>
  <si>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</si>
  <si>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</si>
  <si>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</si>
  <si>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</si>
  <si>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</si>
  <si>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</si>
  <si>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</si>
  <si>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</si>
  <si>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</si>
  <si>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</si>
  <si>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</si>
  <si>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</si>
  <si>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</si>
  <si>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</si>
  <si>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</si>
  <si>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</si>
  <si>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</si>
  <si>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</si>
  <si>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</si>
  <si>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</si>
  <si>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</si>
  <si>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</si>
  <si>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</si>
  <si>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</si>
  <si>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</si>
  <si>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</si>
  <si>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</si>
  <si>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</si>
  <si>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</si>
  <si>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</si>
  <si>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</si>
  <si>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</si>
  <si>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</si>
  <si>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</si>
  <si>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</si>
  <si>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</si>
  <si>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</si>
  <si>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</si>
  <si>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</si>
  <si>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</si>
  <si>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</si>
  <si>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</si>
  <si>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</si>
  <si>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</si>
  <si>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</si>
  <si>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</si>
  <si>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</si>
  <si>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</si>
  <si>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</si>
  <si>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</si>
  <si>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</si>
  <si>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</si>
  <si>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</si>
  <si>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</si>
  <si>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</si>
  <si>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</si>
  <si>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</si>
  <si>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</si>
  <si>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</si>
  <si>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</si>
  <si>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</si>
  <si>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</si>
  <si>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</si>
  <si>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</si>
  <si>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</si>
  <si>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</si>
  <si>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</si>
  <si>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</si>
  <si>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</si>
  <si>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</si>
  <si>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</si>
  <si>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</si>
  <si>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</si>
  <si>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</si>
  <si>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</si>
  <si>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</si>
  <si>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</si>
  <si>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</si>
  <si>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</si>
  <si>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</si>
  <si>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</si>
  <si>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</si>
  <si>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</si>
  <si>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</si>
  <si>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</si>
  <si>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</si>
  <si>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</si>
  <si>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</si>
  <si>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</si>
  <si>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</si>
  <si>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</si>
  <si>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</si>
  <si>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</si>
  <si>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</si>
  <si>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</si>
  <si>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</si>
  <si>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</si>
  <si>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</si>
  <si>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</si>
  <si>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</si>
  <si>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</si>
  <si>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</si>
  <si>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</si>
  <si>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</si>
  <si>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</si>
  <si>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</si>
  <si>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</si>
  <si>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</si>
  <si>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</si>
  <si>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</si>
  <si>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</si>
  <si>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</si>
  <si>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</si>
  <si>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</si>
  <si>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</si>
  <si>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</si>
  <si>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</si>
  <si>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</si>
  <si>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</si>
  <si>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</si>
  <si>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</si>
  <si>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</si>
  <si>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</si>
  <si>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</si>
  <si>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</si>
  <si>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</si>
  <si>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</si>
  <si>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</si>
  <si>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</si>
  <si>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</si>
  <si>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</si>
  <si>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</si>
  <si>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</si>
  <si>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</si>
  <si>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</si>
  <si>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</si>
  <si>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</si>
  <si>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</si>
  <si>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</si>
  <si>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</si>
  <si>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</si>
  <si>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</si>
  <si>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</si>
  <si>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</si>
  <si>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</si>
  <si>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</si>
  <si>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</si>
  <si>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</si>
  <si>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</si>
  <si>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</si>
  <si>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</si>
  <si>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</si>
  <si>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</si>
  <si>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</si>
  <si>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</si>
  <si>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</si>
  <si>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</si>
  <si>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</si>
  <si>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</si>
  <si>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</si>
  <si>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</si>
  <si>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</si>
  <si>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</si>
  <si>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</si>
  <si>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</si>
  <si>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</si>
  <si>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</si>
  <si>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</si>
  <si>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</si>
  <si>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</si>
  <si>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</si>
  <si>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</si>
  <si>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</si>
  <si>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</si>
  <si>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</si>
  <si>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</si>
  <si>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</si>
  <si>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</si>
  <si>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</si>
  <si>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</si>
  <si>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</si>
  <si>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</si>
  <si>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</si>
  <si>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</si>
  <si>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</si>
  <si>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</si>
  <si>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</si>
  <si>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</si>
  <si>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</si>
  <si>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</si>
  <si>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</si>
  <si>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</si>
  <si>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</si>
  <si>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</si>
  <si>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</si>
  <si>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</si>
  <si>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</si>
  <si>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</si>
  <si>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</si>
  <si>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</si>
  <si>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</si>
  <si>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</si>
  <si>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</si>
  <si>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</si>
  <si>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</si>
  <si>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</si>
  <si>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</si>
  <si>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</si>
  <si>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</si>
  <si>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</si>
  <si>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</si>
  <si>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</si>
  <si>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</si>
  <si>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</si>
  <si>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</si>
  <si>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</si>
  <si>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</si>
  <si>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</si>
  <si>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</si>
  <si>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</si>
  <si>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</si>
  <si>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</si>
  <si>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</si>
  <si>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</si>
  <si>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</si>
  <si>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</si>
  <si>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</si>
  <si>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</si>
  <si>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</si>
  <si>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</si>
  <si>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</si>
  <si>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</si>
  <si>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</si>
  <si>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</si>
  <si>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</si>
  <si>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</si>
  <si>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</si>
  <si>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</si>
  <si>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</si>
  <si>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</si>
  <si>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</si>
  <si>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</si>
  <si>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</si>
  <si>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</si>
  <si>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</si>
  <si>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</si>
  <si>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</si>
  <si>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</si>
  <si>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</si>
  <si>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</si>
  <si>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</si>
  <si>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</si>
  <si>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</si>
  <si>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</si>
  <si>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</si>
  <si>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</si>
  <si>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</si>
  <si>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</si>
  <si>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</si>
  <si>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</si>
  <si>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</si>
  <si>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</si>
  <si>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</si>
  <si>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</si>
  <si>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</si>
  <si>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</si>
  <si>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</si>
  <si>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</si>
  <si>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</si>
  <si>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</si>
  <si>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</si>
  <si>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</si>
  <si>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</si>
  <si>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</si>
  <si>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</si>
  <si>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</si>
  <si>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</si>
  <si>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</si>
  <si>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</si>
  <si>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</si>
  <si>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</si>
  <si>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</si>
  <si>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</si>
  <si>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</si>
  <si>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</si>
  <si>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</si>
  <si>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</si>
  <si>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</si>
  <si>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</si>
  <si>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</si>
  <si>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</si>
  <si>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</si>
  <si>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</si>
  <si>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</si>
  <si>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</si>
  <si>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</si>
  <si>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</si>
  <si>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</si>
  <si>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</si>
  <si>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</si>
  <si>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</si>
  <si>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</si>
  <si>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</si>
  <si>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</si>
  <si>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</si>
  <si>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</si>
  <si>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</si>
  <si>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</si>
  <si>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</si>
  <si>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</si>
  <si>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</si>
  <si>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</si>
  <si>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</si>
  <si>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</si>
  <si>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</si>
  <si>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</si>
  <si>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</si>
  <si>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</si>
  <si>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</si>
  <si>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</si>
  <si>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</si>
  <si>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</si>
  <si>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</si>
  <si>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</si>
  <si>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</si>
  <si>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</si>
  <si>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</si>
  <si>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</si>
  <si>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</si>
  <si>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</si>
  <si>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</si>
  <si>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</si>
  <si>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</si>
  <si>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</si>
  <si>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</si>
  <si>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</si>
  <si>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</si>
  <si>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</si>
  <si>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</si>
  <si>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</si>
  <si>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</si>
  <si>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</si>
  <si>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</si>
  <si>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</si>
  <si>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</si>
  <si>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</si>
  <si>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</si>
  <si>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</si>
  <si>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</si>
  <si>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</si>
  <si>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</si>
  <si>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</si>
  <si>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</si>
  <si>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</si>
  <si>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</si>
  <si>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</si>
  <si>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</si>
  <si>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</si>
  <si>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</si>
  <si>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</si>
  <si>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</si>
  <si>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</si>
  <si>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</si>
  <si>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</si>
  <si>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</si>
  <si>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</si>
  <si>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</si>
  <si>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</si>
  <si>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</si>
  <si>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</si>
  <si>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</si>
  <si>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</si>
  <si>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</si>
  <si>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</si>
  <si>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</si>
  <si>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</si>
  <si>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</si>
  <si>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</si>
  <si>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</si>
  <si>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</si>
  <si>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</si>
  <si>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</si>
  <si>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</si>
  <si>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</si>
  <si>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</si>
  <si>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</si>
  <si>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</si>
  <si>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</si>
  <si>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</si>
  <si>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</si>
  <si>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</si>
  <si>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</si>
  <si>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</si>
  <si>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</si>
  <si>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</si>
  <si>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</si>
  <si>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</si>
  <si>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</si>
  <si>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</si>
  <si>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</si>
  <si>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</si>
  <si>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</si>
  <si>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</si>
  <si>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</si>
  <si>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</si>
  <si>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</si>
  <si>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</si>
  <si>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</si>
  <si>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</si>
  <si>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</si>
  <si>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</si>
  <si>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</si>
  <si>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</si>
  <si>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</si>
  <si>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</si>
  <si>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</si>
  <si>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</si>
  <si>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</si>
  <si>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</si>
  <si>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</si>
  <si>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</si>
  <si>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</si>
  <si>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</si>
  <si>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</si>
  <si>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</si>
  <si>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</si>
  <si>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</si>
  <si>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</si>
  <si>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</si>
  <si>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</si>
  <si>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</si>
  <si>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</si>
  <si>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</si>
  <si>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</si>
  <si>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</si>
  <si>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</si>
  <si>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</si>
  <si>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</si>
  <si>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</si>
  <si>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</si>
  <si>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</si>
  <si>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</si>
  <si>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</si>
  <si>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</si>
  <si>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</si>
  <si>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</si>
  <si>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</si>
  <si>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</si>
  <si>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</si>
  <si>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</si>
  <si>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</si>
  <si>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</si>
  <si>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</si>
  <si>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</si>
  <si>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</si>
  <si>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</si>
  <si>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</si>
  <si>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</si>
  <si>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</si>
  <si>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</si>
  <si>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</si>
  <si>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</si>
  <si>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</si>
  <si>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</si>
  <si>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</si>
  <si>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</si>
  <si>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</si>
  <si>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</si>
  <si>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</si>
  <si>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</si>
  <si>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</si>
  <si>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</si>
  <si>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</si>
  <si>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</si>
  <si>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</si>
  <si>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</si>
  <si>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</si>
  <si>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</si>
  <si>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</si>
  <si>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</si>
  <si>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</si>
  <si>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</si>
  <si>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</si>
  <si>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</si>
  <si>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</si>
  <si>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</si>
  <si>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</si>
  <si>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</si>
  <si>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</si>
  <si>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</si>
  <si>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</si>
  <si>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</si>
  <si>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</si>
  <si>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</si>
  <si>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</si>
  <si>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</si>
  <si>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</si>
  <si>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</si>
  <si>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</si>
  <si>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</si>
  <si>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</si>
  <si>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</si>
  <si>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</si>
  <si>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</si>
  <si>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</si>
  <si>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</si>
  <si>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</si>
  <si>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</si>
  <si>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</si>
  <si>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</si>
  <si>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</si>
  <si>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</si>
  <si>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</si>
  <si>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</si>
  <si>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</si>
  <si>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</si>
  <si>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</si>
  <si>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</si>
  <si>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</si>
  <si>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</si>
  <si>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</si>
  <si>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</si>
  <si>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</si>
  <si>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</si>
  <si>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</si>
  <si>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</si>
  <si>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</si>
  <si>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</si>
  <si>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</si>
  <si>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</si>
  <si>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</si>
  <si>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</si>
  <si>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</si>
  <si>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</si>
  <si>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</si>
  <si>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</si>
  <si>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</si>
  <si>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</si>
  <si>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</si>
  <si>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</si>
  <si>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</si>
  <si>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</si>
  <si>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</si>
  <si>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</si>
  <si>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</si>
  <si>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</si>
  <si>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</si>
  <si>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</si>
  <si>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</si>
  <si>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</si>
  <si>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</si>
  <si>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</si>
  <si>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</si>
  <si>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</si>
  <si>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</si>
  <si>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</si>
  <si>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</si>
  <si>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</si>
  <si>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</si>
  <si>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</si>
  <si>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</si>
  <si>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</si>
  <si>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</si>
  <si>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</si>
  <si>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</si>
  <si>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</si>
  <si>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</si>
  <si>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</si>
  <si>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</si>
  <si>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</si>
  <si>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</si>
  <si>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</si>
  <si>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</si>
  <si>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</si>
  <si>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</si>
  <si>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</si>
  <si>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</si>
  <si>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</si>
  <si>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</si>
  <si>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</si>
  <si>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</si>
  <si>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</si>
  <si>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</si>
  <si>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</si>
  <si>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</si>
  <si>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</si>
  <si>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</si>
  <si>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</si>
  <si>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</si>
  <si>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</si>
  <si>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</si>
  <si>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</si>
  <si>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</si>
  <si>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</si>
  <si>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</si>
  <si>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</si>
  <si>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</si>
  <si>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</si>
  <si>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</si>
  <si>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</si>
  <si>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</si>
  <si>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</si>
  <si>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</si>
  <si>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</si>
  <si>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</si>
  <si>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</si>
  <si>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</si>
  <si>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</si>
  <si>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</si>
  <si>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</si>
  <si>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</si>
  <si>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</si>
  <si>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</si>
  <si>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</si>
  <si>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</si>
  <si>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</si>
  <si>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</si>
  <si>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</si>
  <si>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</si>
  <si>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</si>
  <si>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</si>
  <si>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</si>
  <si>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</si>
  <si>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</si>
  <si>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</si>
  <si>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</si>
  <si>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</si>
  <si>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</si>
  <si>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</si>
  <si>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</si>
  <si>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</si>
  <si>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</si>
  <si>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</si>
  <si>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</si>
  <si>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</si>
  <si>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</si>
  <si>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</si>
  <si>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</si>
  <si>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</si>
  <si>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</si>
  <si>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</si>
  <si>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</si>
  <si>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</si>
  <si>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</si>
  <si>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</si>
  <si>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</si>
  <si>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</si>
  <si>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</si>
  <si>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</si>
  <si>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</si>
  <si>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</si>
  <si>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</si>
  <si>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</si>
  <si>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</si>
  <si>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</si>
  <si>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</si>
  <si>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</si>
  <si>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</si>
  <si>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</si>
  <si>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</si>
  <si>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</si>
  <si>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</si>
  <si>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</si>
  <si>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</si>
  <si>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</si>
  <si>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</si>
  <si>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</si>
  <si>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</si>
  <si>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</si>
  <si>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</si>
  <si>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</si>
  <si>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</si>
  <si>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</si>
  <si>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</si>
  <si>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</si>
  <si>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</si>
  <si>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</si>
  <si>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</si>
  <si>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</si>
  <si>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</si>
  <si>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</si>
  <si>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</si>
  <si>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</si>
  <si>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</si>
  <si>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</si>
  <si>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</si>
  <si>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</si>
  <si>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</si>
  <si>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</si>
  <si>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</si>
  <si>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</si>
  <si>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</si>
  <si>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</si>
  <si>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</si>
  <si>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</si>
  <si>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</si>
  <si>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</si>
  <si>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</si>
  <si>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</si>
  <si>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</si>
  <si>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</si>
  <si>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</si>
  <si>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</si>
  <si>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</si>
  <si>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</si>
  <si>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</si>
  <si>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</si>
  <si>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</si>
  <si>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</si>
  <si>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</si>
  <si>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</si>
  <si>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</si>
  <si>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</si>
  <si>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</si>
  <si>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</si>
  <si>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</si>
  <si>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</si>
  <si>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</si>
  <si>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</si>
  <si>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</si>
  <si>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</si>
  <si>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</si>
  <si>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</si>
  <si>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</si>
  <si>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</si>
  <si>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</si>
  <si>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</si>
  <si>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</si>
  <si>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</si>
  <si>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</si>
  <si>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</si>
  <si>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</si>
  <si>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</si>
  <si>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</si>
  <si>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</si>
  <si>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</si>
  <si>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</si>
  <si>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</si>
  <si>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</si>
  <si>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</si>
  <si>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</si>
  <si>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</si>
  <si>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</si>
  <si>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</si>
  <si>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</si>
  <si>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</si>
  <si>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</si>
  <si>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</si>
  <si>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</si>
  <si>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</si>
  <si>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</si>
  <si>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</si>
  <si>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</si>
  <si>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</si>
  <si>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</si>
  <si>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</si>
  <si>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</si>
  <si>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</si>
  <si>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</si>
  <si>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</si>
  <si>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</si>
  <si>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</si>
  <si>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</si>
  <si>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</si>
  <si>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</si>
  <si>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</si>
  <si>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</si>
  <si>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</si>
  <si>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</si>
  <si>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</si>
  <si>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</si>
  <si>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</si>
  <si>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</si>
  <si>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</si>
  <si>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</si>
  <si>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</si>
  <si>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</si>
  <si>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</si>
  <si>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</si>
  <si>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</si>
  <si>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</si>
  <si>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</si>
  <si>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</si>
  <si>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</si>
  <si>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</si>
  <si>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</si>
  <si>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</si>
  <si>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</si>
  <si>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</si>
  <si>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</si>
  <si>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</si>
  <si>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</si>
  <si>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</si>
  <si>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</si>
  <si>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</si>
  <si>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</si>
  <si>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</si>
  <si>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</si>
  <si>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</si>
  <si>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</si>
  <si>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</si>
  <si>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</si>
  <si>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</si>
  <si>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</si>
  <si>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</si>
  <si>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</si>
  <si>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</si>
  <si>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</si>
  <si>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</si>
  <si>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</si>
  <si>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</si>
  <si>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</si>
  <si>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</si>
  <si>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</si>
  <si>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</si>
  <si>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</si>
  <si>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</si>
  <si>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</si>
  <si>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</si>
  <si>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</si>
  <si>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</si>
  <si>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</si>
  <si>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</si>
  <si>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</si>
  <si>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</si>
  <si>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</si>
  <si>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</si>
  <si>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</si>
  <si>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</si>
  <si>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</si>
  <si>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</si>
  <si>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</si>
  <si>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</si>
  <si>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</si>
  <si>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</si>
  <si>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</si>
  <si>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</si>
  <si>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</si>
  <si>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</si>
  <si>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</si>
  <si>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</si>
  <si>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</si>
  <si>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</si>
  <si>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</si>
  <si>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</si>
  <si>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</si>
  <si>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</si>
  <si>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</si>
  <si>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</si>
  <si>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</si>
  <si>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</si>
  <si>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</si>
  <si>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</si>
  <si>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</si>
  <si>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</si>
  <si>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</si>
  <si>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</si>
  <si>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</si>
  <si>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</si>
  <si>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</si>
  <si>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</si>
  <si>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</si>
  <si>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</si>
  <si>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</si>
  <si>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</si>
  <si>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</si>
  <si>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</si>
  <si>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</si>
  <si>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</si>
  <si>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</si>
  <si>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</si>
  <si>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</si>
  <si>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</si>
  <si>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</si>
  <si>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</si>
  <si>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</si>
  <si>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</si>
  <si>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</si>
  <si>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</si>
  <si>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</si>
  <si>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</si>
  <si>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</si>
  <si>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</si>
  <si>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</si>
  <si>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</si>
  <si>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</si>
  <si>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</si>
  <si>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</si>
  <si>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</si>
  <si>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</si>
  <si>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</si>
  <si>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</si>
  <si>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</si>
  <si>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</si>
  <si>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</si>
  <si>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</si>
  <si>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</si>
  <si>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</si>
  <si>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</si>
  <si>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</si>
  <si>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</si>
  <si>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</si>
  <si>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</si>
  <si>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</si>
  <si>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</si>
  <si>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</si>
  <si>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</si>
  <si>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</si>
  <si>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</si>
  <si>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</si>
  <si>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</si>
  <si>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</si>
  <si>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</si>
  <si>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</si>
  <si>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</si>
  <si>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</si>
  <si>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</si>
  <si>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</si>
  <si>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</si>
  <si>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</si>
  <si>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</si>
  <si>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</si>
  <si>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</si>
  <si>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</si>
  <si>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</si>
  <si>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</si>
  <si>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</si>
  <si>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</si>
  <si>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</si>
  <si>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</si>
  <si>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</si>
  <si>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</si>
  <si>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</si>
  <si>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</si>
  <si>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</si>
  <si>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</si>
  <si>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</si>
  <si>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</si>
  <si>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</si>
  <si>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</si>
  <si>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</si>
  <si>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</si>
  <si>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</si>
  <si>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</si>
  <si>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</si>
  <si>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</si>
  <si>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</si>
  <si>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</si>
  <si>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</si>
  <si>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</si>
  <si>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</si>
  <si>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</si>
  <si>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</si>
  <si>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</si>
  <si>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</si>
  <si>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</si>
  <si>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</si>
  <si>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</si>
  <si>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</si>
  <si>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</si>
  <si>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</si>
  <si>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</si>
  <si>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</si>
  <si>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</si>
  <si>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</si>
  <si>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</si>
  <si>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</si>
  <si>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</si>
  <si>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</si>
  <si>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</si>
  <si>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</si>
  <si>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</si>
  <si>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</si>
  <si>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</si>
  <si>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</si>
  <si>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</si>
  <si>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</si>
  <si>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</si>
  <si>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</si>
  <si>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</si>
  <si>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</si>
  <si>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</si>
  <si>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</si>
  <si>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</si>
  <si>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</si>
  <si>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</si>
  <si>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</si>
  <si>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</si>
  <si>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</si>
  <si>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</si>
  <si>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</si>
  <si>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</si>
  <si>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</si>
  <si>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</si>
  <si>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</si>
  <si>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</si>
  <si>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</si>
  <si>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</si>
  <si>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</si>
  <si>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</si>
  <si>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</si>
  <si>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</si>
  <si>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</si>
  <si>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</si>
  <si>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</si>
  <si>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</si>
  <si>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</si>
  <si>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</si>
  <si>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</si>
  <si>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</si>
  <si>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</si>
  <si>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</si>
  <si>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</si>
  <si>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</si>
  <si>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</si>
  <si>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</si>
  <si>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</si>
  <si>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</si>
  <si>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</si>
  <si>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</si>
  <si>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</si>
  <si>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</si>
  <si>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</si>
  <si>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</si>
  <si>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</si>
  <si>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</si>
  <si>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</si>
  <si>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</si>
  <si>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</si>
  <si>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</si>
  <si>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</si>
  <si>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</si>
  <si>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</si>
  <si>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</si>
  <si>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</si>
  <si>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</si>
  <si>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</si>
  <si>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</si>
  <si>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</si>
  <si>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</si>
  <si>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</si>
  <si>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</si>
  <si>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</si>
  <si>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</si>
  <si>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</si>
  <si>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</si>
  <si>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</si>
  <si>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</si>
  <si>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</si>
  <si>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</si>
  <si>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</si>
  <si>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</si>
  <si>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</si>
  <si>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</si>
  <si>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</si>
  <si>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</si>
  <si>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</si>
  <si>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</si>
  <si>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</si>
  <si>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</si>
  <si>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</si>
  <si>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</si>
  <si>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</si>
  <si>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</si>
  <si>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</si>
  <si>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</si>
  <si>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</si>
  <si>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</si>
  <si>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</si>
  <si>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</si>
  <si>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</si>
  <si>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</si>
  <si>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</si>
  <si>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</si>
  <si>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</si>
  <si>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</si>
  <si>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</si>
  <si>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</si>
  <si>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</si>
  <si>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</si>
  <si>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</si>
  <si>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</si>
  <si>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</si>
  <si>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</si>
  <si>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</si>
  <si>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</si>
  <si>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</si>
  <si>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</si>
  <si>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</si>
  <si>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</si>
  <si>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</si>
  <si>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</si>
  <si>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</si>
  <si>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</si>
  <si>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</si>
  <si>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</si>
  <si>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</si>
  <si>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</si>
  <si>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</si>
  <si>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</si>
  <si>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</si>
  <si>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</si>
  <si>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</si>
  <si>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</si>
  <si>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</si>
  <si>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</si>
  <si>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</si>
  <si>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</si>
  <si>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</si>
  <si>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</si>
  <si>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</si>
  <si>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</si>
  <si>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</si>
  <si>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</si>
  <si>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</si>
  <si>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</si>
  <si>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</si>
  <si>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</si>
  <si>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</si>
  <si>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</si>
  <si>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</si>
  <si>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</si>
  <si>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</si>
  <si>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</si>
  <si>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</si>
  <si>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</si>
  <si>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</si>
  <si>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</si>
  <si>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</si>
  <si>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</si>
  <si>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</si>
  <si>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</si>
  <si>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</si>
  <si>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</si>
  <si>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</si>
  <si>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</si>
  <si>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</si>
  <si>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</si>
  <si>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</si>
  <si>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</si>
  <si>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</si>
  <si>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</si>
  <si>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</si>
  <si>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</si>
  <si>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</si>
  <si>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</si>
  <si>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</si>
  <si>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</si>
  <si>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</si>
  <si>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</si>
  <si>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</si>
  <si>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</si>
  <si>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</si>
  <si>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</si>
  <si>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</si>
  <si>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</si>
  <si>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</si>
  <si>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</si>
  <si>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</si>
  <si>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</si>
  <si>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</si>
  <si>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</si>
  <si>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</si>
  <si>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</si>
  <si>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</si>
  <si>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</si>
  <si>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</si>
  <si>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</si>
  <si>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</si>
  <si>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</si>
  <si>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</si>
  <si>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</si>
  <si>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</si>
  <si>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</si>
  <si>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</si>
  <si>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</si>
  <si>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</si>
  <si>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</si>
  <si>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</si>
  <si>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</si>
  <si>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</si>
  <si>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</si>
  <si>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</si>
  <si>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</si>
  <si>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</si>
  <si>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</si>
  <si>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</si>
  <si>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</si>
  <si>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</si>
  <si>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Espaglass</t>
  </si>
  <si>
    <t>Nadia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</si>
</sst>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6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5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G16" activeCellId="2" sqref="G13 G14 G16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7" t="s">
        <v>1</v>
      </c>
      <c r="F3" s="77"/>
      <c r="G3" s="77"/>
      <c r="H3" s="78"/>
      <c r="I3" s="78"/>
      <c r="J3" s="78"/>
      <c r="K3" s="78"/>
      <c r="L3" s="78"/>
    </row>
    <row r="5" spans="1:12" ht="18.75" x14ac:dyDescent="0.25">
      <c r="B5" s="79" t="s">
        <v>2</v>
      </c>
      <c r="C5" s="79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20250100</v>
      </c>
      <c r="G7" s="8">
        <f ca="1">TODAY()</f>
        <v>45784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91</v>
      </c>
      <c r="C13" s="80" t="str">
        <f>IFERROR(VLOOKUP($B13,Tarifa_all_20240711!$A$2:$G$660,2,FALSE()),"-")</f>
        <v>MARCO PA PICAP/COND LAC.NEGRO TEXTURADO</v>
      </c>
      <c r="D13" s="80"/>
      <c r="E13" s="17">
        <v>1</v>
      </c>
      <c r="F13" s="18">
        <f>IFERROR(VLOOKUP($B13,Tarifa_all_20240711!$A$2:$G$660,5,FALSE()),"-")</f>
        <v>242.24250000000001</v>
      </c>
      <c r="G13" s="88">
        <f t="shared" ref="G13:G30" si="0">IFERROR(E13*F13,"-")</f>
        <v>242.24250000000001</v>
      </c>
      <c r="H13" s="1"/>
    </row>
    <row r="14" spans="1:12" x14ac:dyDescent="0.25">
      <c r="A14" t="s">
        <v>1434</v>
      </c>
      <c r="B14" s="16" t="s">
        <v>105</v>
      </c>
      <c r="C14" s="80" t="str">
        <f>IFERROR(VLOOKUP($B14,Tarifa_all_20240711!$A$2:$G$660,2,FALSE()),"-")</f>
        <v>KIT PA PIVOTANTE PICAP/COND LAC.NEGRO TEXTURADO</v>
      </c>
      <c r="D14" s="80"/>
      <c r="E14" s="17">
        <v>1</v>
      </c>
      <c r="F14" s="18">
        <f>IFERROR(VLOOKUP($B14,Tarifa_all_20240711!$A$2:$G$660,5,FALSE()),"-")</f>
        <v>215.65500000000003</v>
      </c>
      <c r="G14" s="88">
        <f t="shared" si="0"/>
        <v>215.65500000000003</v>
      </c>
      <c r="H14" s="1"/>
    </row>
    <row r="15" spans="1:12" x14ac:dyDescent="0.25">
      <c r="A15" t="s">
        <v>1435</v>
      </c>
      <c r="B15" s="16" t="s">
        <v>1079</v>
      </c>
      <c r="C15" s="80" t="str">
        <f>IFERROR(VLOOKUP($B15,Tarifa_all_20240711!$A$2:$G$660,2,FALSE()),"-")</f>
        <v>PA CERRAD+EMB.S/CILINDRO LAC.NEGRO TEXTURADO</v>
      </c>
      <c r="D15" s="80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1436</v>
      </c>
      <c r="B16" s="16" t="s">
        <v>350</v>
      </c>
      <c r="C16" s="80" t="str">
        <f>IFERROR(VLOOKUP($B16,Tarifa_all_20240711!$A$2:$G$660,2,FALSE()),"-")</f>
        <v>MANETA TOULON LAC.NEGRO MATE</v>
      </c>
      <c r="D16" s="80"/>
      <c r="E16" s="17">
        <v>1</v>
      </c>
      <c r="F16" s="18">
        <f>IFERROR(VLOOKUP($B16,Tarifa_all_20240711!$A$2:$G$660,5,FALSE()),"-")</f>
        <v>74.527500000000003</v>
      </c>
      <c r="G16" s="88">
        <f t="shared" si="0"/>
        <v>74.527500000000003</v>
      </c>
      <c r="H16" s="1"/>
    </row>
    <row r="17" spans="1:8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 t="s">
        <v>128</v>
      </c>
      <c r="C18" s="80" t="str">
        <f>IFERROR(VLOOKUP($B18,Tarifa_all_20240711!$A$2:$G$660,2,FALSE()),"-")</f>
        <v>PERFIL EMBELL.HORIZ. ADH LAC.NEGRO TEXTURADO</v>
      </c>
      <c r="D18" s="80"/>
      <c r="E18" s="17">
        <v>2</v>
      </c>
      <c r="F18" s="18">
        <f>IFERROR(VLOOKUP($B18,Tarifa_all_20240711!$A$2:$G$660,5,FALSE()),"-")</f>
        <v>21.794999999999998</v>
      </c>
      <c r="G18" s="88">
        <f t="shared" si="0"/>
        <v>43.589999999999996</v>
      </c>
      <c r="H18" s="1"/>
    </row>
    <row r="19" spans="1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1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1:8" x14ac:dyDescent="0.25">
      <c r="B21" s="16"/>
      <c r="C21" s="80" t="str">
        <f>IFERROR(VLOOKUP($B21,Tarifa_all_20240711!$A$2:$G$660,2,FALSE()),"-")</f>
        <v>-</v>
      </c>
      <c r="D21" s="80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80" t="str">
        <f>IFERROR(VLOOKUP($B22,Tarifa_all_20240711!$A$2:$G$660,2,FALSE()),"-")</f>
        <v>-</v>
      </c>
      <c r="D22" s="80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0" t="str">
        <f>IFERROR(VLOOKUP($B23,Tarifa_all_20240711!$A$2:$G$660,2,FALSE()),"-")</f>
        <v>-</v>
      </c>
      <c r="D23" s="80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0" t="str">
        <f>IFERROR(VLOOKUP($B24,Tarifa_all_20240711!$A$2:$G$660,2,FALSE()),"-")</f>
        <v>-</v>
      </c>
      <c r="D24" s="80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795.30750000000012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81"/>
      <c r="E52" s="81"/>
      <c r="F52" s="81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7" t="s">
        <v>70</v>
      </c>
      <c r="F2" s="77"/>
      <c r="G2" s="77"/>
    </row>
    <row r="3" spans="1:7" ht="18" customHeight="1" x14ac:dyDescent="0.35">
      <c r="E3" s="77" t="s">
        <v>1</v>
      </c>
      <c r="F3" s="77"/>
      <c r="G3" s="77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Espaglass</v>
      </c>
      <c r="C9" s="87"/>
      <c r="D9" s="87"/>
      <c r="F9" s="3" t="s">
        <v>73</v>
      </c>
      <c r="G9" s="44">
        <f ca="1">TODAY()</f>
        <v>45784</v>
      </c>
    </row>
    <row r="10" spans="1:7" x14ac:dyDescent="0.25">
      <c r="A10" s="3" t="s">
        <v>74</v>
      </c>
      <c r="B10" s="11" t="str">
        <f>'DESPIECE (MATANALYSIS)'!C9</f>
        <v>Nadia</v>
      </c>
      <c r="C10" s="45"/>
      <c r="D10" s="45"/>
      <c r="E10" s="46"/>
      <c r="F10" s="47" t="s">
        <v>75</v>
      </c>
      <c r="G10" s="7">
        <f>'DESPIECE (MATANALYSIS)'!C7</f>
        <v>20250100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795.30750000000012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715.77675000000011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715.77675000000011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2025-05-07T16:26:43Z</dcterms:modified>
  <dc:language>es-ES</dc:language>
</cp:coreProperties>
</file>