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08\calculos\1\"/>
    </mc:Choice>
  </mc:AlternateContent>
  <xr:revisionPtr revIDLastSave="0" documentId="13_ncr:1_{1CBF100F-AD4A-42FE-8521-E0FABEC63F66}" xr6:coauthVersionLast="47" xr6:coauthVersionMax="47" xr10:uidLastSave="{00000000-0000-0000-0000-000000000000}"/>
  <bookViews>
    <workbookView xWindow="-289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H30" i="10" l="1"/>
  <c r="H21" i="10"/>
  <c r="G31" i="10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<sst xmlns="http://schemas.openxmlformats.org/spreadsheetml/2006/main" count="5402" uniqueCount="1453">
  <si>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</si>
  <si>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</si>
  <si>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</si>
  <si>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</si>
  <si>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</si>
  <si>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</si>
  <si>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</si>
  <si>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</si>
  <si>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</si>
  <si>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</si>
  <si>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</si>
  <si>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</si>
  <si>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</si>
  <si>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</si>
  <si>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</si>
  <si>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</si>
  <si>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</si>
  <si>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</si>
  <si>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</si>
  <si>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</si>
  <si>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</si>
  <si>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</si>
  <si>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</si>
  <si>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</si>
  <si>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</si>
  <si>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</si>
  <si>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</si>
  <si>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</si>
  <si>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</si>
  <si>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</si>
  <si>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</si>
  <si>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</si>
  <si>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</si>
  <si>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</si>
  <si>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</si>
  <si>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</si>
  <si>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</si>
  <si>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</si>
  <si>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</si>
  <si>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</si>
  <si>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</si>
  <si>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</si>
  <si>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</si>
  <si>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</si>
  <si>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</si>
  <si>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</si>
  <si>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</si>
  <si>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</si>
  <si>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</si>
  <si>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</si>
  <si>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</si>
  <si>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</si>
  <si>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</si>
  <si>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</si>
  <si>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</si>
  <si>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</si>
  <si>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</si>
  <si>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</si>
  <si>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</si>
  <si>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</si>
  <si>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</si>
  <si>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</si>
  <si>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</si>
  <si>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</si>
  <si>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</si>
  <si>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</si>
  <si>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</si>
  <si>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</si>
  <si>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</si>
  <si>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</si>
  <si>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</si>
  <si>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</si>
  <si>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</si>
  <si>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</si>
  <si>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</si>
  <si>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</si>
  <si>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</si>
  <si>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</si>
  <si>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</si>
  <si>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</si>
  <si>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</si>
  <si>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</si>
  <si>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</si>
  <si>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</si>
  <si>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</si>
  <si>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</si>
  <si>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</si>
  <si>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</si>
  <si>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</si>
  <si>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</si>
  <si>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</si>
  <si>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</si>
  <si>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</si>
  <si>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</si>
  <si>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</si>
  <si>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</si>
  <si>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</si>
  <si>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</si>
  <si>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</si>
  <si>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</si>
  <si>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</si>
  <si>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</si>
  <si>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</si>
  <si>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</si>
  <si>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</si>
  <si>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</si>
  <si>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</si>
  <si>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</si>
  <si>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</si>
  <si>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</si>
  <si>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</si>
  <si>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</si>
  <si>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</si>
  <si>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</si>
  <si>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</si>
  <si>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</si>
  <si>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</si>
  <si>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</si>
  <si>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</si>
  <si>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</si>
  <si>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</si>
  <si>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</si>
  <si>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</si>
  <si>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</si>
  <si>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</si>
  <si>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</si>
  <si>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</si>
  <si>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</si>
  <si>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</si>
  <si>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</si>
  <si>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</si>
  <si>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</si>
  <si>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</si>
  <si>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</si>
  <si>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</si>
  <si>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</si>
  <si>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</si>
  <si>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</si>
  <si>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</si>
  <si>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</si>
  <si>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</si>
  <si>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</si>
  <si>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</si>
  <si>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</si>
  <si>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</si>
  <si>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</si>
  <si>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</si>
  <si>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</si>
  <si>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</si>
  <si>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</si>
  <si>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</si>
  <si>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</si>
  <si>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</si>
  <si>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</si>
  <si>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</si>
  <si>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</si>
  <si>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</si>
  <si>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</si>
  <si>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</si>
  <si>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</si>
  <si>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</si>
  <si>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</si>
  <si>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</si>
  <si>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</si>
  <si>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</si>
  <si>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</si>
  <si>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</si>
  <si>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</si>
  <si>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</si>
  <si>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</si>
  <si>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</si>
  <si>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</si>
  <si>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</si>
  <si>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</si>
  <si>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</si>
  <si>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</si>
  <si>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</si>
  <si>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</si>
  <si>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</si>
  <si>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</si>
  <si>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</si>
  <si>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</si>
  <si>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</si>
  <si>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</si>
  <si>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</si>
  <si>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</si>
  <si>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</si>
  <si>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</si>
  <si>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</si>
  <si>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</si>
  <si>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</si>
  <si>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</si>
  <si>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</si>
  <si>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</si>
  <si>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</si>
  <si>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</si>
  <si>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</si>
  <si>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</si>
  <si>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</si>
  <si>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</si>
  <si>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</si>
  <si>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</si>
  <si>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</si>
  <si>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</si>
  <si>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</si>
  <si>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</si>
  <si>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</si>
  <si>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</si>
  <si>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</si>
  <si>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</si>
  <si>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</si>
  <si>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</si>
  <si>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</si>
  <si>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</si>
  <si>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</si>
  <si>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</si>
  <si>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</si>
  <si>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</si>
  <si>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</si>
  <si>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</si>
  <si>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</si>
  <si>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</si>
  <si>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</si>
  <si>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</si>
  <si>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</si>
  <si>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</si>
  <si>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</si>
  <si>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</si>
  <si>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</si>
  <si>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</si>
  <si>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</si>
  <si>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</si>
  <si>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</si>
  <si>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</si>
  <si>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</si>
  <si>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</si>
  <si>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</si>
  <si>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</si>
  <si>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</si>
  <si>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</si>
  <si>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</si>
  <si>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</si>
  <si>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</si>
  <si>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</si>
  <si>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</si>
  <si>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</si>
  <si>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</si>
  <si>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</si>
  <si>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</si>
  <si>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</si>
  <si>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</si>
  <si>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</si>
  <si>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</si>
  <si>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</si>
  <si>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</si>
  <si>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</si>
  <si>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</si>
  <si>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</si>
  <si>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</si>
  <si>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</si>
  <si>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</si>
  <si>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</si>
  <si>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</si>
  <si>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</si>
  <si>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</si>
  <si>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</si>
  <si>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</si>
  <si>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</si>
  <si>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</si>
  <si>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</si>
  <si>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</si>
  <si>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</si>
  <si>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</si>
  <si>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</si>
  <si>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</si>
  <si>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</si>
  <si>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</si>
  <si>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</si>
  <si>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</si>
  <si>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</si>
  <si>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</si>
  <si>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</si>
  <si>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</si>
  <si>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</si>
  <si>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</si>
  <si>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</si>
  <si>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</si>
  <si>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</si>
  <si>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</si>
  <si>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</si>
  <si>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</si>
  <si>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</si>
  <si>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</si>
  <si>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</si>
  <si>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</si>
  <si>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</si>
  <si>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</si>
  <si>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</si>
  <si>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</si>
  <si>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</si>
  <si>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</si>
  <si>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</si>
  <si>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</si>
  <si>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</si>
  <si>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</si>
  <si>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</si>
  <si>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</si>
  <si>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</si>
  <si>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</si>
  <si>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</si>
  <si>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</si>
  <si>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</si>
  <si>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</si>
  <si>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</si>
  <si>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</si>
  <si>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</si>
  <si>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</si>
  <si>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</si>
  <si>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</si>
  <si>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</si>
  <si>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</si>
  <si>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</si>
  <si>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</si>
  <si>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</si>
  <si>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</si>
  <si>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</si>
  <si>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</si>
  <si>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</si>
  <si>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</si>
  <si>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</si>
  <si>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</si>
  <si>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</si>
  <si>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</si>
  <si>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</si>
  <si>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</si>
  <si>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</si>
  <si>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</si>
  <si>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</si>
  <si>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</si>
  <si>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</si>
  <si>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</si>
  <si>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</si>
  <si>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</si>
  <si>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</si>
  <si>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</si>
  <si>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</si>
  <si>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</si>
  <si>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</si>
  <si>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</si>
  <si>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</si>
  <si>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</si>
  <si>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</si>
  <si>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</si>
  <si>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</si>
  <si>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</si>
  <si>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</si>
  <si>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</si>
  <si>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</si>
  <si>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</si>
  <si>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</si>
  <si>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</si>
  <si>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</si>
  <si>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</si>
  <si>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</si>
  <si>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</si>
  <si>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</si>
  <si>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</si>
  <si>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</si>
  <si>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</si>
  <si>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</si>
  <si>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</si>
  <si>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</si>
  <si>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</si>
  <si>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</si>
  <si>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</si>
  <si>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</si>
  <si>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</si>
  <si>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</si>
  <si>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</si>
  <si>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</si>
  <si>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</si>
  <si>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</si>
  <si>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</si>
  <si>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</si>
  <si>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</si>
  <si>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</si>
  <si>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</si>
  <si>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</si>
  <si>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</si>
  <si>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</si>
  <si>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</si>
  <si>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</si>
  <si>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</si>
  <si>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</si>
  <si>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</si>
  <si>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</si>
  <si>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</si>
  <si>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</si>
  <si>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</si>
  <si>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</si>
  <si>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</si>
  <si>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</si>
  <si>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</si>
  <si>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</si>
  <si>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</si>
  <si>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</si>
  <si>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</si>
  <si>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</si>
  <si>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</si>
  <si>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</si>
  <si>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</si>
  <si>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</si>
  <si>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</si>
  <si>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</si>
  <si>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</si>
  <si>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</si>
  <si>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</si>
  <si>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</si>
  <si>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</si>
  <si>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</si>
  <si>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</si>
  <si>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</si>
  <si>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</si>
  <si>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</si>
  <si>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</si>
  <si>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</si>
  <si>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</si>
  <si>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</si>
  <si>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</si>
  <si>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</si>
  <si>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</si>
  <si>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</si>
  <si>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</si>
  <si>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</si>
  <si>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</si>
  <si>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</si>
  <si>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</si>
  <si>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</si>
  <si>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</si>
  <si>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</si>
  <si>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</si>
  <si>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</si>
  <si>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</si>
  <si>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</si>
  <si>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</si>
  <si>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</si>
  <si>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</si>
  <si>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</si>
  <si>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</si>
  <si>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</si>
  <si>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</si>
  <si>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</si>
  <si>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</si>
  <si>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</si>
  <si>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</si>
  <si>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</si>
  <si>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</si>
  <si>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</si>
  <si>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</si>
  <si>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</si>
  <si>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</si>
  <si>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</si>
  <si>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</si>
  <si>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</si>
  <si>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</si>
  <si>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</si>
  <si>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</si>
  <si>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</si>
  <si>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</si>
  <si>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</si>
  <si>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</si>
  <si>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</si>
  <si>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</si>
  <si>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</si>
  <si>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</si>
  <si>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</si>
  <si>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</si>
  <si>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</si>
  <si>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</si>
  <si>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</si>
  <si>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</si>
  <si>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</si>
  <si>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</si>
  <si>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</si>
  <si>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</si>
  <si>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</si>
  <si>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</si>
  <si>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</si>
  <si>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</si>
  <si>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</si>
  <si>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</si>
  <si>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</si>
  <si>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</si>
  <si>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</si>
  <si>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</si>
  <si>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</si>
  <si>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</si>
  <si>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</si>
  <si>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</si>
  <si>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</si>
  <si>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</si>
  <si>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</si>
  <si>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</si>
  <si>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</si>
  <si>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</si>
  <si>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</si>
  <si>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</si>
  <si>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</si>
  <si>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</si>
  <si>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</si>
  <si>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</si>
  <si>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</si>
  <si>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</si>
  <si>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</si>
  <si>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</si>
  <si>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</si>
  <si>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</si>
  <si>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</si>
  <si>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</si>
  <si>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</si>
  <si>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</si>
  <si>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</si>
  <si>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</si>
  <si>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</si>
  <si>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</si>
  <si>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</si>
  <si>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</si>
  <si>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</si>
  <si>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</si>
  <si>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</si>
  <si>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</si>
  <si>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</si>
  <si>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</si>
  <si>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</si>
  <si>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</si>
  <si>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</si>
  <si>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</si>
  <si>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</si>
  <si>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</si>
  <si>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</si>
  <si>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</si>
  <si>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</si>
  <si>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</si>
  <si>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</si>
  <si>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</si>
  <si>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</si>
  <si>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</si>
  <si>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</si>
  <si>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</si>
  <si>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</si>
  <si>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</si>
  <si>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</si>
  <si>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</si>
  <si>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</si>
  <si>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</si>
  <si>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</si>
  <si>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</si>
  <si>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</si>
  <si>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</si>
  <si>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</si>
  <si>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</si>
  <si>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</si>
  <si>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</si>
  <si>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</si>
  <si>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</si>
  <si>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</si>
  <si>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</si>
  <si>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</si>
  <si>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</si>
  <si>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</si>
  <si>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</si>
  <si>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</si>
  <si>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</si>
  <si>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</si>
  <si>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</si>
  <si>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</si>
  <si>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</si>
  <si>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</si>
  <si>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</si>
  <si>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</si>
  <si>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</si>
  <si>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</si>
  <si>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</si>
  <si>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</si>
  <si>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</si>
  <si>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</si>
  <si>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</si>
  <si>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</si>
  <si>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</si>
  <si>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</si>
  <si>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</si>
  <si>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</si>
  <si>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</si>
  <si>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</si>
  <si>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</si>
  <si>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</si>
  <si>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</si>
  <si>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</si>
  <si>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</si>
  <si>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</si>
  <si>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</si>
  <si>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</si>
  <si>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</si>
  <si>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</si>
  <si>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</si>
  <si>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</si>
  <si>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</si>
  <si>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</si>
  <si>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</si>
  <si>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</si>
  <si>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</si>
  <si>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</si>
  <si>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</si>
  <si>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</si>
  <si>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</si>
  <si>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</si>
  <si>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</si>
  <si>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</si>
  <si>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</si>
  <si>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</si>
  <si>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</si>
  <si>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</si>
  <si>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</si>
  <si>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</si>
  <si>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</si>
  <si>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</si>
  <si>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</si>
  <si>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</si>
  <si>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</si>
  <si>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</si>
  <si>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</si>
  <si>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</si>
  <si>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</si>
  <si>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</si>
  <si>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</si>
  <si>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</si>
  <si>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</si>
  <si>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</si>
  <si>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</si>
  <si>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</si>
  <si>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</si>
  <si>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</si>
  <si>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</si>
  <si>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</si>
  <si>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</si>
  <si>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</si>
  <si>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</si>
  <si>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</si>
  <si>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</si>
  <si>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</si>
  <si>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</si>
  <si>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</si>
  <si>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</si>
  <si>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</si>
  <si>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</si>
  <si>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</si>
  <si>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</si>
  <si>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</si>
  <si>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</si>
  <si>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</si>
  <si>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</si>
  <si>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</si>
  <si>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</si>
  <si>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</si>
  <si>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</si>
  <si>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</si>
  <si>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</si>
  <si>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</si>
  <si>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</si>
  <si>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</si>
  <si>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</si>
  <si>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</si>
  <si>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</si>
  <si>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</si>
  <si>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</si>
  <si>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</si>
  <si>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</si>
  <si>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</si>
  <si>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</si>
  <si>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</si>
  <si>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</si>
  <si>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</si>
  <si>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</si>
  <si>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</si>
  <si>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</si>
  <si>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</si>
  <si>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</si>
  <si>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</si>
  <si>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</si>
  <si>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</si>
  <si>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</si>
  <si>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</si>
  <si>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</si>
  <si>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</si>
  <si>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</si>
  <si>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</si>
  <si>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</si>
  <si>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</si>
  <si>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</si>
  <si>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</si>
  <si>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</si>
  <si>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</si>
  <si>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</si>
  <si>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</si>
  <si>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</si>
  <si>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</si>
  <si>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</si>
  <si>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</si>
  <si>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</si>
  <si>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</si>
  <si>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</si>
  <si>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</si>
  <si>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</si>
  <si>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</si>
  <si>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</si>
  <si>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</si>
  <si>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</si>
  <si>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</si>
  <si>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</si>
  <si>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</si>
  <si>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</si>
  <si>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</si>
  <si>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</si>
  <si>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</si>
  <si>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</si>
  <si>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</si>
  <si>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</si>
  <si>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</si>
  <si>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</si>
  <si>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</si>
  <si>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</si>
  <si>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</si>
  <si>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</si>
  <si>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</si>
  <si>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</si>
  <si>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</si>
  <si>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</si>
  <si>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</si>
  <si>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</si>
  <si>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</si>
  <si>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</si>
  <si>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</si>
  <si>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</si>
  <si>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</si>
  <si>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</si>
  <si>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</si>
  <si>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</si>
  <si>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</si>
  <si>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</si>
  <si>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</si>
  <si>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</si>
  <si>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</si>
  <si>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</si>
  <si>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</si>
  <si>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</si>
  <si>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</si>
  <si>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</si>
  <si>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</si>
  <si>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</si>
  <si>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</si>
  <si>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</si>
  <si>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</si>
  <si>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</si>
  <si>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</si>
  <si>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</si>
  <si>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</si>
  <si>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</si>
  <si>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</si>
  <si>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</si>
  <si>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</si>
  <si>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</si>
  <si>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</si>
  <si>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</si>
  <si>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</si>
  <si>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</si>
  <si>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</si>
  <si>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</si>
  <si>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</si>
  <si>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</si>
  <si>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</si>
  <si>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</si>
  <si>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</si>
  <si>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</si>
  <si>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</si>
  <si>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</si>
  <si>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</si>
  <si>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</si>
  <si>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</si>
  <si>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</si>
  <si>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</si>
  <si>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</si>
  <si>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</si>
  <si>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</si>
  <si>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</si>
  <si>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</si>
  <si>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</si>
  <si>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</si>
  <si>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</si>
  <si>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</si>
  <si>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</si>
  <si>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</si>
  <si>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</si>
  <si>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</si>
  <si>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</si>
  <si>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</si>
  <si>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</si>
  <si>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</si>
  <si>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</si>
  <si>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</si>
  <si>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</si>
  <si>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</si>
  <si>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</si>
  <si>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</si>
  <si>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</si>
  <si>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</si>
  <si>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</si>
  <si>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</si>
  <si>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</si>
  <si>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</si>
  <si>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</si>
  <si>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</si>
  <si>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</si>
  <si>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</si>
  <si>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</si>
  <si>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</si>
  <si>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</si>
  <si>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</si>
  <si>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</si>
  <si>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</si>
  <si>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</si>
  <si>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</si>
  <si>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</si>
  <si>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</si>
  <si>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</si>
  <si>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</si>
  <si>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</si>
  <si>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</si>
  <si>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</si>
  <si>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</si>
  <si>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</si>
  <si>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</si>
  <si>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</si>
  <si>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</si>
  <si>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</si>
  <si>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</si>
  <si>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</si>
  <si>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</si>
  <si>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</si>
  <si>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</si>
  <si>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</si>
  <si>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</si>
  <si>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</si>
  <si>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</si>
  <si>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</si>
  <si>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</si>
  <si>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</si>
  <si>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</si>
  <si>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</si>
  <si>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</si>
  <si>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</si>
  <si>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</si>
  <si>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</si>
  <si>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</si>
  <si>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</si>
  <si>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</si>
  <si>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</si>
  <si>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</si>
  <si>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</si>
  <si>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</si>
  <si>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</si>
  <si>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</si>
  <si>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</si>
  <si>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</si>
  <si>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</si>
  <si>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</si>
  <si>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</si>
  <si>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</si>
  <si>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</si>
  <si>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</si>
  <si>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</si>
  <si>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</si>
  <si>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</si>
  <si>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</si>
  <si>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</si>
  <si>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</si>
  <si>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</si>
  <si>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</si>
  <si>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</si>
  <si>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</si>
  <si>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</si>
  <si>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</si>
  <si>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</si>
  <si>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</si>
  <si>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</si>
  <si>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</si>
  <si>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</si>
  <si>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</si>
  <si>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</si>
  <si>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</si>
  <si>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</si>
  <si>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</si>
  <si>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</si>
  <si>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</si>
  <si>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</si>
  <si>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</si>
  <si>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</si>
  <si>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</si>
  <si>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</si>
  <si>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</si>
  <si>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</si>
  <si>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</si>
  <si>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</si>
  <si>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</si>
  <si>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</si>
  <si>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</si>
  <si>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</si>
  <si>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</si>
  <si>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</si>
  <si>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</si>
  <si>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</si>
  <si>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</si>
  <si>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</si>
  <si>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</si>
  <si>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</si>
  <si>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</si>
  <si>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</si>
  <si>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</si>
  <si>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</si>
  <si>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</si>
  <si>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</si>
  <si>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</si>
  <si>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</si>
  <si>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</si>
  <si>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</si>
  <si>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</si>
  <si>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</si>
  <si>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</si>
  <si>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</si>
  <si>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</si>
  <si>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</si>
  <si>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</si>
  <si>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</si>
  <si>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</si>
  <si>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</si>
  <si>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</si>
  <si>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</si>
  <si>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</si>
  <si>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</si>
  <si>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</si>
  <si>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</si>
  <si>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</si>
  <si>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</si>
  <si>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</si>
  <si>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</si>
  <si>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</si>
  <si>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</si>
  <si>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</si>
  <si>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</si>
  <si>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</si>
  <si>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</si>
  <si>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</si>
  <si>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</si>
  <si>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</si>
  <si>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</si>
  <si>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</si>
  <si>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</si>
  <si>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</si>
  <si>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</si>
  <si>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</si>
  <si>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</si>
  <si>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</si>
  <si>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</si>
  <si>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</si>
  <si>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</si>
  <si>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</si>
  <si>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</si>
  <si>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</si>
  <si>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</si>
  <si>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</si>
  <si>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</si>
  <si>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</si>
  <si>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</si>
  <si>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</si>
  <si>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</si>
  <si>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</si>
  <si>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</si>
  <si>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</si>
  <si>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</si>
  <si>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</si>
  <si>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</si>
  <si>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</si>
  <si>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</si>
  <si>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</si>
  <si>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</si>
  <si>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</si>
  <si>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</si>
  <si>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</si>
  <si>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</si>
  <si>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</si>
  <si>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</si>
  <si>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</si>
  <si>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</si>
  <si>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</si>
  <si>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</si>
  <si>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</si>
  <si>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</si>
  <si>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</si>
  <si>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</si>
  <si>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</si>
  <si>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</si>
  <si>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</si>
  <si>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</si>
  <si>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</si>
  <si>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</si>
  <si>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</si>
  <si>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</si>
  <si>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</si>
  <si>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</si>
  <si>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</si>
  <si>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</si>
  <si>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</si>
  <si>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</si>
  <si>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</si>
  <si>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</si>
  <si>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</si>
  <si>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</si>
  <si>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</si>
  <si>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</si>
  <si>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</si>
  <si>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</si>
  <si>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</si>
  <si>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</si>
  <si>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</si>
  <si>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</si>
  <si>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</si>
  <si>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</si>
  <si>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</si>
  <si>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</si>
  <si>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</si>
  <si>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</si>
  <si>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</si>
  <si>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</si>
  <si>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</si>
  <si>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</si>
  <si>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</si>
  <si>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</si>
  <si>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</si>
  <si>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</si>
  <si>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</si>
  <si>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</si>
  <si>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</si>
  <si>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</si>
  <si>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</si>
  <si>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</si>
  <si>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</si>
  <si>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</si>
  <si>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</si>
  <si>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</si>
  <si>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</si>
  <si>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</si>
  <si>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</si>
  <si>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</si>
  <si>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</si>
  <si>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</si>
  <si>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</si>
  <si>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</si>
  <si>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</si>
  <si>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</si>
  <si>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</si>
  <si>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</si>
  <si>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</si>
  <si>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</si>
  <si>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</si>
  <si>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</si>
  <si>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</si>
  <si>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</si>
  <si>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</si>
  <si>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</si>
  <si>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</si>
  <si>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</si>
  <si>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</si>
  <si>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</si>
  <si>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</si>
  <si>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</si>
  <si>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</si>
  <si>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</si>
  <si>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</si>
  <si>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</si>
  <si>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</si>
  <si>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</si>
  <si>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</si>
  <si>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</si>
  <si>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</si>
  <si>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</si>
  <si>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</si>
  <si>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</si>
  <si>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</si>
  <si>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</si>
  <si>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</si>
  <si>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</si>
  <si>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</si>
  <si>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</si>
  <si>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</si>
  <si>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</si>
  <si>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</si>
  <si>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</si>
  <si>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</si>
  <si>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</si>
  <si>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</si>
  <si>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</si>
  <si>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</si>
  <si>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</si>
  <si>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</si>
  <si>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</si>
  <si>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</si>
  <si>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</si>
  <si>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</si>
  <si>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</si>
  <si>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</si>
  <si>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</si>
  <si>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</si>
  <si>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</si>
  <si>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</si>
  <si>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</si>
  <si>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</si>
  <si>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</si>
  <si>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</si>
  <si>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</si>
  <si>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</si>
  <si>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</si>
  <si>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</si>
  <si>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</si>
  <si>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</si>
  <si>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</si>
  <si>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</si>
  <si>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</si>
  <si>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</si>
  <si>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</si>
  <si>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</si>
  <si>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</si>
  <si>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</si>
  <si>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</si>
  <si>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</si>
  <si>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</si>
  <si>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</si>
  <si>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</si>
  <si>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</si>
  <si>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</si>
  <si>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</si>
  <si>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</si>
  <si>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</si>
  <si>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</si>
  <si>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</si>
  <si>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</si>
  <si>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</si>
  <si>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</si>
  <si>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</si>
  <si>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</si>
  <si>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</si>
  <si>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</si>
  <si>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</si>
  <si>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</si>
  <si>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</si>
  <si>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</si>
  <si>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</si>
  <si>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</si>
  <si>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</si>
  <si>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</si>
  <si>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</si>
  <si>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</si>
  <si>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</si>
  <si>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</si>
  <si>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</si>
  <si>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</si>
  <si>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</si>
  <si>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</si>
  <si>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</si>
  <si>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</si>
  <si>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</si>
  <si>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</si>
  <si>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</si>
  <si>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</si>
  <si>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</si>
  <si>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</si>
  <si>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</si>
  <si>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</si>
  <si>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</si>
  <si>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</si>
  <si>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</si>
  <si>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</si>
  <si>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</si>
  <si>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</si>
  <si>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</si>
  <si>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</si>
  <si>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</si>
  <si>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</si>
  <si>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</si>
  <si>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</si>
  <si>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</si>
  <si>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</si>
  <si>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</si>
  <si>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</si>
  <si>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</si>
  <si>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</si>
  <si>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</si>
  <si>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</si>
  <si>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</si>
  <si>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</si>
  <si>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</si>
  <si>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</si>
  <si>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</si>
  <si>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</si>
  <si>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</si>
  <si>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</si>
  <si>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</si>
  <si>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</si>
  <si>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</si>
  <si>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</si>
  <si>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</si>
  <si>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</si>
  <si>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</si>
  <si>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</si>
  <si>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</si>
  <si>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</si>
  <si>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</si>
  <si>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</si>
  <si>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</si>
  <si>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</si>
  <si>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</si>
  <si>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</si>
  <si>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</si>
  <si>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</si>
  <si>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</si>
  <si>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</si>
  <si>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</si>
  <si>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</si>
  <si>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</si>
  <si>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</si>
  <si>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</si>
  <si>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</si>
  <si>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</si>
  <si>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</si>
  <si>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</si>
  <si>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</si>
  <si>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</si>
  <si>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</si>
  <si>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</si>
  <si>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</si>
  <si>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</si>
  <si>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</si>
  <si>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</si>
  <si>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</si>
  <si>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</si>
  <si>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</si>
  <si>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</si>
  <si>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</si>
  <si>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</si>
  <si>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</si>
  <si>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</si>
  <si>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</si>
  <si>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</si>
  <si>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</si>
  <si>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</si>
  <si>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</si>
  <si>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</si>
  <si>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</si>
  <si>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</si>
  <si>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</si>
  <si>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</si>
  <si>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</si>
  <si>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</si>
  <si>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</si>
  <si>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</si>
  <si>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</si>
  <si>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</si>
  <si>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</si>
  <si>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</si>
  <si>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</si>
  <si>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</si>
  <si>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</si>
  <si>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</si>
  <si>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</si>
  <si>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</si>
  <si>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</si>
  <si>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</si>
  <si>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</si>
  <si>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</si>
  <si>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</si>
  <si>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</si>
  <si>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</si>
  <si>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</si>
  <si>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</si>
  <si>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</si>
  <si>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</si>
  <si>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</si>
  <si>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</si>
  <si>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</si>
  <si>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</si>
  <si>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</si>
  <si>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</si>
  <si>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</si>
  <si>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</si>
  <si>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</si>
  <si>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</si>
  <si>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</si>
  <si>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</si>
  <si>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</si>
  <si>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</si>
  <si>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</si>
  <si>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</si>
  <si>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</si>
  <si>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</si>
  <si>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</si>
  <si>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</si>
  <si>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</si>
  <si>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</si>
  <si>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</si>
  <si>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</si>
  <si>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</si>
  <si>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</si>
  <si>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</si>
  <si>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</si>
  <si>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</si>
  <si>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</si>
  <si>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</si>
  <si>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</si>
  <si>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</si>
  <si>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</si>
  <si>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</si>
  <si>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</si>
  <si>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</si>
  <si>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</si>
  <si>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</si>
  <si>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</si>
  <si>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</si>
  <si>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</si>
  <si>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</si>
  <si>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</si>
  <si>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</si>
  <si>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</si>
  <si>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</si>
  <si>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</si>
  <si>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</si>
  <si>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</si>
  <si>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</si>
  <si>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</si>
  <si>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</si>
  <si>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</si>
  <si>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</si>
  <si>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</si>
  <si>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</si>
  <si>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</si>
  <si>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</si>
  <si>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</si>
  <si>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</si>
  <si>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</si>
  <si>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</si>
  <si>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</si>
  <si>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</si>
  <si>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</si>
  <si>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</si>
  <si>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</si>
  <si>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</si>
  <si>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</si>
  <si>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</si>
  <si>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</si>
  <si>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</si>
  <si>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</si>
  <si>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</si>
  <si>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</si>
  <si>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</si>
  <si>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</si>
  <si>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</si>
  <si>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</si>
  <si>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</si>
  <si>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</si>
  <si>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</si>
  <si>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</si>
  <si>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</si>
  <si>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</si>
  <si>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</si>
  <si>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</si>
  <si>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</si>
  <si>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</si>
  <si>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</si>
  <si>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</si>
  <si>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</si>
  <si>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</si>
  <si>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</si>
  <si>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</si>
  <si>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</si>
  <si>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</si>
  <si>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</si>
  <si>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</si>
  <si>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</si>
  <si>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</si>
  <si>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</si>
  <si>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</si>
  <si>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</si>
  <si>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</si>
  <si>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</si>
  <si>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</si>
  <si>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</si>
  <si>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</si>
  <si>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</si>
  <si>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</si>
  <si>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</si>
  <si>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</si>
  <si>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</si>
  <si>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</si>
  <si>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</si>
  <si>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</si>
  <si>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</si>
  <si>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</si>
  <si>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</si>
  <si>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</si>
  <si>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</si>
  <si>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</si>
  <si>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</si>
  <si>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</si>
  <si>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</si>
  <si>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</si>
  <si>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</si>
  <si>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</si>
  <si>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</si>
  <si>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</si>
  <si>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</si>
  <si>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</si>
  <si>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</si>
  <si>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</si>
  <si>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</si>
  <si>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</si>
  <si>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</si>
  <si>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</si>
  <si>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</si>
  <si>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</si>
  <si>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</si>
  <si>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</si>
  <si>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</si>
  <si>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</si>
  <si>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</si>
  <si>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</si>
  <si>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</si>
  <si>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</si>
  <si>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</si>
  <si>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</si>
  <si>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</si>
  <si>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</si>
  <si>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</si>
  <si>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</si>
  <si>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</si>
  <si>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</si>
  <si>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Peluquería Lis 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</si>
</sst>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6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165" fontId="0" fillId="0" borderId="0" xfId="0" applyNumberFormat="1" applyAlignment="1">
      <alignment vertical="center"/>
    </xf>
    <xf numFmtId="165" fontId="15" fillId="2" borderId="0" xfId="0" applyNumberFormat="1" applyFont="1" applyFill="1" applyAlignment="1">
      <alignment horizontal="right" vertical="center"/>
    </xf>
    <xf numFmtId="44" fontId="0" fillId="0" borderId="0" xfId="1" applyFont="1" applyAlignment="1">
      <alignment horizontal="right" vertical="center"/>
    </xf>
    <xf numFmtId="165" fontId="2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topLeftCell="A5" zoomScaleNormal="100" workbookViewId="0">
      <selection activeCell="G20" sqref="G2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0" t="s">
        <v>1</v>
      </c>
      <c r="F3" s="80"/>
      <c r="G3" s="80"/>
      <c r="H3" s="81"/>
      <c r="I3" s="81"/>
      <c r="J3" s="81"/>
      <c r="K3" s="81"/>
      <c r="L3" s="81"/>
    </row>
    <row r="5" spans="1:12" ht="18.75" x14ac:dyDescent="0.25">
      <c r="B5" s="82" t="s">
        <v>2</v>
      </c>
      <c r="C5" s="82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20250108</v>
      </c>
      <c r="G7" s="8">
        <f ca="1">TODAY()</f>
        <v>45792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83" t="str">
        <f>IFERROR(VLOOKUP($B13,Tarifa_all_20240711!$A$2:$G$660,2,FALSE()),"-")</f>
        <v>CARC.SIMPLE GUIA DESM.LAC.6 ESP.2-2 MTS</v>
      </c>
      <c r="D13" s="83"/>
      <c r="E13" s="17">
        <v>1</v>
      </c>
      <c r="F13" s="18">
        <f>IFERROR(VLOOKUP($B13,Tarifa_all_20240711!$A$2:$G$660,5,FALSE()),"-")</f>
        <v>64.042500000000004</v>
      </c>
      <c r="G13" s="79">
        <f t="shared" ref="G13:G30" si="0">IFERROR(E13*F13,"-")</f>
        <v>64.042500000000004</v>
      </c>
      <c r="H13" s="1"/>
      <c r="I13" s="78"/>
    </row>
    <row r="14" spans="1:12" x14ac:dyDescent="0.25">
      <c r="A14" t="s">
        <v>15</v>
      </c>
      <c r="B14" s="16" t="s">
        <v>976</v>
      </c>
      <c r="C14" s="83" t="str">
        <f>IFERROR(VLOOKUP($B14,Tarifa_all_20240711!$A$2:$G$660,2,FALSE()),"-")</f>
        <v>GUIA SKY PLUS DESMONT.LAC.6 ESP.2-2 MTS</v>
      </c>
      <c r="D14" s="83"/>
      <c r="E14" s="17">
        <v>1</v>
      </c>
      <c r="F14" s="18">
        <f>IFERROR(VLOOKUP($B14,Tarifa_all_20240711!$A$2:$G$660,5,FALSE()),"-")</f>
        <v>47.910000000000004</v>
      </c>
      <c r="G14" s="79">
        <f t="shared" si="0"/>
        <v>47.910000000000004</v>
      </c>
      <c r="H14" s="1"/>
      <c r="I14" s="78"/>
    </row>
    <row r="15" spans="1:12" x14ac:dyDescent="0.25">
      <c r="A15" t="s">
        <v>16</v>
      </c>
      <c r="B15" s="16" t="s">
        <v>297</v>
      </c>
      <c r="C15" s="83" t="str">
        <f>IFERROR(VLOOKUP($B15,Tarifa_all_20240711!$A$2:$G$660,2,FALSE()),"-")</f>
        <v>KIT ANCLAJE TECHO PARA GUIA PLADUR PLUS DEMONTABLE</v>
      </c>
      <c r="D15" s="83"/>
      <c r="E15" s="17">
        <v>3</v>
      </c>
      <c r="F15" s="18">
        <f>IFERROR(VLOOKUP($B15,Tarifa_all_20240711!$A$2:$G$660,5,FALSE()),"-")</f>
        <v>11.737500000000001</v>
      </c>
      <c r="G15" s="77">
        <f t="shared" si="0"/>
        <v>35.212500000000006</v>
      </c>
      <c r="H15" s="1"/>
      <c r="I15" s="78"/>
    </row>
    <row r="16" spans="1:12" x14ac:dyDescent="0.25">
      <c r="A16" t="s">
        <v>17</v>
      </c>
      <c r="B16" s="16" t="s">
        <v>566</v>
      </c>
      <c r="C16" s="83" t="str">
        <f>IFERROR(VLOOKUP($B16,Tarifa_all_20240711!$A$2:$G$660,2,FALSE()),"-")</f>
        <v>KIT AMORTIGUADOR SKY GUIA DESMONT. BIDIRECCIONAL 60KG</v>
      </c>
      <c r="D16" s="83"/>
      <c r="E16" s="17">
        <v>1</v>
      </c>
      <c r="F16" s="18">
        <f>IFERROR(VLOOKUP($B16,Tarifa_all_20240711!$A$2:$G$660,5,FALSE()),"-")</f>
        <v>30.599999999999998</v>
      </c>
      <c r="G16" s="79">
        <f t="shared" si="0"/>
        <v>30.599999999999998</v>
      </c>
      <c r="H16" s="1"/>
      <c r="I16" s="78"/>
    </row>
    <row r="17" spans="1:9" x14ac:dyDescent="0.25">
      <c r="A17" t="s">
        <v>18</v>
      </c>
      <c r="B17" s="16" t="s">
        <v>134</v>
      </c>
      <c r="C17" s="83" t="str">
        <f>IFERROR(VLOOKUP($B17,Tarifa_all_20240711!$A$2:$G$660,2,FALSE()),"-")</f>
        <v>KIT PUERTA PA CORREDERA LAC.NEGRO TEXTURADO</v>
      </c>
      <c r="D17" s="83"/>
      <c r="E17" s="17">
        <v>1</v>
      </c>
      <c r="F17" s="18">
        <f>IFERROR(VLOOKUP($B17,Tarifa_all_20240711!$A$2:$G$660,5,FALSE()),"-")</f>
        <v>215.65500000000003</v>
      </c>
      <c r="G17" s="79">
        <f t="shared" si="0"/>
        <v>215.65500000000003</v>
      </c>
      <c r="H17" s="1"/>
      <c r="I17" s="78"/>
    </row>
    <row r="18" spans="1:9" x14ac:dyDescent="0.25">
      <c r="A18" t="s">
        <v>19</v>
      </c>
      <c r="B18" s="16" t="s">
        <v>335</v>
      </c>
      <c r="C18" s="83" t="str">
        <f>IFERROR(VLOOKUP($B18,Tarifa_all_20240711!$A$2:$G$660,2,FALSE()),"-")</f>
        <v>CARRO SKY MADERA 60KG</v>
      </c>
      <c r="D18" s="83"/>
      <c r="E18" s="17">
        <v>1</v>
      </c>
      <c r="F18" s="18">
        <f>IFERROR(VLOOKUP($B18,Tarifa_all_20240711!$A$2:$G$660,5,FALSE()),"-")</f>
        <v>16.634999999999998</v>
      </c>
      <c r="G18" s="79">
        <f t="shared" si="0"/>
        <v>16.634999999999998</v>
      </c>
      <c r="H18" s="1"/>
      <c r="I18" s="78"/>
    </row>
    <row r="19" spans="1:9" x14ac:dyDescent="0.25">
      <c r="A19" t="s">
        <v>20</v>
      </c>
      <c r="B19" s="16" t="s">
        <v>515</v>
      </c>
      <c r="C19" s="83" t="str">
        <f>IFERROR(VLOOKUP($B19,Tarifa_all_20240711!$A$2:$G$660,2,FALSE()),"-")</f>
        <v>TIRADOR RECT.ADH CAVE LAC.NEGRO TEXTURADO: 2 UDS</v>
      </c>
      <c r="D19" s="83"/>
      <c r="E19" s="17">
        <v>1</v>
      </c>
      <c r="F19" s="18">
        <f>IFERROR(VLOOKUP($B19,Tarifa_all_20240711!$A$2:$G$660,5,FALSE()),"-")</f>
        <v>59.122500000000002</v>
      </c>
      <c r="G19" s="79">
        <f t="shared" si="0"/>
        <v>59.122500000000002</v>
      </c>
      <c r="H19" s="1"/>
      <c r="I19" s="78">
        <v>67.989999999999995</v>
      </c>
    </row>
    <row r="20" spans="1:9" x14ac:dyDescent="0.25">
      <c r="A20" t="s">
        <v>21</v>
      </c>
      <c r="B20" s="16" t="s">
        <v>1136</v>
      </c>
      <c r="C20" s="83" t="str">
        <f>IFERROR(VLOOKUP($B20,Tarifa_all_20240711!$A$2:$G$660,2,FALSE()),"-")</f>
        <v>GUIADOR FIJO PA LAC.NEGRO TEXTURADO</v>
      </c>
      <c r="D20" s="83"/>
      <c r="E20" s="17">
        <v>1</v>
      </c>
      <c r="F20" s="18">
        <f>IFERROR(VLOOKUP($B20,Tarifa_all_20240711!$A$2:$G$660,5,FALSE()),"-")</f>
        <v>8.61</v>
      </c>
      <c r="G20" s="79">
        <f t="shared" si="0"/>
        <v>8.61</v>
      </c>
      <c r="H20" s="1"/>
      <c r="I20" s="78"/>
    </row>
    <row r="21" spans="1:9" x14ac:dyDescent="0.25">
      <c r="A21" t="s">
        <v>22</v>
      </c>
      <c r="B21" s="16" t="s">
        <v>143</v>
      </c>
      <c r="C21" s="83" t="str">
        <f>IFERROR(VLOOKUP($B21,Tarifa_all_20240711!$A$2:$G$660,2,FALSE()),"-")</f>
        <v>PERFIL EMBELL.HORIZ. ADH LAC.NEGRO TEXTURADO</v>
      </c>
      <c r="D21" s="83"/>
      <c r="E21" s="17">
        <v>2</v>
      </c>
      <c r="F21" s="18">
        <f>IFERROR(VLOOKUP($B21,Tarifa_all_20240711!$A$2:$G$660,5,FALSE()),"-")</f>
        <v>21.794999999999998</v>
      </c>
      <c r="G21" s="79">
        <f t="shared" si="0"/>
        <v>43.589999999999996</v>
      </c>
      <c r="H21" s="76">
        <f>SUM(G13:G21)</f>
        <v>521.37750000000005</v>
      </c>
      <c r="I21" s="78"/>
    </row>
    <row r="22" spans="1:9" x14ac:dyDescent="0.25">
      <c r="B22" s="16"/>
      <c r="C22" s="83" t="str">
        <f>IFERROR(VLOOKUP($B22,Tarifa_all_20240711!$A$2:$G$660,2,FALSE()),"-")</f>
        <v>-</v>
      </c>
      <c r="D22" s="83"/>
      <c r="E22" s="17"/>
      <c r="F22" s="18" t="str">
        <f>IFERROR(VLOOKUP($B22,Tarifa_all_20240711!$A$2:$G$660,5,FALSE()),"-")</f>
        <v>-</v>
      </c>
      <c r="G22" s="77" t="str">
        <f t="shared" si="0"/>
        <v>-</v>
      </c>
      <c r="H22" s="1"/>
      <c r="I22" s="78"/>
    </row>
    <row r="23" spans="1:9" x14ac:dyDescent="0.25">
      <c r="B23" s="16"/>
      <c r="C23" s="83" t="str">
        <f>IFERROR(VLOOKUP($B23,Tarifa_all_20240711!$A$2:$G$660,2,FALSE()),"-")</f>
        <v>-</v>
      </c>
      <c r="D23" s="83"/>
      <c r="E23" s="17"/>
      <c r="F23" s="18" t="str">
        <f>IFERROR(VLOOKUP($B23,Tarifa_all_20240711!$A$2:$G$660,5,FALSE()),"-")</f>
        <v>-</v>
      </c>
      <c r="G23" s="77" t="str">
        <f t="shared" si="0"/>
        <v>-</v>
      </c>
      <c r="H23" s="1"/>
      <c r="I23" s="78"/>
    </row>
    <row r="24" spans="1:9" x14ac:dyDescent="0.25">
      <c r="B24" s="16"/>
      <c r="C24" s="83" t="str">
        <f>IFERROR(VLOOKUP($B24,Tarifa_all_20240711!$A$2:$G$660,2,FALSE()),"-")</f>
        <v>-</v>
      </c>
      <c r="D24" s="83"/>
      <c r="E24" s="17"/>
      <c r="F24" s="18" t="str">
        <f>IFERROR(VLOOKUP($B24,Tarifa_all_20240711!$A$2:$G$660,5,FALSE()),"-")</f>
        <v>-</v>
      </c>
      <c r="G24" s="77" t="str">
        <f t="shared" si="0"/>
        <v>-</v>
      </c>
      <c r="H24" s="1"/>
      <c r="I24" s="78"/>
    </row>
    <row r="25" spans="1:9" x14ac:dyDescent="0.25">
      <c r="B25" s="16"/>
      <c r="C25" s="83" t="str">
        <f>IFERROR(VLOOKUP($B25,Tarifa_all_20240711!$A$2:$G$660,2,FALSE()),"-")</f>
        <v>-</v>
      </c>
      <c r="D25" s="83"/>
      <c r="E25" s="17"/>
      <c r="F25" s="18" t="str">
        <f>IFERROR(VLOOKUP($B25,Tarifa_all_20240711!$A$2:$G$660,5,FALSE()),"-")</f>
        <v>-</v>
      </c>
      <c r="G25" s="77" t="str">
        <f t="shared" si="0"/>
        <v>-</v>
      </c>
      <c r="H25" s="1"/>
      <c r="I25" s="78"/>
    </row>
    <row r="26" spans="1:9" x14ac:dyDescent="0.25">
      <c r="B26" s="16"/>
      <c r="C26" s="83" t="str">
        <f>IFERROR(VLOOKUP($B26,Tarifa_all_20240711!$A$2:$G$660,2,FALSE()),"-")</f>
        <v>-</v>
      </c>
      <c r="D26" s="83"/>
      <c r="E26" s="17"/>
      <c r="F26" s="18" t="str">
        <f>IFERROR(VLOOKUP($B26,Tarifa_all_20240711!$A$2:$G$660,5,FALSE()),"-")</f>
        <v>-</v>
      </c>
      <c r="G26" s="77" t="str">
        <f t="shared" si="0"/>
        <v>-</v>
      </c>
      <c r="H26" s="1"/>
      <c r="I26" s="78"/>
    </row>
    <row r="27" spans="1:9" x14ac:dyDescent="0.25">
      <c r="B27" s="16"/>
      <c r="C27" s="83" t="str">
        <f>IFERROR(VLOOKUP($B27,Tarifa_all_20240711!$A$2:$G$660,2,FALSE()),"-")</f>
        <v>-</v>
      </c>
      <c r="D27" s="83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  <c r="I27" s="78"/>
    </row>
    <row r="28" spans="1:9" x14ac:dyDescent="0.25">
      <c r="B28" s="16"/>
      <c r="C28" s="83" t="str">
        <f>IFERROR(VLOOKUP($B28,Tarifa_all_20240711!$A$2:$G$660,2,FALSE()),"-")</f>
        <v>-</v>
      </c>
      <c r="D28" s="83"/>
      <c r="E28" s="17"/>
      <c r="F28" s="18" t="str">
        <f>IFERROR(VLOOKUP($B28,Tarifa_all_20240711!$A$2:$G$660,5,FALSE()),"-")</f>
        <v>-</v>
      </c>
      <c r="G28" s="77" t="str">
        <f t="shared" si="0"/>
        <v>-</v>
      </c>
      <c r="H28" s="1"/>
      <c r="I28" s="78"/>
    </row>
    <row r="29" spans="1:9" x14ac:dyDescent="0.25">
      <c r="B29" s="16"/>
      <c r="C29" s="83" t="str">
        <f>IFERROR(VLOOKUP($B29,Tarifa_all_20240711!$A$2:$G$660,2,FALSE()),"-")</f>
        <v>-</v>
      </c>
      <c r="D29" s="83"/>
      <c r="E29" s="17"/>
      <c r="F29" s="18" t="str">
        <f>IFERROR(VLOOKUP($B29,Tarifa_all_20240711!$A$2:$G$660,5,FALSE()),"-")</f>
        <v>-</v>
      </c>
      <c r="G29" s="77" t="str">
        <f t="shared" si="0"/>
        <v>-</v>
      </c>
      <c r="H29" s="1"/>
      <c r="I29" s="78">
        <v>20.52</v>
      </c>
    </row>
    <row r="30" spans="1:9" x14ac:dyDescent="0.25">
      <c r="B30" s="16"/>
      <c r="C30" s="83" t="str">
        <f>IFERROR(VLOOKUP($B30,Tarifa_all_20240711!$A$2:$G$660,2,FALSE()),"-")</f>
        <v>-</v>
      </c>
      <c r="D30" s="83"/>
      <c r="E30" s="17"/>
      <c r="F30" s="18" t="str">
        <f>IFERROR(VLOOKUP($B30,Tarifa_all_20240711!$A$2:$G$660,5,FALSE()),"-")</f>
        <v>-</v>
      </c>
      <c r="G30" s="77" t="str">
        <f t="shared" si="0"/>
        <v>-</v>
      </c>
      <c r="H30" s="76">
        <f>SUM(G22:G30)</f>
        <v>0</v>
      </c>
      <c r="I30" s="78">
        <v>22.62</v>
      </c>
    </row>
    <row r="31" spans="1:9" x14ac:dyDescent="0.25">
      <c r="B31" s="19"/>
      <c r="C31" s="19"/>
      <c r="D31" s="19"/>
      <c r="E31" s="19"/>
      <c r="F31" s="20"/>
      <c r="G31" s="21">
        <f>SUM(G13:G30)</f>
        <v>521.37750000000005</v>
      </c>
    </row>
    <row r="32" spans="1:9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4"/>
      <c r="E52" s="84"/>
      <c r="F52" s="84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0" t="s">
        <v>78</v>
      </c>
      <c r="F2" s="80"/>
      <c r="G2" s="80"/>
    </row>
    <row r="3" spans="1:7" ht="18" customHeight="1" x14ac:dyDescent="0.35">
      <c r="E3" s="80" t="s">
        <v>1</v>
      </c>
      <c r="F3" s="80"/>
      <c r="G3" s="80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Cristalum Gandia</v>
      </c>
      <c r="C9" s="90"/>
      <c r="D9" s="90"/>
      <c r="F9" s="3" t="s">
        <v>81</v>
      </c>
      <c r="G9" s="44">
        <f ca="1">TODAY()</f>
        <v>45792</v>
      </c>
    </row>
    <row r="10" spans="1:7" x14ac:dyDescent="0.25">
      <c r="A10" s="3" t="s">
        <v>82</v>
      </c>
      <c r="B10" s="11" t="str">
        <f>'DESPIECE (MATANALYSIS)'!C9</f>
        <v>Peluquería Lis C2</v>
      </c>
      <c r="C10" s="45"/>
      <c r="D10" s="45"/>
      <c r="E10" s="46"/>
      <c r="F10" s="47" t="s">
        <v>83</v>
      </c>
      <c r="G10" s="7">
        <f>'DESPIECE (MATANALYSIS)'!C7</f>
        <v>20250108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99</v>
      </c>
      <c r="B47" s="86"/>
      <c r="C47" s="59"/>
      <c r="D47" s="59"/>
      <c r="E47" s="59"/>
      <c r="F47" s="87">
        <f>'DESPIECE (MATANALYSIS)'!G31</f>
        <v>521.37750000000005</v>
      </c>
      <c r="G47" s="87"/>
    </row>
    <row r="48" spans="1:7" s="1" customFormat="1" ht="22.7" customHeight="1" x14ac:dyDescent="0.25">
      <c r="A48" s="88" t="s">
        <v>100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2025-05-15T14:41:40Z</dcterms:modified>
  <dc:language>es-ES</dc:language>
</cp:coreProperties>
</file>