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34\calculos\1\"/>
    </mc:Choice>
  </mc:AlternateContent>
  <xr:revisionPtr revIDLastSave="0" documentId="13_ncr:1_{813B171C-E3E7-480B-B975-96EEE264BB72}" xr6:coauthVersionLast="47" xr6:coauthVersionMax="47" xr10:uidLastSave="{00000000-0000-0000-0000-000000000000}"/>
  <bookViews>
    <workbookView xWindow="4755" yWindow="840" windowWidth="22965" windowHeight="1429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<sst xmlns="http://schemas.openxmlformats.org/spreadsheetml/2006/main" count="5404" uniqueCount="1455">
  <si>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</si>
  <si>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</si>
  <si>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</si>
  <si>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</si>
  <si>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</si>
  <si>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</si>
  <si>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</si>
  <si>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</si>
  <si>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</si>
  <si>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</si>
  <si>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</si>
  <si>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</si>
  <si>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</si>
  <si>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</si>
  <si>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</si>
  <si>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</si>
  <si>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</si>
  <si>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</si>
  <si>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</si>
  <si>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</si>
  <si>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</si>
  <si>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</si>
  <si>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</si>
  <si>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</si>
  <si>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</si>
  <si>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</si>
  <si>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</si>
  <si>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</si>
  <si>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</si>
  <si>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</si>
  <si>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</si>
  <si>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</si>
  <si>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</si>
  <si>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</si>
  <si>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</si>
  <si>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</si>
  <si>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</si>
  <si>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</si>
  <si>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</si>
  <si>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</si>
  <si>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</si>
  <si>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</si>
  <si>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</si>
  <si>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</si>
  <si>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</si>
  <si>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</si>
  <si>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</si>
  <si>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</si>
  <si>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</si>
  <si>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</si>
  <si>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</si>
  <si>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</si>
  <si>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</si>
  <si>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</si>
  <si>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</si>
  <si>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</si>
  <si>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</si>
  <si>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</si>
  <si>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</si>
  <si>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</si>
  <si>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</si>
  <si>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</si>
  <si>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</si>
  <si>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</si>
  <si>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</si>
  <si>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</si>
  <si>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</si>
  <si>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</si>
  <si>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</si>
  <si>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</si>
  <si>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</si>
  <si>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</si>
  <si>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</si>
  <si>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</si>
  <si>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</si>
  <si>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</si>
  <si>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</si>
  <si>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</si>
  <si>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</si>
  <si>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</si>
  <si>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</si>
  <si>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</si>
  <si>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</si>
  <si>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</si>
  <si>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</si>
  <si>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</si>
  <si>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</si>
  <si>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</si>
  <si>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</si>
  <si>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</si>
  <si>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</si>
  <si>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</si>
  <si>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</si>
  <si>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</si>
  <si>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</si>
  <si>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</si>
  <si>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</si>
  <si>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</si>
  <si>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</si>
  <si>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</si>
  <si>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</si>
  <si>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</si>
  <si>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</si>
  <si>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</si>
  <si>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</si>
  <si>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</si>
  <si>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</si>
  <si>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</si>
  <si>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</si>
  <si>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</si>
  <si>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</si>
  <si>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</si>
  <si>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</si>
  <si>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</si>
  <si>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</si>
  <si>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</si>
  <si>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</si>
  <si>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</si>
  <si>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</si>
  <si>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</si>
  <si>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</si>
  <si>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</si>
  <si>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</si>
  <si>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</si>
  <si>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</si>
  <si>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</si>
  <si>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</si>
  <si>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</si>
  <si>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</si>
  <si>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</si>
  <si>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</si>
  <si>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</si>
  <si>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</si>
  <si>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</si>
  <si>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</si>
  <si>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</si>
  <si>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</si>
  <si>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</si>
  <si>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</si>
  <si>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</si>
  <si>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</si>
  <si>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</si>
  <si>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</si>
  <si>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</si>
  <si>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</si>
  <si>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</si>
  <si>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</si>
  <si>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</si>
  <si>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</si>
  <si>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</si>
  <si>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</si>
  <si>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</si>
  <si>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</si>
  <si>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</si>
  <si>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</si>
  <si>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</si>
  <si>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</si>
  <si>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</si>
  <si>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</si>
  <si>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</si>
  <si>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</si>
  <si>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</si>
  <si>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</si>
  <si>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</si>
  <si>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</si>
  <si>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</si>
  <si>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</si>
  <si>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</si>
  <si>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</si>
  <si>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</si>
  <si>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</si>
  <si>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</si>
  <si>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</si>
  <si>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</si>
  <si>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</si>
  <si>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</si>
  <si>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</si>
  <si>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</si>
  <si>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</si>
  <si>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</si>
  <si>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</si>
  <si>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</si>
  <si>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</si>
  <si>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</si>
  <si>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</si>
  <si>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</si>
  <si>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</si>
  <si>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</si>
  <si>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</si>
  <si>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</si>
  <si>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</si>
  <si>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</si>
  <si>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</si>
  <si>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</si>
  <si>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</si>
  <si>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</si>
  <si>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</si>
  <si>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</si>
  <si>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</si>
  <si>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</si>
  <si>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</si>
  <si>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</si>
  <si>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</si>
  <si>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</si>
  <si>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</si>
  <si>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</si>
  <si>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</si>
  <si>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</si>
  <si>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</si>
  <si>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</si>
  <si>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</si>
  <si>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</si>
  <si>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</si>
  <si>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</si>
  <si>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</si>
  <si>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</si>
  <si>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</si>
  <si>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</si>
  <si>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</si>
  <si>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</si>
  <si>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</si>
  <si>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</si>
  <si>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</si>
  <si>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</si>
  <si>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</si>
  <si>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</si>
  <si>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</si>
  <si>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</si>
  <si>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</si>
  <si>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</si>
  <si>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</si>
  <si>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</si>
  <si>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</si>
  <si>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</si>
  <si>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</si>
  <si>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</si>
  <si>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</si>
  <si>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</si>
  <si>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</si>
  <si>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</si>
  <si>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</si>
  <si>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</si>
  <si>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</si>
  <si>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</si>
  <si>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</si>
  <si>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</si>
  <si>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</si>
  <si>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</si>
  <si>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</si>
  <si>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</si>
  <si>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</si>
  <si>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</si>
  <si>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</si>
  <si>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</si>
  <si>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</si>
  <si>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</si>
  <si>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</si>
  <si>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</si>
  <si>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</si>
  <si>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</si>
  <si>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</si>
  <si>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</si>
  <si>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</si>
  <si>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</si>
  <si>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</si>
  <si>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</si>
  <si>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</si>
  <si>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</si>
  <si>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</si>
  <si>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</si>
  <si>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</si>
  <si>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</si>
  <si>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</si>
  <si>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</si>
  <si>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</si>
  <si>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</si>
  <si>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</si>
  <si>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</si>
  <si>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</si>
  <si>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</si>
  <si>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</si>
  <si>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</si>
  <si>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</si>
  <si>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</si>
  <si>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</si>
  <si>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</si>
  <si>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</si>
  <si>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</si>
  <si>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</si>
  <si>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</si>
  <si>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</si>
  <si>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</si>
  <si>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</si>
  <si>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</si>
  <si>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</si>
  <si>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</si>
  <si>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</si>
  <si>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</si>
  <si>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</si>
  <si>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</si>
  <si>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</si>
  <si>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</si>
  <si>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</si>
  <si>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</si>
  <si>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</si>
  <si>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</si>
  <si>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</si>
  <si>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</si>
  <si>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</si>
  <si>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</si>
  <si>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</si>
  <si>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</si>
  <si>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</si>
  <si>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</si>
  <si>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</si>
  <si>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</si>
  <si>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</si>
  <si>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</si>
  <si>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</si>
  <si>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</si>
  <si>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</si>
  <si>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</si>
  <si>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</si>
  <si>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</si>
  <si>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</si>
  <si>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</si>
  <si>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</si>
  <si>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</si>
  <si>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</si>
  <si>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</si>
  <si>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</si>
  <si>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</si>
  <si>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</si>
  <si>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</si>
  <si>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</si>
  <si>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</si>
  <si>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</si>
  <si>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</si>
  <si>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</si>
  <si>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</si>
  <si>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</si>
  <si>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</si>
  <si>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</si>
  <si>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</si>
  <si>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</si>
  <si>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</si>
  <si>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</si>
  <si>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</si>
  <si>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</si>
  <si>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</si>
  <si>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</si>
  <si>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</si>
  <si>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</si>
  <si>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</si>
  <si>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</si>
  <si>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</si>
  <si>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</si>
  <si>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</si>
  <si>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</si>
  <si>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</si>
  <si>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</si>
  <si>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</si>
  <si>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</si>
  <si>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</si>
  <si>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</si>
  <si>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</si>
  <si>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</si>
  <si>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</si>
  <si>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</si>
  <si>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</si>
  <si>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</si>
  <si>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</si>
  <si>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</si>
  <si>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</si>
  <si>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</si>
  <si>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</si>
  <si>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</si>
  <si>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</si>
  <si>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</si>
  <si>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</si>
  <si>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</si>
  <si>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</si>
  <si>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</si>
  <si>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</si>
  <si>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</si>
  <si>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</si>
  <si>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</si>
  <si>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</si>
  <si>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</si>
  <si>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</si>
  <si>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</si>
  <si>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</si>
  <si>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</si>
  <si>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</si>
  <si>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</si>
  <si>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</si>
  <si>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</si>
  <si>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</si>
  <si>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</si>
  <si>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</si>
  <si>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</si>
  <si>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</si>
  <si>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</si>
  <si>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</si>
  <si>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</si>
  <si>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</si>
  <si>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</si>
  <si>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</si>
  <si>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</si>
  <si>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</si>
  <si>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</si>
  <si>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</si>
  <si>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</si>
  <si>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</si>
  <si>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</si>
  <si>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</si>
  <si>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</si>
  <si>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</si>
  <si>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</si>
  <si>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</si>
  <si>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</si>
  <si>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</si>
  <si>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</si>
  <si>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</si>
  <si>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</si>
  <si>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</si>
  <si>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</si>
  <si>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</si>
  <si>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</si>
  <si>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</si>
  <si>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</si>
  <si>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</si>
  <si>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</si>
  <si>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</si>
  <si>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</si>
  <si>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</si>
  <si>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</si>
  <si>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</si>
  <si>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</si>
  <si>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</si>
  <si>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</si>
  <si>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</si>
  <si>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</si>
  <si>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</si>
  <si>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</si>
  <si>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</si>
  <si>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</si>
  <si>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</si>
  <si>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</si>
  <si>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</si>
  <si>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</si>
  <si>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</si>
  <si>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</si>
  <si>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</si>
  <si>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</si>
  <si>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</si>
  <si>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</si>
  <si>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</si>
  <si>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</si>
  <si>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</si>
  <si>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</si>
  <si>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</si>
  <si>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</si>
  <si>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</si>
  <si>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</si>
  <si>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</si>
  <si>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</si>
  <si>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</si>
  <si>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</si>
  <si>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</si>
  <si>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</si>
  <si>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</si>
  <si>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</si>
  <si>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</si>
  <si>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</si>
  <si>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</si>
  <si>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</si>
  <si>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</si>
  <si>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</si>
  <si>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</si>
  <si>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</si>
  <si>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</si>
  <si>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</si>
  <si>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</si>
  <si>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</si>
  <si>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</si>
  <si>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</si>
  <si>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</si>
  <si>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</si>
  <si>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</si>
  <si>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</si>
  <si>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</si>
  <si>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</si>
  <si>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</si>
  <si>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</si>
  <si>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</si>
  <si>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</si>
  <si>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</si>
  <si>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</si>
  <si>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</si>
  <si>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</si>
  <si>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</si>
  <si>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</si>
  <si>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</si>
  <si>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</si>
  <si>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</si>
  <si>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</si>
  <si>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</si>
  <si>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</si>
  <si>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</si>
  <si>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</si>
  <si>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</si>
  <si>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</si>
  <si>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</si>
  <si>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</si>
  <si>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</si>
  <si>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</si>
  <si>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</si>
  <si>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</si>
  <si>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</si>
  <si>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</si>
  <si>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</si>
  <si>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</si>
  <si>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</si>
  <si>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</si>
  <si>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</si>
  <si>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</si>
  <si>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</si>
  <si>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</si>
  <si>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</si>
  <si>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</si>
  <si>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</si>
  <si>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</si>
  <si>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</si>
  <si>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</si>
  <si>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</si>
  <si>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</si>
  <si>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</si>
  <si>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</si>
  <si>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</si>
  <si>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</si>
  <si>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</si>
  <si>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</si>
  <si>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</si>
  <si>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</si>
  <si>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</si>
  <si>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</si>
  <si>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</si>
  <si>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</si>
  <si>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</si>
  <si>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</si>
  <si>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</si>
  <si>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</si>
  <si>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</si>
  <si>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</si>
  <si>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</si>
  <si>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</si>
  <si>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</si>
  <si>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</si>
  <si>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</si>
  <si>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</si>
  <si>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</si>
  <si>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</si>
  <si>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</si>
  <si>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</si>
  <si>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</si>
  <si>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</si>
  <si>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</si>
  <si>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</si>
  <si>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</si>
  <si>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</si>
  <si>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</si>
  <si>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</si>
  <si>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</si>
  <si>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</si>
  <si>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</si>
  <si>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</si>
  <si>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</si>
  <si>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</si>
  <si>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</si>
  <si>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</si>
  <si>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</si>
  <si>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</si>
  <si>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</si>
  <si>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</si>
  <si>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</si>
  <si>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</si>
  <si>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</si>
  <si>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</si>
  <si>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</si>
  <si>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</si>
  <si>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</si>
  <si>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</si>
  <si>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</si>
  <si>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</si>
  <si>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</si>
  <si>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</si>
  <si>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</si>
  <si>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</si>
  <si>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</si>
  <si>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</si>
  <si>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</si>
  <si>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</si>
  <si>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</si>
  <si>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</si>
  <si>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</si>
  <si>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</si>
  <si>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</si>
  <si>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</si>
  <si>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</si>
  <si>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</si>
  <si>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</si>
  <si>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</si>
  <si>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</si>
  <si>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</si>
  <si>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</si>
  <si>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</si>
  <si>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</si>
  <si>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</si>
  <si>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</si>
  <si>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</si>
  <si>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</si>
  <si>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</si>
  <si>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</si>
  <si>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</si>
  <si>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</si>
  <si>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</si>
  <si>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</si>
  <si>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</si>
  <si>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</si>
  <si>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</si>
  <si>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</si>
  <si>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</si>
  <si>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</si>
  <si>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</si>
  <si>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</si>
  <si>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</si>
  <si>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</si>
  <si>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</si>
  <si>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</si>
  <si>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</si>
  <si>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</si>
  <si>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</si>
  <si>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</si>
  <si>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</si>
  <si>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</si>
  <si>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</si>
  <si>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</si>
  <si>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</si>
  <si>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</si>
  <si>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</si>
  <si>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</si>
  <si>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</si>
  <si>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</si>
  <si>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</si>
  <si>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</si>
  <si>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</si>
  <si>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</si>
  <si>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</si>
  <si>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</si>
  <si>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</si>
  <si>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</si>
  <si>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</si>
  <si>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</si>
  <si>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</si>
  <si>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</si>
  <si>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</si>
  <si>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</si>
  <si>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</si>
  <si>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</si>
  <si>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</si>
  <si>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</si>
  <si>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</si>
  <si>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</si>
  <si>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</si>
  <si>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</si>
  <si>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</si>
  <si>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</si>
  <si>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</si>
  <si>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</si>
  <si>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</si>
  <si>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</si>
  <si>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</si>
  <si>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</si>
  <si>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</si>
  <si>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</si>
  <si>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</si>
  <si>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</si>
  <si>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</si>
  <si>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</si>
  <si>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</si>
  <si>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</si>
  <si>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</si>
  <si>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</si>
  <si>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</si>
  <si>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</si>
  <si>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</si>
  <si>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</si>
  <si>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</si>
  <si>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</si>
  <si>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</si>
  <si>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</si>
  <si>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</si>
  <si>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</si>
  <si>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</si>
  <si>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</si>
  <si>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</si>
  <si>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</si>
  <si>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</si>
  <si>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</si>
  <si>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</si>
  <si>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</si>
  <si>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</si>
  <si>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</si>
  <si>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</si>
  <si>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</si>
  <si>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</si>
  <si>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</si>
  <si>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</si>
  <si>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</si>
  <si>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</si>
  <si>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</si>
  <si>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</si>
  <si>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</si>
  <si>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</si>
  <si>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</si>
  <si>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</si>
  <si>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</si>
  <si>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</si>
  <si>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</si>
  <si>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</si>
  <si>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</si>
  <si>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</si>
  <si>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</si>
  <si>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</si>
  <si>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</si>
  <si>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</si>
  <si>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</si>
  <si>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</si>
  <si>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</si>
  <si>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</si>
  <si>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</si>
  <si>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</si>
  <si>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</si>
  <si>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</si>
  <si>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</si>
  <si>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</si>
  <si>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</si>
  <si>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</si>
  <si>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</si>
  <si>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</si>
  <si>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</si>
  <si>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</si>
  <si>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</si>
  <si>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</si>
  <si>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</si>
  <si>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</si>
  <si>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</si>
  <si>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</si>
  <si>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</si>
  <si>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</si>
  <si>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</si>
  <si>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</si>
  <si>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</si>
  <si>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</si>
  <si>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</si>
  <si>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</si>
  <si>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</si>
  <si>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</si>
  <si>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</si>
  <si>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</si>
  <si>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</si>
  <si>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</si>
  <si>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</si>
  <si>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</si>
  <si>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</si>
  <si>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</si>
  <si>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</si>
  <si>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</si>
  <si>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</si>
  <si>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</si>
  <si>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</si>
  <si>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</si>
  <si>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</si>
  <si>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</si>
  <si>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</si>
  <si>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</si>
  <si>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</si>
  <si>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</si>
  <si>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</si>
  <si>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</si>
  <si>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</si>
  <si>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</si>
  <si>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</si>
  <si>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</si>
  <si>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</si>
  <si>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</si>
  <si>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</si>
  <si>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</si>
  <si>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</si>
  <si>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</si>
  <si>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</si>
  <si>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</si>
  <si>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</si>
  <si>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</si>
  <si>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</si>
  <si>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</si>
  <si>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</si>
  <si>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</si>
  <si>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</si>
  <si>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</si>
  <si>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</si>
  <si>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</si>
  <si>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</si>
  <si>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</si>
  <si>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</si>
  <si>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</si>
  <si>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</si>
  <si>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</si>
  <si>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</si>
  <si>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</si>
  <si>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</si>
  <si>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</si>
  <si>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</si>
  <si>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</si>
  <si>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</si>
  <si>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</si>
  <si>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</si>
  <si>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</si>
  <si>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</si>
  <si>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</si>
  <si>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</si>
  <si>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</si>
  <si>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</si>
  <si>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</si>
  <si>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</si>
  <si>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</si>
  <si>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</si>
  <si>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</si>
  <si>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</si>
  <si>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</si>
  <si>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</si>
  <si>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</si>
  <si>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</si>
  <si>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</si>
  <si>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</si>
  <si>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</si>
  <si>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</si>
  <si>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</si>
  <si>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</si>
  <si>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</si>
  <si>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</si>
  <si>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</si>
  <si>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</si>
  <si>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</si>
  <si>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</si>
  <si>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</si>
  <si>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</si>
  <si>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</si>
  <si>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</si>
  <si>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</si>
  <si>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</si>
  <si>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</si>
  <si>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</si>
  <si>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</si>
  <si>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</si>
  <si>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</si>
  <si>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</si>
  <si>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</si>
  <si>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</si>
  <si>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</si>
  <si>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</si>
  <si>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</si>
  <si>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</si>
  <si>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</si>
  <si>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</si>
  <si>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</si>
  <si>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</si>
  <si>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</si>
  <si>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</si>
  <si>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</si>
  <si>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</si>
  <si>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</si>
  <si>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</si>
  <si>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</si>
  <si>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</si>
  <si>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</si>
  <si>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</si>
  <si>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</si>
  <si>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</si>
  <si>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</si>
  <si>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</si>
  <si>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</si>
  <si>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</si>
  <si>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</si>
  <si>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</si>
  <si>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</si>
  <si>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</si>
  <si>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</si>
  <si>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</si>
  <si>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</si>
  <si>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</si>
  <si>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</si>
  <si>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</si>
  <si>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</si>
  <si>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</si>
  <si>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</si>
  <si>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</si>
  <si>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</si>
  <si>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</si>
  <si>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</si>
  <si>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</si>
  <si>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</si>
  <si>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</si>
  <si>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</si>
  <si>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</si>
  <si>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</si>
  <si>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</si>
  <si>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</si>
  <si>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</si>
  <si>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</si>
  <si>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</si>
  <si>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</si>
  <si>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</si>
  <si>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</si>
  <si>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</si>
  <si>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</si>
  <si>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</si>
  <si>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</si>
  <si>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</si>
  <si>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</si>
  <si>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</si>
  <si>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</si>
  <si>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</si>
  <si>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</si>
  <si>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</si>
  <si>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</si>
  <si>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</si>
  <si>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</si>
  <si>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</si>
  <si>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</si>
  <si>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</si>
  <si>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</si>
  <si>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</si>
  <si>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</si>
  <si>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</si>
  <si>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</si>
  <si>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</si>
  <si>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</si>
  <si>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</si>
  <si>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</si>
  <si>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</si>
  <si>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</si>
  <si>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</si>
  <si>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</si>
  <si>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</si>
  <si>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</si>
  <si>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</si>
  <si>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</si>
  <si>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</si>
  <si>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</si>
  <si>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</si>
  <si>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</si>
  <si>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</si>
  <si>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</si>
  <si>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</si>
  <si>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</si>
  <si>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</si>
  <si>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</si>
  <si>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</si>
  <si>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</si>
  <si>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</si>
  <si>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</si>
  <si>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</si>
  <si>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</si>
  <si>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</si>
  <si>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</si>
  <si>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</si>
  <si>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</si>
  <si>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</si>
  <si>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</si>
  <si>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</si>
  <si>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</si>
  <si>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</si>
  <si>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</si>
  <si>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</si>
  <si>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</si>
  <si>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</si>
  <si>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</si>
  <si>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</si>
  <si>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</si>
  <si>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</si>
  <si>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</si>
  <si>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</si>
  <si>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</si>
  <si>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</si>
  <si>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</si>
  <si>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</si>
  <si>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</si>
  <si>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</si>
  <si>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</si>
  <si>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</si>
  <si>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</si>
  <si>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</si>
  <si>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</si>
  <si>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</si>
  <si>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</si>
  <si>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</si>
  <si>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</si>
  <si>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</si>
  <si>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</si>
  <si>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</si>
  <si>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</si>
  <si>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</si>
  <si>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</si>
  <si>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</si>
  <si>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</si>
  <si>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</si>
  <si>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</si>
  <si>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</si>
  <si>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</si>
  <si>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</si>
  <si>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</si>
  <si>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</si>
  <si>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</si>
  <si>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</si>
  <si>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</si>
  <si>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</si>
  <si>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</si>
  <si>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</si>
  <si>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</si>
  <si>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</si>
  <si>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</si>
  <si>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</si>
  <si>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</si>
  <si>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</si>
  <si>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</si>
  <si>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</si>
  <si>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</si>
  <si>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</si>
  <si>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</si>
  <si>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</si>
  <si>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</si>
  <si>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</si>
  <si>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</si>
  <si>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</si>
  <si>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</si>
  <si>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</si>
  <si>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</si>
  <si>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</si>
  <si>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</si>
  <si>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</si>
  <si>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</si>
  <si>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</si>
  <si>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</si>
  <si>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</si>
  <si>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</si>
  <si>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</si>
  <si>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</si>
  <si>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</si>
  <si>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</si>
  <si>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</si>
  <si>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</si>
  <si>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</si>
  <si>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</si>
  <si>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</si>
  <si>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</si>
  <si>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</si>
  <si>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</si>
  <si>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</si>
  <si>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</si>
  <si>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</si>
  <si>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</si>
  <si>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</si>
  <si>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</si>
  <si>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</si>
  <si>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</si>
  <si>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</si>
  <si>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</si>
  <si>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</si>
  <si>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</si>
  <si>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</si>
  <si>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</si>
  <si>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</si>
  <si>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</si>
  <si>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</si>
  <si>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</si>
  <si>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</si>
  <si>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</si>
  <si>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</si>
  <si>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</si>
  <si>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</si>
  <si>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</si>
  <si>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</si>
  <si>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</si>
  <si>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</si>
  <si>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</si>
  <si>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</si>
  <si>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</si>
  <si>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</si>
  <si>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</si>
  <si>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</si>
  <si>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</si>
  <si>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</si>
  <si>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</si>
  <si>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</si>
  <si>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</si>
  <si>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</si>
  <si>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</si>
  <si>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</si>
  <si>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</si>
  <si>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</si>
  <si>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</si>
  <si>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</si>
  <si>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</si>
  <si>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</si>
  <si>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</si>
  <si>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</si>
  <si>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</si>
  <si>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</si>
  <si>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</si>
  <si>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</si>
  <si>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</si>
  <si>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</si>
  <si>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</si>
  <si>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</si>
  <si>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</si>
  <si>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</si>
  <si>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</si>
  <si>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</si>
  <si>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</si>
  <si>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</si>
  <si>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</si>
  <si>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</si>
  <si>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</si>
  <si>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</si>
  <si>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</si>
  <si>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</si>
  <si>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</si>
  <si>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</si>
  <si>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</si>
  <si>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</si>
  <si>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</si>
  <si>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</si>
  <si>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</si>
  <si>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</si>
  <si>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</si>
  <si>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</si>
  <si>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</si>
  <si>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</si>
  <si>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</si>
  <si>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</si>
  <si>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</si>
  <si>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</si>
  <si>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</si>
  <si>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</si>
  <si>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</si>
  <si>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</si>
  <si>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</si>
  <si>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</si>
  <si>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</si>
  <si>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</si>
  <si>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</si>
  <si>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</si>
  <si>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</si>
  <si>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</si>
  <si>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</si>
  <si>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</si>
  <si>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</si>
  <si>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</si>
  <si>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</si>
  <si>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</si>
  <si>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</si>
  <si>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</si>
  <si>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</si>
  <si>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</si>
  <si>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</si>
  <si>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</si>
  <si>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</si>
  <si>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</si>
  <si>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</si>
  <si>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</si>
  <si>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</si>
  <si>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</si>
  <si>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</si>
  <si>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</si>
  <si>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</si>
  <si>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</si>
  <si>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</si>
  <si>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</si>
  <si>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</si>
  <si>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</si>
  <si>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</si>
  <si>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</si>
  <si>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</si>
  <si>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</si>
  <si>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</si>
  <si>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</si>
  <si>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</si>
  <si>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</si>
  <si>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</si>
  <si>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</si>
  <si>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</si>
  <si>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</si>
  <si>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</si>
  <si>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</si>
  <si>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</si>
  <si>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</si>
  <si>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</si>
  <si>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</si>
  <si>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</si>
  <si>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</si>
  <si>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</si>
  <si>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</si>
  <si>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</si>
  <si>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</si>
  <si>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</si>
  <si>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</si>
  <si>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</si>
  <si>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</si>
  <si>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</si>
  <si>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</si>
  <si>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</si>
  <si>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</si>
  <si>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</si>
  <si>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</si>
  <si>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</si>
  <si>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</si>
  <si>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</si>
  <si>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</si>
  <si>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</si>
  <si>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</si>
  <si>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</si>
  <si>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</si>
  <si>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</si>
  <si>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</si>
  <si>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</si>
  <si>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</si>
  <si>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</si>
  <si>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</si>
  <si>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</si>
  <si>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</si>
  <si>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</si>
  <si>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</si>
  <si>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</si>
  <si>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</si>
  <si>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</si>
  <si>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</si>
  <si>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</si>
  <si>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</si>
  <si>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</si>
  <si>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</si>
  <si>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</si>
  <si>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</si>
  <si>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</si>
  <si>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</si>
  <si>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</si>
  <si>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</si>
  <si>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</si>
  <si>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</si>
  <si>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</si>
  <si>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</si>
  <si>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</si>
  <si>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</si>
  <si>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</si>
  <si>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</si>
  <si>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</si>
  <si>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</si>
  <si>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</si>
  <si>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</si>
  <si>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</si>
  <si>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</si>
  <si>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</si>
  <si>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</si>
  <si>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</si>
  <si>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</si>
  <si>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</si>
  <si>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</si>
  <si>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</si>
  <si>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</si>
  <si>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</si>
  <si>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</si>
  <si>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</si>
  <si>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</si>
  <si>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</si>
  <si>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</si>
  <si>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</si>
  <si>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</si>
  <si>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</si>
  <si>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</si>
  <si>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</si>
  <si>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</si>
  <si>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</si>
  <si>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</si>
  <si>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</si>
  <si>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</si>
  <si>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</si>
  <si>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</si>
  <si>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</si>
  <si>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</si>
  <si>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</si>
  <si>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</si>
  <si>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</si>
  <si>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</si>
  <si>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</si>
  <si>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</si>
  <si>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</si>
  <si>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</si>
  <si>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</si>
  <si>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</si>
  <si>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</si>
  <si>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</si>
  <si>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</si>
  <si>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</si>
  <si>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</si>
  <si>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</si>
  <si>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</si>
  <si>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</si>
  <si>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</si>
  <si>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</si>
  <si>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</si>
  <si>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</si>
  <si>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</si>
  <si>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</si>
  <si>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</si>
  <si>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</si>
  <si>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</si>
  <si>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</si>
  <si>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</si>
  <si>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</si>
  <si>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</si>
  <si>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</si>
  <si>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</si>
  <si>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</si>
  <si>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</si>
  <si>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</si>
  <si>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</si>
  <si>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</si>
  <si>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</si>
  <si>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</si>
  <si>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</si>
  <si>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</si>
  <si>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</si>
  <si>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</si>
  <si>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</si>
  <si>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</si>
  <si>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</si>
  <si>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</si>
  <si>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</si>
  <si>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</si>
  <si>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</si>
  <si>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</si>
  <si>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</si>
  <si>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</si>
  <si>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</si>
  <si>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</si>
  <si>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</si>
  <si>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</si>
  <si>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</si>
  <si>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</si>
  <si>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</si>
  <si>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</si>
  <si>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</si>
  <si>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</si>
  <si>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</si>
  <si>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</si>
  <si>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</si>
  <si>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</si>
  <si>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</si>
  <si>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</si>
  <si>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</si>
  <si>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</si>
  <si>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</si>
  <si>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</si>
  <si>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</si>
  <si>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</si>
  <si>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</si>
  <si>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</si>
  <si>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</si>
  <si>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</si>
  <si>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</si>
  <si>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</si>
  <si>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</si>
  <si>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</si>
  <si>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</si>
  <si>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</si>
  <si>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</si>
  <si>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</si>
  <si>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</si>
  <si>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</si>
  <si>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</si>
  <si>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</si>
  <si>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</si>
  <si>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</si>
  <si>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</si>
  <si>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</si>
  <si>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</si>
  <si>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</si>
  <si>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</si>
  <si>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</si>
  <si>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</si>
  <si>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</si>
  <si>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</si>
  <si>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</si>
  <si>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</si>
  <si>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</si>
  <si>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</si>
  <si>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</si>
  <si>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</si>
  <si>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</si>
  <si>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</si>
  <si>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</si>
  <si>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</si>
  <si>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</si>
  <si>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</si>
  <si>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</si>
  <si>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</si>
  <si>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</si>
  <si>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</si>
  <si>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</si>
  <si>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</si>
  <si>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</si>
  <si>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</si>
  <si>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</si>
  <si>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</si>
  <si>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</si>
  <si>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</si>
  <si>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</si>
  <si>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</si>
  <si>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</si>
  <si>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</si>
  <si>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</si>
  <si>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</si>
  <si>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</si>
  <si>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</si>
  <si>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</si>
  <si>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</si>
  <si>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</si>
  <si>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</si>
  <si>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</si>
  <si>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</si>
  <si>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</si>
  <si>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</si>
  <si>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</si>
  <si>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</si>
  <si>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</si>
  <si>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</si>
  <si>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Cerrrajerí Muixara</t>
  </si>
  <si>
    <t>Decor corredera 1H</t>
  </si>
  <si>
    <t>725x2100 mm</t>
  </si>
  <si>
    <t>35008 - Guía a pared, 2m</t>
  </si>
  <si>
    <t>35040 - 60 Kgrs</t>
  </si>
  <si>
    <t>35037 - 60 Kgrs.</t>
  </si>
  <si>
    <t>35054 - CAVE adhesivo</t>
  </si>
  <si>
    <t>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</si>
</sst>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145677</xdr:colOff>
      <xdr:row>11</xdr:row>
      <xdr:rowOff>156883</xdr:rowOff>
    </xdr:from>
    <xdr:to>
      <xdr:col>4</xdr:col>
      <xdr:colOff>379212</xdr:colOff>
      <xdr:row>23</xdr:row>
      <xdr:rowOff>30883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28416A4-32CA-D5DE-2C90-A8F059EF7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559" y="2398059"/>
          <a:ext cx="2508329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95" workbookViewId="0">
      <selection activeCell="B14" sqref="B14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1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20250034</v>
      </c>
      <c r="G7" s="8">
        <f ca="1">TODAY()</f>
        <v>45702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183</v>
      </c>
      <c r="C13" s="80" t="str">
        <f>IFERROR(VLOOKUP($B13,Tarifa_all_20240711!$A$2:$G$660,2,FALSE()),"-")</f>
        <v>GUIA SUP PARED PLUS ANOD.PLATA MATE-3 MTS</v>
      </c>
      <c r="D13" s="80"/>
      <c r="E13" s="17">
        <v>1</v>
      </c>
      <c r="F13" s="18">
        <f>IFERROR(VLOOKUP($B13,Tarifa_all_20240711!$A$2:$G$660,5,FALSE()),"-")</f>
        <v>79.034999999999997</v>
      </c>
      <c r="G13" s="18">
        <f t="shared" ref="G13:G30" si="0">IFERROR(E13*F13,"-")</f>
        <v>79.034999999999997</v>
      </c>
      <c r="H13" s="1"/>
    </row>
    <row r="14" spans="1:12" x14ac:dyDescent="0.25">
      <c r="A14" t="s">
        <v>15</v>
      </c>
      <c r="B14" s="16" t="s">
        <v>1421</v>
      </c>
      <c r="C14" s="80" t="str">
        <f>IFERROR(VLOOKUP($B14,Tarifa_all_20240711!$A$2:$G$660,2,FALSE()),"-")</f>
        <v>TAPETA LAT. GUIA SKY PARED PLUS DERECHA BLANCO</v>
      </c>
      <c r="D14" s="80"/>
      <c r="E14" s="17">
        <v>1</v>
      </c>
      <c r="F14" s="18">
        <f>IFERROR(VLOOKUP($B14,Tarifa_all_20240711!$A$2:$G$660,5,FALSE()),"-")</f>
        <v>12.585000000000001</v>
      </c>
      <c r="G14" s="18">
        <f t="shared" si="0"/>
        <v>12.585000000000001</v>
      </c>
      <c r="H14" s="1"/>
    </row>
    <row r="15" spans="1:12" x14ac:dyDescent="0.25">
      <c r="A15" t="s">
        <v>16</v>
      </c>
      <c r="B15" s="16" t="s">
        <v>1425</v>
      </c>
      <c r="C15" s="80" t="str">
        <f>IFERROR(VLOOKUP($B15,Tarifa_all_20240711!$A$2:$G$660,2,FALSE()),"-")</f>
        <v>TAPETA LAT. GUIA SKY PARED PLUS IZQUIERDA BLANCO</v>
      </c>
      <c r="D15" s="80"/>
      <c r="E15" s="17">
        <v>1</v>
      </c>
      <c r="F15" s="18">
        <f>IFERROR(VLOOKUP($B15,Tarifa_all_20240711!$A$2:$G$660,5,FALSE()),"-")</f>
        <v>12.585000000000001</v>
      </c>
      <c r="G15" s="18">
        <f t="shared" si="0"/>
        <v>12.585000000000001</v>
      </c>
      <c r="H15" s="1"/>
    </row>
    <row r="16" spans="1:12" x14ac:dyDescent="0.25">
      <c r="A16" t="s">
        <v>17</v>
      </c>
      <c r="B16" s="16" t="s">
        <v>337</v>
      </c>
      <c r="C16" s="80" t="str">
        <f>IFERROR(VLOOKUP($B16,Tarifa_all_20240711!$A$2:$G$660,2,FALSE()),"-")</f>
        <v>KIT AMORTIGUADOR SKY BIDIRECCIONAL 60KG</v>
      </c>
      <c r="D16" s="80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543</v>
      </c>
      <c r="C17" s="80" t="str">
        <f>IFERROR(VLOOKUP($B17,Tarifa_all_20240711!$A$2:$G$660,2,FALSE()),"-")</f>
        <v>KIT PUERTA PA CORREDERA ANOD.PLATA MATE</v>
      </c>
      <c r="D17" s="80"/>
      <c r="E17" s="17">
        <v>1</v>
      </c>
      <c r="F17" s="18">
        <f>IFERROR(VLOOKUP($B17,Tarifa_all_20240711!$A$2:$G$660,5,FALSE()),"-")</f>
        <v>193.2225</v>
      </c>
      <c r="G17" s="18">
        <f t="shared" si="0"/>
        <v>193.2225</v>
      </c>
      <c r="H17" s="1"/>
    </row>
    <row r="18" spans="1:8" x14ac:dyDescent="0.25">
      <c r="A18" t="s">
        <v>19</v>
      </c>
      <c r="B18" s="16" t="s">
        <v>331</v>
      </c>
      <c r="C18" s="80" t="str">
        <f>IFERROR(VLOOKUP($B18,Tarifa_all_20240711!$A$2:$G$660,2,FALSE()),"-")</f>
        <v>CARRO SKY MADERA 60KG</v>
      </c>
      <c r="D18" s="80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571</v>
      </c>
      <c r="C19" s="80" t="str">
        <f>IFERROR(VLOOKUP($B19,Tarifa_all_20240711!$A$2:$G$660,2,FALSE()),"-")</f>
        <v>TIRADOR RECT.ADH CAVE ANOD.PLATA MATE: 2 UDS</v>
      </c>
      <c r="D19" s="80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558</v>
      </c>
      <c r="C20" s="80" t="str">
        <f>IFERROR(VLOOKUP($B20,Tarifa_all_20240711!$A$2:$G$660,2,FALSE()),"-")</f>
        <v>GUIADOR FIJO PA ANOD.PLATA MATE</v>
      </c>
      <c r="D20" s="80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76" t="s">
        <v>547</v>
      </c>
      <c r="C21" s="81" t="str">
        <f>IFERROR(VLOOKUP($B21,Tarifa_all_20240711!$A$2:$G$660,2,FALSE()),"-")</f>
        <v>PERFIL EMBELL.HORIZ. ADH ANOD.PLATA MATE</v>
      </c>
      <c r="D21" s="81"/>
      <c r="E21" s="77">
        <v>2</v>
      </c>
      <c r="F21" s="78">
        <f>IFERROR(VLOOKUP($B21,Tarifa_all_20240711!$A$2:$G$660,5,FALSE()),"-")</f>
        <v>20.384999999999998</v>
      </c>
      <c r="G21" s="78">
        <f t="shared" si="0"/>
        <v>40.769999999999996</v>
      </c>
      <c r="H21" s="1"/>
    </row>
    <row r="22" spans="1:8" x14ac:dyDescent="0.25">
      <c r="B22" s="16"/>
      <c r="C22" s="80" t="str">
        <f>IFERROR(VLOOKUP($B22,Tarifa_all_20240711!$A$2:$G$660,2,FALSE()),"-")</f>
        <v>-</v>
      </c>
      <c r="D22" s="80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80" t="str">
        <f>IFERROR(VLOOKUP($B23,Tarifa_all_20240711!$A$2:$G$660,2,FALSE()),"-")</f>
        <v>-</v>
      </c>
      <c r="D23" s="80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0" t="str">
        <f>IFERROR(VLOOKUP($B24,Tarifa_all_20240711!$A$2:$G$660,2,FALSE()),"-")</f>
        <v>-</v>
      </c>
      <c r="D24" s="8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453.16500000000002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76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9"/>
      <c r="E52" s="79"/>
      <c r="F52" s="79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zoomScale="60" zoomScaleNormal="85" workbookViewId="0">
      <selection activeCell="D20" sqref="D2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78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Cerrrajerí Muixara</v>
      </c>
      <c r="C9" s="90"/>
      <c r="D9" s="90"/>
      <c r="F9" s="3" t="s">
        <v>81</v>
      </c>
      <c r="G9" s="44">
        <f ca="1">TODAY()</f>
        <v>45702</v>
      </c>
    </row>
    <row r="10" spans="1:7" x14ac:dyDescent="0.25">
      <c r="A10" s="3" t="s">
        <v>82</v>
      </c>
      <c r="B10" s="11" t="str">
        <f>'DESPIECE (MATANALYSIS)'!C9</f>
        <v>Decor corredera 1H</v>
      </c>
      <c r="C10" s="45"/>
      <c r="D10" s="45"/>
      <c r="E10" s="46"/>
      <c r="F10" s="47" t="s">
        <v>83</v>
      </c>
      <c r="G10" s="7">
        <f>'DESPIECE (MATANALYSIS)'!C7</f>
        <v>20250034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ANOD.  PLATA MATE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1451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1452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95</v>
      </c>
      <c r="B47" s="86"/>
      <c r="C47" s="59"/>
      <c r="D47" s="59"/>
      <c r="E47" s="59"/>
      <c r="F47" s="87">
        <f>'DESPIECE (MATANALYSIS)'!G31</f>
        <v>453.16500000000002</v>
      </c>
      <c r="G47" s="87"/>
    </row>
    <row r="48" spans="1:7" s="1" customFormat="1" ht="22.7" customHeight="1" x14ac:dyDescent="0.25">
      <c r="A48" s="88" t="s">
        <v>96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2025-02-14T11:37:02Z</dcterms:modified>
  <dc:language>es-ES</dc:language>
</cp:coreProperties>
</file>