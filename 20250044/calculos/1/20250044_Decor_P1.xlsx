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4\calculos\1\"/>
    </mc:Choice>
  </mc:AlternateContent>
  <xr:revisionPtr revIDLastSave="0" documentId="13_ncr:1_{16AD6E7F-519D-4F65-BD68-CC91AF6E18E1}" xr6:coauthVersionLast="47" xr6:coauthVersionMax="47" xr10:uidLastSave="{00000000-0000-0000-0000-000000000000}"/>
  <bookViews>
    <workbookView xWindow="2850" yWindow="900" windowWidth="22965" windowHeight="1429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0" l="1"/>
  <c r="H21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<sst xmlns="http://schemas.openxmlformats.org/spreadsheetml/2006/main" count="5409" uniqueCount="1455">
  <si>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</si>
  <si>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</si>
  <si>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</si>
  <si>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</si>
  <si>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</si>
  <si>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</si>
  <si>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</si>
  <si>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</si>
  <si>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</si>
  <si>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</si>
  <si>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</si>
  <si>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</si>
  <si>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</si>
  <si>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</si>
  <si>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</si>
  <si>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</si>
  <si>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</si>
  <si>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</si>
  <si>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</si>
  <si>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</si>
  <si>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</si>
  <si>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</si>
  <si>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</si>
  <si>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</si>
  <si>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</si>
  <si>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</si>
  <si>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</si>
  <si>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</si>
  <si>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</si>
  <si>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</si>
  <si>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</si>
  <si>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</si>
  <si>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</si>
  <si>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</si>
  <si>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</si>
  <si>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</si>
  <si>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</si>
  <si>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</si>
  <si>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</si>
  <si>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</si>
  <si>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</si>
  <si>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</si>
  <si>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</si>
  <si>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</si>
  <si>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</si>
  <si>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</si>
  <si>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</si>
  <si>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</si>
  <si>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</si>
  <si>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</si>
  <si>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</si>
  <si>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</si>
  <si>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</si>
  <si>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</si>
  <si>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</si>
  <si>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</si>
  <si>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</si>
  <si>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</si>
  <si>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</si>
  <si>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</si>
  <si>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</si>
  <si>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</si>
  <si>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</si>
  <si>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</si>
  <si>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</si>
  <si>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</si>
  <si>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</si>
  <si>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</si>
  <si>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</si>
  <si>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</si>
  <si>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</si>
  <si>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</si>
  <si>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</si>
  <si>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</si>
  <si>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</si>
  <si>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</si>
  <si>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</si>
  <si>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</si>
  <si>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</si>
  <si>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</si>
  <si>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</si>
  <si>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</si>
  <si>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</si>
  <si>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</si>
  <si>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</si>
  <si>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</si>
  <si>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</si>
  <si>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</si>
  <si>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</si>
  <si>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</si>
  <si>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</si>
  <si>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</si>
  <si>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</si>
  <si>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</si>
  <si>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</si>
  <si>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</si>
  <si>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</si>
  <si>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</si>
  <si>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</si>
  <si>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</si>
  <si>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</si>
  <si>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</si>
  <si>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</si>
  <si>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</si>
  <si>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</si>
  <si>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</si>
  <si>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</si>
  <si>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</si>
  <si>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</si>
  <si>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</si>
  <si>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</si>
  <si>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</si>
  <si>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</si>
  <si>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</si>
  <si>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</si>
  <si>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</si>
  <si>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</si>
  <si>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</si>
  <si>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</si>
  <si>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</si>
  <si>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</si>
  <si>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</si>
  <si>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</si>
  <si>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</si>
  <si>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</si>
  <si>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</si>
  <si>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</si>
  <si>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</si>
  <si>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</si>
  <si>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</si>
  <si>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</si>
  <si>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</si>
  <si>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</si>
  <si>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</si>
  <si>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</si>
  <si>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</si>
  <si>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</si>
  <si>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</si>
  <si>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</si>
  <si>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</si>
  <si>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</si>
  <si>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</si>
  <si>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</si>
  <si>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</si>
  <si>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</si>
  <si>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</si>
  <si>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</si>
  <si>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</si>
  <si>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</si>
  <si>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</si>
  <si>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</si>
  <si>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</si>
  <si>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</si>
  <si>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</si>
  <si>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</si>
  <si>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</si>
  <si>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</si>
  <si>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</si>
  <si>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</si>
  <si>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</si>
  <si>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</si>
  <si>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</si>
  <si>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</si>
  <si>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</si>
  <si>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</si>
  <si>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</si>
  <si>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</si>
  <si>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</si>
  <si>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</si>
  <si>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</si>
  <si>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</si>
  <si>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</si>
  <si>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</si>
  <si>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</si>
  <si>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</si>
  <si>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</si>
  <si>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</si>
  <si>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</si>
  <si>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</si>
  <si>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</si>
  <si>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</si>
  <si>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</si>
  <si>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</si>
  <si>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</si>
  <si>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</si>
  <si>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</si>
  <si>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</si>
  <si>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</si>
  <si>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</si>
  <si>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</si>
  <si>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</si>
  <si>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</si>
  <si>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</si>
  <si>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</si>
  <si>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</si>
  <si>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</si>
  <si>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</si>
  <si>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</si>
  <si>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</si>
  <si>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</si>
  <si>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</si>
  <si>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</si>
  <si>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</si>
  <si>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</si>
  <si>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</si>
  <si>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</si>
  <si>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</si>
  <si>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</si>
  <si>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</si>
  <si>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</si>
  <si>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</si>
  <si>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</si>
  <si>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</si>
  <si>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</si>
  <si>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</si>
  <si>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</si>
  <si>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</si>
  <si>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</si>
  <si>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</si>
  <si>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</si>
  <si>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</si>
  <si>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</si>
  <si>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</si>
  <si>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</si>
  <si>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</si>
  <si>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</si>
  <si>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</si>
  <si>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</si>
  <si>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</si>
  <si>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</si>
  <si>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</si>
  <si>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</si>
  <si>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</si>
  <si>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</si>
  <si>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</si>
  <si>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</si>
  <si>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</si>
  <si>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</si>
  <si>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</si>
  <si>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</si>
  <si>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</si>
  <si>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</si>
  <si>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</si>
  <si>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</si>
  <si>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</si>
  <si>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</si>
  <si>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</si>
  <si>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</si>
  <si>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</si>
  <si>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</si>
  <si>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</si>
  <si>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</si>
  <si>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</si>
  <si>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</si>
  <si>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</si>
  <si>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</si>
  <si>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</si>
  <si>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</si>
  <si>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</si>
  <si>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</si>
  <si>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</si>
  <si>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</si>
  <si>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</si>
  <si>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</si>
  <si>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</si>
  <si>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</si>
  <si>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</si>
  <si>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</si>
  <si>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</si>
  <si>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</si>
  <si>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</si>
  <si>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</si>
  <si>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</si>
  <si>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</si>
  <si>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</si>
  <si>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</si>
  <si>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</si>
  <si>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</si>
  <si>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</si>
  <si>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</si>
  <si>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</si>
  <si>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</si>
  <si>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</si>
  <si>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</si>
  <si>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</si>
  <si>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</si>
  <si>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</si>
  <si>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</si>
  <si>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</si>
  <si>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</si>
  <si>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</si>
  <si>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</si>
  <si>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</si>
  <si>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</si>
  <si>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</si>
  <si>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</si>
  <si>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</si>
  <si>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</si>
  <si>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</si>
  <si>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</si>
  <si>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</si>
  <si>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</si>
  <si>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</si>
  <si>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</si>
  <si>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</si>
  <si>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</si>
  <si>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</si>
  <si>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</si>
  <si>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</si>
  <si>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</si>
  <si>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</si>
  <si>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</si>
  <si>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</si>
  <si>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</si>
  <si>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</si>
  <si>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</si>
  <si>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</si>
  <si>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</si>
  <si>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</si>
  <si>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</si>
  <si>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</si>
  <si>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</si>
  <si>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</si>
  <si>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</si>
  <si>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</si>
  <si>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</si>
  <si>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</si>
  <si>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</si>
  <si>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</si>
  <si>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</si>
  <si>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</si>
  <si>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</si>
  <si>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</si>
  <si>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</si>
  <si>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</si>
  <si>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</si>
  <si>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</si>
  <si>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</si>
  <si>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</si>
  <si>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</si>
  <si>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</si>
  <si>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</si>
  <si>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</si>
  <si>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</si>
  <si>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</si>
  <si>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</si>
  <si>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</si>
  <si>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</si>
  <si>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</si>
  <si>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</si>
  <si>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</si>
  <si>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</si>
  <si>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</si>
  <si>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</si>
  <si>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</si>
  <si>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</si>
  <si>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</si>
  <si>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</si>
  <si>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</si>
  <si>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</si>
  <si>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</si>
  <si>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</si>
  <si>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</si>
  <si>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</si>
  <si>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</si>
  <si>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</si>
  <si>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</si>
  <si>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</si>
  <si>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</si>
  <si>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</si>
  <si>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</si>
  <si>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</si>
  <si>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</si>
  <si>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</si>
  <si>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</si>
  <si>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</si>
  <si>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</si>
  <si>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</si>
  <si>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</si>
  <si>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</si>
  <si>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</si>
  <si>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</si>
  <si>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</si>
  <si>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</si>
  <si>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</si>
  <si>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</si>
  <si>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</si>
  <si>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</si>
  <si>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</si>
  <si>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</si>
  <si>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</si>
  <si>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</si>
  <si>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</si>
  <si>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</si>
  <si>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</si>
  <si>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</si>
  <si>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</si>
  <si>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</si>
  <si>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</si>
  <si>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</si>
  <si>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</si>
  <si>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</si>
  <si>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</si>
  <si>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</si>
  <si>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</si>
  <si>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</si>
  <si>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</si>
  <si>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</si>
  <si>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</si>
  <si>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</si>
  <si>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</si>
  <si>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</si>
  <si>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</si>
  <si>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</si>
  <si>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</si>
  <si>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</si>
  <si>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</si>
  <si>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</si>
  <si>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</si>
  <si>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</si>
  <si>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</si>
  <si>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</si>
  <si>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</si>
  <si>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</si>
  <si>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</si>
  <si>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</si>
  <si>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</si>
  <si>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</si>
  <si>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</si>
  <si>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</si>
  <si>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</si>
  <si>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</si>
  <si>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</si>
  <si>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</si>
  <si>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</si>
  <si>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</si>
  <si>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</si>
  <si>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</si>
  <si>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</si>
  <si>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</si>
  <si>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</si>
  <si>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</si>
  <si>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</si>
  <si>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</si>
  <si>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</si>
  <si>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</si>
  <si>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</si>
  <si>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</si>
  <si>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</si>
  <si>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</si>
  <si>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</si>
  <si>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</si>
  <si>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</si>
  <si>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</si>
  <si>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</si>
  <si>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</si>
  <si>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</si>
  <si>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</si>
  <si>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</si>
  <si>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</si>
  <si>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</si>
  <si>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</si>
  <si>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</si>
  <si>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</si>
  <si>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</si>
  <si>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</si>
  <si>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</si>
  <si>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</si>
  <si>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</si>
  <si>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</si>
  <si>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</si>
  <si>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</si>
  <si>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</si>
  <si>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</si>
  <si>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</si>
  <si>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</si>
  <si>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</si>
  <si>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</si>
  <si>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</si>
  <si>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</si>
  <si>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</si>
  <si>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</si>
  <si>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</si>
  <si>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</si>
  <si>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</si>
  <si>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</si>
  <si>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</si>
  <si>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</si>
  <si>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</si>
  <si>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</si>
  <si>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</si>
  <si>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</si>
  <si>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</si>
  <si>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</si>
  <si>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</si>
  <si>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</si>
  <si>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</si>
  <si>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</si>
  <si>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</si>
  <si>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</si>
  <si>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</si>
  <si>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</si>
  <si>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</si>
  <si>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</si>
  <si>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</si>
  <si>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</si>
  <si>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</si>
  <si>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</si>
  <si>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</si>
  <si>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</si>
  <si>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</si>
  <si>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</si>
  <si>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</si>
  <si>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</si>
  <si>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</si>
  <si>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</si>
  <si>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</si>
  <si>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</si>
  <si>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</si>
  <si>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</si>
  <si>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</si>
  <si>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</si>
  <si>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</si>
  <si>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</si>
  <si>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</si>
  <si>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</si>
  <si>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</si>
  <si>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</si>
  <si>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</si>
  <si>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</si>
  <si>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</si>
  <si>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</si>
  <si>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</si>
  <si>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</si>
  <si>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</si>
  <si>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</si>
  <si>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</si>
  <si>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</si>
  <si>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</si>
  <si>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</si>
  <si>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</si>
  <si>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</si>
  <si>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</si>
  <si>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</si>
  <si>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</si>
  <si>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</si>
  <si>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</si>
  <si>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</si>
  <si>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</si>
  <si>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</si>
  <si>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</si>
  <si>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</si>
  <si>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</si>
  <si>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</si>
  <si>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</si>
  <si>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</si>
  <si>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</si>
  <si>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</si>
  <si>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</si>
  <si>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</si>
  <si>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</si>
  <si>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</si>
  <si>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</si>
  <si>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</si>
  <si>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</si>
  <si>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</si>
  <si>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</si>
  <si>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</si>
  <si>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</si>
  <si>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</si>
  <si>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</si>
  <si>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</si>
  <si>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</si>
  <si>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</si>
  <si>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</si>
  <si>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</si>
  <si>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</si>
  <si>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</si>
  <si>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</si>
  <si>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</si>
  <si>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</si>
  <si>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</si>
  <si>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</si>
  <si>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</si>
  <si>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</si>
  <si>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</si>
  <si>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</si>
  <si>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</si>
  <si>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</si>
  <si>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</si>
  <si>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</si>
  <si>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</si>
  <si>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</si>
  <si>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</si>
  <si>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</si>
  <si>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</si>
  <si>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</si>
  <si>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</si>
  <si>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</si>
  <si>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</si>
  <si>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</si>
  <si>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</si>
  <si>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</si>
  <si>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</si>
  <si>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</si>
  <si>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</si>
  <si>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</si>
  <si>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</si>
  <si>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</si>
  <si>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</si>
  <si>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</si>
  <si>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</si>
  <si>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</si>
  <si>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</si>
  <si>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</si>
  <si>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</si>
  <si>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</si>
  <si>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</si>
  <si>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</si>
  <si>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</si>
  <si>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</si>
  <si>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</si>
  <si>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</si>
  <si>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</si>
  <si>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</si>
  <si>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</si>
  <si>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</si>
  <si>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</si>
  <si>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</si>
  <si>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</si>
  <si>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</si>
  <si>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</si>
  <si>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</si>
  <si>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</si>
  <si>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</si>
  <si>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</si>
  <si>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</si>
  <si>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</si>
  <si>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</si>
  <si>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</si>
  <si>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</si>
  <si>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</si>
  <si>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</si>
  <si>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</si>
  <si>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</si>
  <si>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</si>
  <si>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</si>
  <si>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</si>
  <si>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</si>
  <si>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</si>
  <si>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</si>
  <si>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</si>
  <si>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</si>
  <si>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</si>
  <si>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</si>
  <si>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</si>
  <si>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</si>
  <si>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</si>
  <si>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</si>
  <si>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</si>
  <si>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</si>
  <si>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</si>
  <si>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</si>
  <si>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</si>
  <si>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</si>
  <si>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</si>
  <si>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</si>
  <si>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</si>
  <si>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</si>
  <si>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</si>
  <si>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</si>
  <si>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</si>
  <si>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</si>
  <si>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</si>
  <si>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</si>
  <si>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</si>
  <si>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</si>
  <si>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</si>
  <si>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</si>
  <si>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</si>
  <si>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</si>
  <si>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</si>
  <si>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</si>
  <si>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</si>
  <si>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</si>
  <si>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</si>
  <si>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</si>
  <si>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</si>
  <si>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</si>
  <si>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</si>
  <si>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</si>
  <si>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</si>
  <si>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</si>
  <si>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</si>
  <si>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</si>
  <si>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</si>
  <si>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</si>
  <si>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</si>
  <si>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</si>
  <si>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</si>
  <si>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</si>
  <si>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</si>
  <si>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</si>
  <si>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</si>
  <si>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</si>
  <si>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</si>
  <si>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</si>
  <si>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</si>
  <si>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</si>
  <si>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</si>
  <si>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</si>
  <si>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</si>
  <si>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</si>
  <si>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</si>
  <si>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</si>
  <si>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</si>
  <si>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</si>
  <si>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</si>
  <si>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</si>
  <si>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</si>
  <si>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</si>
  <si>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</si>
  <si>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</si>
  <si>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</si>
  <si>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</si>
  <si>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</si>
  <si>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</si>
  <si>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</si>
  <si>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</si>
  <si>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</si>
  <si>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</si>
  <si>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</si>
  <si>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</si>
  <si>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</si>
  <si>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</si>
  <si>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</si>
  <si>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</si>
  <si>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</si>
  <si>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</si>
  <si>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</si>
  <si>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</si>
  <si>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</si>
  <si>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</si>
  <si>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</si>
  <si>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</si>
  <si>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</si>
  <si>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</si>
  <si>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</si>
  <si>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</si>
  <si>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</si>
  <si>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</si>
  <si>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</si>
  <si>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</si>
  <si>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</si>
  <si>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</si>
  <si>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</si>
  <si>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</si>
  <si>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</si>
  <si>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</si>
  <si>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</si>
  <si>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</si>
  <si>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</si>
  <si>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</si>
  <si>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</si>
  <si>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</si>
  <si>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</si>
  <si>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</si>
  <si>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</si>
  <si>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</si>
  <si>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</si>
  <si>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</si>
  <si>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</si>
  <si>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</si>
  <si>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</si>
  <si>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</si>
  <si>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</si>
  <si>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</si>
  <si>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</si>
  <si>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</si>
  <si>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</si>
  <si>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</si>
  <si>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</si>
  <si>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</si>
  <si>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</si>
  <si>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</si>
  <si>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</si>
  <si>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</si>
  <si>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</si>
  <si>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</si>
  <si>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</si>
  <si>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</si>
  <si>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</si>
  <si>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</si>
  <si>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</si>
  <si>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</si>
  <si>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</si>
  <si>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</si>
  <si>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</si>
  <si>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</si>
  <si>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</si>
  <si>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</si>
  <si>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</si>
  <si>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</si>
  <si>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</si>
  <si>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</si>
  <si>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</si>
  <si>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</si>
  <si>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</si>
  <si>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</si>
  <si>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</si>
  <si>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</si>
  <si>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</si>
  <si>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</si>
  <si>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</si>
  <si>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</si>
  <si>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</si>
  <si>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</si>
  <si>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</si>
  <si>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</si>
  <si>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</si>
  <si>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</si>
  <si>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</si>
  <si>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</si>
  <si>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</si>
  <si>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</si>
  <si>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</si>
  <si>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</si>
  <si>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</si>
  <si>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</si>
  <si>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</si>
  <si>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</si>
  <si>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</si>
  <si>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</si>
  <si>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</si>
  <si>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</si>
  <si>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</si>
  <si>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</si>
  <si>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</si>
  <si>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</si>
  <si>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</si>
  <si>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</si>
  <si>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</si>
  <si>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</si>
  <si>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</si>
  <si>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</si>
  <si>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</si>
  <si>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</si>
  <si>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</si>
  <si>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</si>
  <si>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</si>
  <si>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</si>
  <si>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</si>
  <si>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</si>
  <si>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</si>
  <si>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</si>
  <si>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</si>
  <si>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</si>
  <si>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</si>
  <si>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</si>
  <si>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</si>
  <si>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</si>
  <si>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</si>
  <si>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</si>
  <si>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</si>
  <si>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</si>
  <si>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</si>
  <si>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</si>
  <si>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</si>
  <si>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</si>
  <si>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</si>
  <si>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</si>
  <si>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</si>
  <si>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</si>
  <si>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</si>
  <si>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</si>
  <si>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</si>
  <si>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</si>
  <si>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</si>
  <si>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</si>
  <si>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</si>
  <si>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</si>
  <si>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</si>
  <si>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</si>
  <si>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</si>
  <si>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</si>
  <si>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</si>
  <si>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</si>
  <si>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</si>
  <si>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</si>
  <si>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</si>
  <si>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</si>
  <si>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</si>
  <si>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</si>
  <si>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</si>
  <si>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</si>
  <si>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</si>
  <si>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</si>
  <si>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</si>
  <si>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</si>
  <si>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</si>
  <si>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</si>
  <si>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</si>
  <si>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</si>
  <si>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</si>
  <si>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</si>
  <si>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</si>
  <si>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</si>
  <si>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</si>
  <si>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</si>
  <si>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</si>
  <si>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</si>
  <si>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</si>
  <si>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</si>
  <si>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</si>
  <si>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</si>
  <si>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</si>
  <si>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</si>
  <si>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</si>
  <si>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</si>
  <si>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</si>
  <si>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</si>
  <si>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</si>
  <si>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</si>
  <si>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</si>
  <si>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</si>
  <si>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</si>
  <si>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</si>
  <si>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</si>
  <si>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</si>
  <si>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</si>
  <si>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</si>
  <si>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</si>
  <si>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</si>
  <si>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</si>
  <si>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</si>
  <si>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</si>
  <si>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</si>
  <si>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</si>
  <si>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</si>
  <si>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</si>
  <si>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</si>
  <si>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</si>
  <si>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</si>
  <si>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</si>
  <si>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</si>
  <si>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</si>
  <si>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</si>
  <si>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</si>
  <si>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</si>
  <si>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</si>
  <si>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</si>
  <si>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</si>
  <si>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</si>
  <si>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</si>
  <si>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</si>
  <si>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</si>
  <si>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</si>
  <si>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</si>
  <si>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</si>
  <si>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</si>
  <si>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</si>
  <si>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</si>
  <si>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</si>
  <si>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</si>
  <si>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</si>
  <si>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</si>
  <si>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</si>
  <si>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</si>
  <si>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</si>
  <si>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</si>
  <si>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</si>
  <si>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</si>
  <si>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</si>
  <si>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</si>
  <si>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</si>
  <si>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</si>
  <si>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</si>
  <si>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</si>
  <si>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</si>
  <si>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</si>
  <si>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</si>
  <si>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</si>
  <si>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</si>
  <si>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</si>
  <si>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</si>
  <si>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</si>
  <si>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</si>
  <si>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</si>
  <si>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</si>
  <si>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</si>
  <si>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</si>
  <si>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</si>
  <si>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</si>
  <si>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</si>
  <si>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</si>
  <si>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</si>
  <si>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</si>
  <si>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</si>
  <si>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</si>
  <si>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</si>
  <si>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</si>
  <si>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</si>
  <si>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</si>
  <si>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</si>
  <si>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</si>
  <si>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</si>
  <si>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</si>
  <si>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</si>
  <si>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</si>
  <si>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</si>
  <si>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</si>
  <si>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</si>
  <si>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</si>
  <si>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</si>
  <si>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</si>
  <si>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</si>
  <si>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</si>
  <si>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</si>
  <si>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</si>
  <si>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</si>
  <si>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</si>
  <si>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</si>
  <si>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</si>
  <si>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</si>
  <si>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</si>
  <si>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</si>
  <si>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</si>
  <si>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</si>
  <si>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</si>
  <si>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</si>
  <si>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</si>
  <si>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</si>
  <si>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</si>
  <si>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</si>
  <si>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</si>
  <si>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</si>
  <si>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</si>
  <si>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</si>
  <si>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</si>
  <si>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</si>
  <si>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</si>
  <si>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</si>
  <si>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</si>
  <si>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</si>
  <si>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</si>
  <si>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</si>
  <si>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</si>
  <si>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</si>
  <si>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</si>
  <si>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</si>
  <si>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</si>
  <si>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</si>
  <si>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</si>
  <si>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</si>
  <si>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</si>
  <si>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</si>
  <si>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</si>
  <si>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</si>
  <si>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</si>
  <si>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</si>
  <si>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</si>
  <si>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</si>
  <si>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</si>
  <si>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</si>
  <si>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</si>
  <si>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</si>
  <si>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</si>
  <si>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</si>
  <si>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</si>
  <si>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</si>
  <si>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</si>
  <si>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</si>
  <si>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</si>
  <si>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</si>
  <si>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</si>
  <si>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</si>
  <si>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</si>
  <si>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</si>
  <si>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</si>
  <si>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</si>
  <si>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</si>
  <si>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</si>
  <si>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</si>
  <si>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</si>
  <si>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</si>
  <si>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</si>
  <si>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</si>
  <si>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</si>
  <si>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</si>
  <si>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</si>
  <si>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</si>
  <si>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</si>
  <si>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</si>
  <si>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</si>
  <si>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</si>
  <si>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</si>
  <si>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</si>
  <si>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</si>
  <si>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</si>
  <si>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</si>
  <si>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</si>
  <si>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</si>
  <si>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</si>
  <si>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</si>
  <si>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</si>
  <si>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</si>
  <si>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</si>
  <si>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</si>
  <si>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</si>
  <si>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</si>
  <si>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</si>
  <si>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</si>
  <si>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</si>
  <si>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</si>
  <si>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</si>
  <si>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</si>
  <si>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</si>
  <si>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</si>
  <si>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</si>
  <si>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</si>
  <si>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</si>
  <si>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</si>
  <si>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</si>
  <si>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</si>
  <si>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</si>
  <si>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</si>
  <si>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</si>
  <si>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</si>
  <si>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</si>
  <si>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</si>
  <si>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</si>
  <si>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</si>
  <si>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</si>
  <si>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</si>
  <si>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</si>
  <si>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</si>
  <si>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</si>
  <si>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</si>
  <si>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</si>
  <si>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</si>
  <si>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</si>
  <si>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</si>
  <si>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</si>
  <si>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</si>
  <si>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</si>
  <si>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</si>
  <si>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</si>
  <si>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</si>
  <si>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</si>
  <si>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</si>
  <si>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</si>
  <si>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</si>
  <si>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</si>
  <si>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</si>
  <si>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</si>
  <si>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</si>
  <si>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</si>
  <si>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</si>
  <si>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</si>
  <si>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</si>
  <si>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</si>
  <si>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</si>
  <si>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</si>
  <si>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</si>
  <si>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</si>
  <si>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</si>
  <si>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</si>
  <si>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</si>
  <si>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</si>
  <si>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</si>
  <si>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</si>
  <si>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</si>
  <si>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</si>
  <si>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</si>
  <si>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</si>
  <si>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</si>
  <si>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</si>
  <si>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</si>
  <si>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</si>
  <si>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</si>
  <si>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</si>
  <si>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</si>
  <si>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</si>
  <si>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</si>
  <si>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</si>
  <si>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</si>
  <si>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</si>
  <si>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</si>
  <si>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</si>
  <si>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</si>
  <si>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</si>
  <si>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</si>
  <si>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</si>
  <si>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</si>
  <si>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</si>
  <si>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</si>
  <si>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</si>
  <si>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</si>
  <si>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</si>
  <si>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</si>
  <si>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</si>
  <si>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</si>
  <si>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</si>
  <si>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</si>
  <si>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</si>
  <si>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</si>
  <si>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</si>
  <si>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</si>
  <si>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</si>
  <si>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</si>
  <si>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</si>
  <si>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</si>
  <si>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</si>
  <si>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</si>
  <si>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</si>
  <si>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</si>
  <si>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</si>
  <si>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</si>
  <si>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</si>
  <si>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</si>
  <si>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</si>
  <si>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</si>
  <si>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</si>
  <si>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</si>
  <si>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</si>
  <si>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</si>
  <si>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</si>
  <si>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</si>
  <si>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</si>
  <si>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</si>
  <si>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</si>
  <si>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</si>
  <si>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</si>
  <si>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</si>
  <si>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</si>
  <si>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</si>
  <si>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</si>
  <si>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</si>
  <si>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</si>
  <si>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</si>
  <si>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</si>
  <si>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</si>
  <si>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</si>
  <si>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</si>
  <si>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</si>
  <si>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</si>
  <si>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</si>
  <si>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</si>
  <si>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</si>
  <si>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</si>
  <si>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</si>
  <si>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</si>
  <si>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</si>
  <si>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</si>
  <si>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</si>
  <si>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</si>
  <si>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</si>
  <si>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</si>
  <si>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</si>
  <si>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</si>
  <si>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</si>
  <si>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</si>
  <si>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</si>
  <si>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</si>
  <si>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</si>
  <si>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</si>
  <si>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</si>
  <si>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</si>
  <si>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</si>
  <si>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</si>
  <si>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</si>
  <si>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</si>
  <si>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</si>
  <si>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</si>
  <si>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</si>
  <si>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</si>
  <si>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</si>
  <si>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</si>
  <si>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</si>
  <si>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</si>
  <si>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</si>
  <si>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</si>
  <si>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</si>
  <si>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</si>
  <si>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</si>
  <si>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</si>
  <si>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</si>
  <si>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</si>
  <si>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</si>
  <si>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</si>
  <si>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</si>
  <si>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</si>
  <si>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</si>
  <si>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</si>
  <si>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</si>
  <si>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</si>
  <si>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</si>
  <si>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</si>
  <si>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</si>
  <si>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</si>
  <si>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</si>
  <si>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</si>
  <si>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</si>
  <si>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</si>
  <si>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</si>
  <si>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</si>
  <si>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</si>
  <si>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</si>
  <si>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</si>
  <si>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</si>
  <si>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</si>
  <si>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</si>
  <si>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</si>
  <si>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</si>
  <si>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</si>
  <si>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</si>
  <si>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</si>
  <si>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</si>
  <si>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</si>
  <si>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</si>
  <si>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</si>
  <si>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</si>
  <si>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</si>
  <si>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</si>
  <si>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</si>
  <si>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</si>
  <si>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</si>
  <si>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</si>
  <si>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</si>
  <si>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</si>
  <si>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</si>
  <si>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</si>
  <si>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</si>
  <si>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</si>
  <si>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</si>
  <si>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</si>
  <si>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</si>
  <si>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</si>
  <si>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</si>
  <si>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</si>
  <si>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</si>
  <si>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</si>
  <si>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</si>
  <si>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</si>
  <si>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</si>
  <si>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</si>
  <si>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</si>
  <si>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</si>
  <si>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</si>
  <si>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</si>
  <si>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</si>
  <si>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</si>
  <si>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</si>
  <si>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</si>
  <si>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</si>
  <si>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</si>
  <si>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</si>
  <si>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</si>
  <si>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</si>
  <si>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</si>
  <si>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</si>
  <si>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</si>
  <si>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</si>
  <si>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</si>
  <si>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</si>
  <si>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</si>
  <si>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</si>
  <si>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</si>
  <si>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</si>
  <si>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</si>
  <si>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</si>
  <si>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</si>
  <si>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</si>
  <si>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</si>
  <si>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</si>
  <si>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</si>
  <si>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</si>
  <si>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</si>
  <si>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</si>
  <si>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</si>
  <si>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</si>
  <si>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</si>
  <si>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</si>
  <si>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</si>
  <si>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</si>
  <si>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</si>
  <si>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</si>
  <si>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</si>
  <si>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</si>
  <si>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</si>
  <si>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</si>
  <si>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</si>
  <si>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</si>
  <si>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</si>
  <si>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</si>
  <si>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</si>
  <si>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</si>
  <si>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</si>
  <si>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</si>
  <si>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</si>
  <si>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</si>
  <si>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</si>
  <si>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</si>
  <si>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</si>
  <si>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</si>
  <si>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</si>
  <si>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</si>
  <si>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</si>
  <si>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</si>
  <si>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</si>
  <si>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</si>
  <si>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</si>
  <si>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</si>
  <si>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</si>
  <si>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</si>
  <si>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</si>
  <si>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</si>
  <si>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</si>
  <si>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</si>
  <si>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</si>
  <si>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</si>
  <si>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</si>
  <si>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</si>
  <si>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</si>
  <si>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</si>
  <si>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</si>
  <si>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</si>
  <si>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</si>
  <si>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</si>
  <si>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</si>
  <si>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</si>
  <si>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</si>
  <si>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</si>
  <si>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</si>
  <si>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</si>
  <si>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</si>
  <si>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</si>
  <si>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</si>
  <si>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</si>
  <si>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</si>
  <si>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</si>
  <si>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</si>
  <si>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</si>
  <si>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</si>
  <si>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</si>
  <si>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</si>
  <si>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</si>
  <si>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</si>
  <si>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Tecnitot - P1</t>
  </si>
  <si>
    <t>1860x2380 mm</t>
  </si>
  <si>
    <t>35007 - Techo vista, 2 m</t>
  </si>
  <si>
    <t>35040 - 60 Kgrs</t>
  </si>
  <si>
    <t>35037 - 60 Kgrs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</si>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</sst>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165" fontId="0" fillId="0" borderId="0" xfId="0" applyNumberFormat="1" applyAlignment="1">
      <alignment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114300</xdr:colOff>
      <xdr:row>13</xdr:row>
      <xdr:rowOff>19050</xdr:rowOff>
    </xdr:from>
    <xdr:to>
      <xdr:col>5</xdr:col>
      <xdr:colOff>327988</xdr:colOff>
      <xdr:row>24</xdr:row>
      <xdr:rowOff>83550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C7E30E-34A8-91C5-711A-19A090449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2647950"/>
          <a:ext cx="2480638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H29" sqref="H2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20250044</v>
      </c>
      <c r="G7" s="8">
        <f ca="1">TODAY()</f>
        <v>45713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1415</v>
      </c>
      <c r="C13" s="79" t="str">
        <f>IFERROR(VLOOKUP($B13,Tarifa_all_20240711!$A$2:$G$660,2,FALSE()),"-")</f>
        <v>GUIA SUP TECHO PLUS LAC.NEGRO TEXTURADO-2 MTS</v>
      </c>
      <c r="D13" s="79"/>
      <c r="E13" s="17">
        <v>1</v>
      </c>
      <c r="F13" s="18">
        <f>IFERROR(VLOOKUP($B13,Tarifa_all_20240711!$A$2:$G$660,5,FALSE()),"-")</f>
        <v>43.462500000000006</v>
      </c>
      <c r="G13" s="18">
        <f t="shared" ref="G13:G30" si="0">IFERROR(E13*F13,"-")</f>
        <v>43.462500000000006</v>
      </c>
      <c r="H13" s="1"/>
    </row>
    <row r="14" spans="1:12" x14ac:dyDescent="0.25">
      <c r="A14" t="s">
        <v>15</v>
      </c>
      <c r="B14" s="16"/>
      <c r="C14" s="79" t="str">
        <f>IFERROR(VLOOKUP($B14,Tarifa_all_20240711!$A$2:$G$660,2,FALSE()),"-")</f>
        <v>-</v>
      </c>
      <c r="D14" s="79"/>
      <c r="E14" s="17">
        <v>2</v>
      </c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79" t="str">
        <f>IFERROR(VLOOKUP($B16,Tarifa_all_20240711!$A$2:$G$660,2,FALSE()),"-")</f>
        <v>KIT AMORTIGUADOR SKY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130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511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1132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87" t="s">
        <v>139</v>
      </c>
      <c r="C21" s="88" t="str">
        <f>IFERROR(VLOOKUP($B21,Tarifa_all_20240711!$A$2:$G$660,2,FALSE()),"-")</f>
        <v>PERFIL EMBELL.HORIZ. ADH LAC.NEGRO TEXTURADO</v>
      </c>
      <c r="D21" s="88"/>
      <c r="E21" s="89">
        <v>4</v>
      </c>
      <c r="F21" s="90">
        <f>IFERROR(VLOOKUP($B21,Tarifa_all_20240711!$A$2:$G$660,5,FALSE()),"-")</f>
        <v>21.794999999999998</v>
      </c>
      <c r="G21" s="90">
        <f t="shared" si="0"/>
        <v>87.179999999999993</v>
      </c>
      <c r="H21" s="91">
        <f>SUM(G13:G21)</f>
        <v>461.26500000000004</v>
      </c>
    </row>
    <row r="22" spans="1:8" x14ac:dyDescent="0.25">
      <c r="B22" s="16" t="s">
        <v>457</v>
      </c>
      <c r="C22" s="79" t="str">
        <f>IFERROR(VLOOKUP($B22,Tarifa_all_20240711!$A$2:$G$660,2,FALSE()),"-")</f>
        <v>MARCO FIJOS 35MM D-DECOR FIJO NEGRO TEXT 6,5 MTS</v>
      </c>
      <c r="D22" s="79"/>
      <c r="E22" s="17">
        <v>1</v>
      </c>
      <c r="F22" s="18">
        <f>IFERROR(VLOOKUP($B22,Tarifa_all_20240711!$A$2:$G$660,5,FALSE()),"-")</f>
        <v>60.045000000000002</v>
      </c>
      <c r="G22" s="18">
        <f t="shared" si="0"/>
        <v>60.045000000000002</v>
      </c>
      <c r="H22" s="1"/>
    </row>
    <row r="23" spans="1:8" x14ac:dyDescent="0.25">
      <c r="B23" s="16" t="s">
        <v>437</v>
      </c>
      <c r="C23" s="79" t="str">
        <f>IFERROR(VLOOKUP($B23,Tarifa_all_20240711!$A$2:$G$660,2,FALSE()),"-")</f>
        <v>ANCLAJE TAPA 35MM D-DECOR FIJO NEGRO TEXT 6,5 MTS</v>
      </c>
      <c r="D23" s="79"/>
      <c r="E23" s="17">
        <v>1</v>
      </c>
      <c r="F23" s="18">
        <f>IFERROR(VLOOKUP($B23,Tarifa_all_20240711!$A$2:$G$660,5,FALSE()),"-")</f>
        <v>29.0625</v>
      </c>
      <c r="G23" s="18">
        <f t="shared" si="0"/>
        <v>29.0625</v>
      </c>
      <c r="H23" s="1"/>
    </row>
    <row r="24" spans="1:8" x14ac:dyDescent="0.25">
      <c r="B24" s="16" t="s">
        <v>477</v>
      </c>
      <c r="C24" s="79" t="str">
        <f>IFERROR(VLOOKUP($B24,Tarifa_all_20240711!$A$2:$G$660,2,FALSE()),"-")</f>
        <v>TAPA MARCO 35MM D-DECOR FIJO NEGRO TEXT 6,5 MTS</v>
      </c>
      <c r="D24" s="79"/>
      <c r="E24" s="17">
        <v>1</v>
      </c>
      <c r="F24" s="18">
        <f>IFERROR(VLOOKUP($B24,Tarifa_all_20240711!$A$2:$G$660,5,FALSE()),"-")</f>
        <v>24.487499999999997</v>
      </c>
      <c r="G24" s="18">
        <f t="shared" si="0"/>
        <v>24.487499999999997</v>
      </c>
      <c r="H24" s="1"/>
    </row>
    <row r="25" spans="1:8" x14ac:dyDescent="0.25">
      <c r="B25" s="16" t="s">
        <v>446</v>
      </c>
      <c r="C25" s="79" t="str">
        <f>IFERROR(VLOOKUP($B25,Tarifa_all_20240711!$A$2:$G$660,2,FALSE()),"-")</f>
        <v>PERFIL MINIMALISTA D-DECOR FIJO NEGRO TEXT 3 MTS</v>
      </c>
      <c r="D25" s="79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294</v>
      </c>
      <c r="C26" s="79" t="str">
        <f>IFERROR(VLOOKUP($B26,Tarifa_all_20240711!$A$2:$G$660,2,FALSE()),"-")</f>
        <v>Tope Domo Decor</v>
      </c>
      <c r="D26" s="79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296</v>
      </c>
      <c r="C27" s="79" t="str">
        <f>IFERROR(VLOOKUP($B27,Tarifa_all_20240711!$A$2:$G$660,2,FALSE()),"-")</f>
        <v>PERFIL 3 MTS REDUCTOR PARA VIDRIO 6mm</v>
      </c>
      <c r="D27" s="79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8" x14ac:dyDescent="0.25">
      <c r="B28" s="16">
        <v>31229</v>
      </c>
      <c r="C28" s="79" t="str">
        <f>IFERROR(VLOOKUP($B28,Tarifa_all_20240711!$A$2:$G$660,2,FALSE()),"-")</f>
        <v>COMPLEMENTO FIJACION DOMO DECOR: BARRAS 3 MTS</v>
      </c>
      <c r="D28" s="79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87" t="s">
        <v>139</v>
      </c>
      <c r="C29" s="88" t="str">
        <f>IFERROR(VLOOKUP($B29,Tarifa_all_20240711!$A$2:$G$660,2,FALSE()),"-")</f>
        <v>PERFIL EMBELL.HORIZ. ADH LAC.NEGRO TEXTURADO</v>
      </c>
      <c r="D29" s="88"/>
      <c r="E29" s="89">
        <v>4</v>
      </c>
      <c r="F29" s="90">
        <f>IFERROR(VLOOKUP($B29,Tarifa_all_20240711!$A$2:$G$660,5,FALSE()),"-")</f>
        <v>21.794999999999998</v>
      </c>
      <c r="G29" s="90">
        <f t="shared" si="0"/>
        <v>87.179999999999993</v>
      </c>
      <c r="H29" s="91">
        <f>SUM(G22:G29)</f>
        <v>287.39999999999998</v>
      </c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748.66499999999996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100" workbookViewId="0">
      <selection activeCell="G17" sqref="G1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45713</v>
      </c>
    </row>
    <row r="10" spans="1:7" x14ac:dyDescent="0.25">
      <c r="A10" s="3" t="s">
        <v>82</v>
      </c>
      <c r="B10" s="11" t="str">
        <f>'DESPIECE (MATANALYSIS)'!C9</f>
        <v>Tecnitot - P1</v>
      </c>
      <c r="C10" s="45"/>
      <c r="D10" s="45"/>
      <c r="E10" s="46"/>
      <c r="F10" s="47" t="s">
        <v>83</v>
      </c>
      <c r="G10" s="7">
        <f>'DESPIECE (MATANALYSIS)'!C7</f>
        <v>20250044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(MATANALYSIS)'!G31</f>
        <v>748.66499999999996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2025-02-25T14:59:08Z</dcterms:modified>
  <dc:language>es-ES</dc:language>
</cp:coreProperties>
</file>