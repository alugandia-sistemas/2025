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4\calculos\1\"/>
    </mc:Choice>
  </mc:AlternateContent>
  <xr:revisionPtr revIDLastSave="0" documentId="13_ncr:1_{0699C412-9DAB-4E99-BE03-EC594FBBF5D2}" xr6:coauthVersionLast="47" xr6:coauthVersionMax="47" xr10:uidLastSave="{00000000-0000-0000-0000-000000000000}"/>
  <bookViews>
    <workbookView xWindow="1335" yWindow="345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0" l="1"/>
  <c r="H29" i="10"/>
  <c r="H21" i="10"/>
  <c r="F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F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<sst xmlns="http://schemas.openxmlformats.org/spreadsheetml/2006/main" count="5413" uniqueCount="1458">
  <si>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</si>
  <si>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</si>
  <si>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</si>
  <si>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</si>
  <si>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</si>
  <si>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</si>
  <si>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</si>
  <si>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</si>
  <si>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</si>
  <si>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</si>
  <si>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</si>
  <si>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</si>
  <si>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</si>
  <si>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</si>
  <si>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</si>
  <si>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</si>
  <si>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</si>
  <si>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</si>
  <si>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</si>
  <si>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</si>
  <si>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</si>
  <si>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</si>
  <si>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</si>
  <si>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</si>
  <si>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</si>
  <si>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</si>
  <si>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</si>
  <si>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</si>
  <si>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</si>
  <si>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</si>
  <si>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</si>
  <si>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</si>
  <si>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</si>
  <si>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</si>
  <si>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</si>
  <si>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</si>
  <si>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</si>
  <si>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</si>
  <si>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</si>
  <si>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</si>
  <si>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</si>
  <si>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</si>
  <si>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</si>
  <si>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</si>
  <si>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</si>
  <si>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</si>
  <si>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</si>
  <si>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</si>
  <si>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</si>
  <si>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</si>
  <si>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</si>
  <si>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</si>
  <si>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</si>
  <si>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</si>
  <si>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</si>
  <si>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</si>
  <si>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</si>
  <si>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</si>
  <si>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</si>
  <si>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</si>
  <si>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</si>
  <si>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</si>
  <si>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</si>
  <si>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</si>
  <si>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</si>
  <si>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</si>
  <si>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</si>
  <si>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</si>
  <si>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</si>
  <si>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</si>
  <si>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</si>
  <si>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</si>
  <si>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</si>
  <si>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</si>
  <si>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</si>
  <si>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</si>
  <si>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</si>
  <si>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</si>
  <si>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</si>
  <si>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</si>
  <si>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</si>
  <si>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</si>
  <si>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</si>
  <si>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</si>
  <si>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</si>
  <si>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</si>
  <si>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</si>
  <si>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</si>
  <si>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</si>
  <si>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</si>
  <si>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</si>
  <si>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</si>
  <si>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</si>
  <si>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</si>
  <si>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</si>
  <si>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</si>
  <si>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</si>
  <si>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</si>
  <si>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</si>
  <si>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</si>
  <si>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</si>
  <si>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</si>
  <si>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</si>
  <si>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</si>
  <si>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</si>
  <si>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</si>
  <si>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</si>
  <si>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</si>
  <si>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</si>
  <si>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</si>
  <si>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</si>
  <si>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</si>
  <si>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</si>
  <si>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</si>
  <si>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</si>
  <si>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</si>
  <si>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</si>
  <si>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</si>
  <si>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</si>
  <si>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</si>
  <si>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</si>
  <si>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</si>
  <si>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</si>
  <si>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</si>
  <si>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</si>
  <si>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</si>
  <si>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</si>
  <si>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</si>
  <si>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</si>
  <si>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</si>
  <si>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</si>
  <si>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</si>
  <si>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</si>
  <si>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</si>
  <si>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</si>
  <si>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</si>
  <si>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</si>
  <si>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</si>
  <si>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</si>
  <si>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</si>
  <si>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</si>
  <si>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</si>
  <si>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</si>
  <si>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</si>
  <si>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</si>
  <si>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</si>
  <si>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</si>
  <si>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</si>
  <si>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</si>
  <si>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</si>
  <si>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</si>
  <si>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</si>
  <si>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</si>
  <si>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</si>
  <si>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</si>
  <si>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</si>
  <si>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</si>
  <si>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</si>
  <si>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</si>
  <si>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</si>
  <si>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</si>
  <si>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</si>
  <si>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</si>
  <si>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</si>
  <si>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</si>
  <si>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</si>
  <si>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</si>
  <si>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</si>
  <si>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</si>
  <si>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</si>
  <si>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</si>
  <si>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</si>
  <si>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</si>
  <si>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</si>
  <si>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</si>
  <si>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</si>
  <si>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</si>
  <si>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</si>
  <si>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</si>
  <si>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</si>
  <si>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</si>
  <si>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</si>
  <si>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</si>
  <si>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</si>
  <si>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</si>
  <si>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</si>
  <si>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</si>
  <si>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</si>
  <si>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</si>
  <si>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</si>
  <si>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</si>
  <si>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</si>
  <si>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</si>
  <si>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</si>
  <si>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</si>
  <si>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</si>
  <si>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</si>
  <si>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</si>
  <si>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</si>
  <si>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</si>
  <si>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</si>
  <si>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</si>
  <si>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</si>
  <si>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</si>
  <si>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</si>
  <si>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</si>
  <si>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</si>
  <si>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</si>
  <si>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</si>
  <si>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</si>
  <si>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</si>
  <si>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</si>
  <si>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</si>
  <si>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</si>
  <si>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</si>
  <si>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</si>
  <si>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</si>
  <si>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</si>
  <si>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</si>
  <si>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</si>
  <si>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</si>
  <si>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</si>
  <si>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</si>
  <si>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</si>
  <si>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</si>
  <si>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</si>
  <si>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</si>
  <si>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</si>
  <si>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</si>
  <si>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</si>
  <si>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</si>
  <si>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</si>
  <si>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</si>
  <si>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</si>
  <si>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</si>
  <si>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</si>
  <si>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</si>
  <si>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</si>
  <si>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</si>
  <si>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</si>
  <si>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</si>
  <si>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</si>
  <si>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</si>
  <si>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</si>
  <si>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</si>
  <si>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</si>
  <si>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</si>
  <si>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</si>
  <si>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</si>
  <si>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</si>
  <si>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</si>
  <si>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</si>
  <si>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</si>
  <si>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</si>
  <si>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</si>
  <si>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</si>
  <si>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</si>
  <si>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</si>
  <si>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</si>
  <si>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</si>
  <si>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</si>
  <si>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</si>
  <si>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</si>
  <si>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</si>
  <si>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</si>
  <si>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</si>
  <si>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</si>
  <si>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</si>
  <si>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</si>
  <si>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</si>
  <si>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</si>
  <si>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</si>
  <si>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</si>
  <si>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</si>
  <si>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</si>
  <si>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</si>
  <si>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</si>
  <si>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</si>
  <si>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</si>
  <si>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</si>
  <si>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</si>
  <si>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</si>
  <si>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</si>
  <si>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</si>
  <si>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</si>
  <si>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</si>
  <si>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</si>
  <si>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</si>
  <si>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</si>
  <si>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</si>
  <si>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</si>
  <si>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</si>
  <si>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</si>
  <si>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</si>
  <si>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</si>
  <si>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</si>
  <si>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</si>
  <si>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</si>
  <si>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</si>
  <si>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</si>
  <si>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</si>
  <si>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</si>
  <si>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</si>
  <si>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</si>
  <si>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</si>
  <si>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</si>
  <si>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</si>
  <si>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</si>
  <si>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</si>
  <si>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</si>
  <si>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</si>
  <si>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</si>
  <si>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</si>
  <si>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</si>
  <si>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</si>
  <si>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</si>
  <si>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</si>
  <si>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</si>
  <si>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</si>
  <si>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</si>
  <si>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</si>
  <si>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</si>
  <si>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</si>
  <si>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</si>
  <si>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</si>
  <si>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</si>
  <si>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</si>
  <si>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</si>
  <si>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</si>
  <si>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</si>
  <si>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</si>
  <si>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</si>
  <si>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</si>
  <si>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</si>
  <si>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</si>
  <si>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</si>
  <si>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</si>
  <si>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</si>
  <si>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</si>
  <si>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</si>
  <si>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</si>
  <si>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</si>
  <si>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</si>
  <si>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</si>
  <si>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</si>
  <si>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</si>
  <si>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</si>
  <si>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</si>
  <si>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</si>
  <si>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</si>
  <si>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</si>
  <si>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</si>
  <si>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</si>
  <si>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</si>
  <si>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</si>
  <si>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</si>
  <si>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</si>
  <si>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</si>
  <si>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</si>
  <si>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</si>
  <si>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</si>
  <si>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</si>
  <si>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</si>
  <si>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</si>
  <si>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</si>
  <si>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</si>
  <si>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</si>
  <si>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</si>
  <si>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</si>
  <si>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</si>
  <si>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</si>
  <si>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</si>
  <si>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</si>
  <si>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</si>
  <si>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</si>
  <si>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</si>
  <si>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</si>
  <si>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</si>
  <si>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</si>
  <si>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</si>
  <si>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</si>
  <si>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</si>
  <si>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</si>
  <si>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</si>
  <si>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</si>
  <si>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</si>
  <si>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</si>
  <si>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</si>
  <si>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</si>
  <si>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</si>
  <si>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</si>
  <si>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</si>
  <si>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</si>
  <si>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</si>
  <si>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</si>
  <si>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</si>
  <si>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</si>
  <si>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</si>
  <si>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</si>
  <si>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</si>
  <si>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</si>
  <si>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</si>
  <si>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</si>
  <si>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</si>
  <si>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</si>
  <si>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</si>
  <si>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</si>
  <si>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</si>
  <si>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</si>
  <si>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</si>
  <si>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</si>
  <si>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</si>
  <si>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</si>
  <si>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</si>
  <si>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</si>
  <si>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</si>
  <si>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</si>
  <si>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</si>
  <si>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</si>
  <si>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</si>
  <si>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</si>
  <si>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</si>
  <si>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</si>
  <si>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</si>
  <si>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</si>
  <si>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</si>
  <si>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</si>
  <si>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</si>
  <si>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</si>
  <si>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</si>
  <si>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</si>
  <si>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</si>
  <si>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</si>
  <si>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</si>
  <si>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</si>
  <si>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</si>
  <si>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</si>
  <si>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</si>
  <si>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</si>
  <si>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</si>
  <si>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</si>
  <si>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</si>
  <si>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</si>
  <si>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</si>
  <si>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</si>
  <si>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</si>
  <si>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</si>
  <si>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</si>
  <si>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</si>
  <si>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</si>
  <si>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</si>
  <si>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</si>
  <si>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</si>
  <si>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</si>
  <si>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</si>
  <si>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</si>
  <si>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</si>
  <si>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</si>
  <si>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</si>
  <si>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</si>
  <si>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</si>
  <si>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</si>
  <si>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</si>
  <si>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</si>
  <si>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</si>
  <si>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</si>
  <si>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</si>
  <si>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</si>
  <si>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</si>
  <si>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</si>
  <si>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</si>
  <si>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</si>
  <si>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</si>
  <si>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</si>
  <si>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</si>
  <si>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</si>
  <si>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</si>
  <si>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</si>
  <si>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</si>
  <si>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</si>
  <si>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</si>
  <si>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</si>
  <si>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</si>
  <si>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</si>
  <si>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</si>
  <si>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</si>
  <si>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</si>
  <si>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</si>
  <si>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</si>
  <si>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</si>
  <si>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</si>
  <si>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</si>
  <si>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</si>
  <si>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</si>
  <si>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</si>
  <si>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</si>
  <si>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</si>
  <si>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</si>
  <si>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</si>
  <si>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</si>
  <si>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</si>
  <si>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</si>
  <si>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</si>
  <si>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</si>
  <si>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</si>
  <si>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</si>
  <si>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</si>
  <si>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</si>
  <si>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</si>
  <si>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</si>
  <si>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</si>
  <si>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</si>
  <si>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</si>
  <si>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</si>
  <si>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</si>
  <si>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</si>
  <si>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</si>
  <si>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</si>
  <si>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</si>
  <si>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</si>
  <si>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</si>
  <si>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</si>
  <si>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</si>
  <si>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</si>
  <si>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</si>
  <si>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</si>
  <si>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</si>
  <si>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</si>
  <si>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</si>
  <si>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</si>
  <si>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</si>
  <si>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</si>
  <si>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</si>
  <si>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</si>
  <si>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</si>
  <si>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</si>
  <si>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</si>
  <si>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</si>
  <si>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</si>
  <si>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</si>
  <si>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</si>
  <si>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</si>
  <si>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</si>
  <si>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</si>
  <si>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</si>
  <si>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</si>
  <si>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</si>
  <si>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</si>
  <si>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</si>
  <si>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</si>
  <si>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</si>
  <si>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</si>
  <si>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</si>
  <si>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</si>
  <si>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</si>
  <si>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</si>
  <si>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</si>
  <si>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</si>
  <si>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</si>
  <si>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</si>
  <si>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</si>
  <si>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</si>
  <si>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</si>
  <si>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</si>
  <si>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</si>
  <si>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</si>
  <si>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</si>
  <si>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</si>
  <si>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</si>
  <si>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</si>
  <si>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</si>
  <si>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</si>
  <si>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</si>
  <si>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</si>
  <si>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</si>
  <si>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</si>
  <si>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</si>
  <si>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</si>
  <si>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</si>
  <si>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</si>
  <si>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</si>
  <si>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</si>
  <si>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</si>
  <si>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</si>
  <si>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</si>
  <si>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</si>
  <si>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</si>
  <si>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</si>
  <si>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</si>
  <si>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</si>
  <si>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</si>
  <si>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</si>
  <si>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</si>
  <si>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</si>
  <si>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</si>
  <si>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</si>
  <si>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</si>
  <si>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</si>
  <si>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</si>
  <si>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</si>
  <si>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</si>
  <si>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</si>
  <si>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</si>
  <si>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</si>
  <si>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</si>
  <si>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</si>
  <si>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</si>
  <si>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</si>
  <si>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</si>
  <si>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</si>
  <si>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</si>
  <si>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</si>
  <si>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</si>
  <si>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</si>
  <si>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</si>
  <si>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</si>
  <si>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</si>
  <si>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</si>
  <si>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</si>
  <si>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</si>
  <si>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</si>
  <si>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</si>
  <si>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</si>
  <si>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</si>
  <si>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</si>
  <si>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</si>
  <si>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</si>
  <si>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</si>
  <si>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</si>
  <si>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</si>
  <si>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</si>
  <si>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</si>
  <si>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</si>
  <si>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</si>
  <si>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</si>
  <si>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</si>
  <si>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</si>
  <si>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</si>
  <si>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</si>
  <si>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</si>
  <si>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</si>
  <si>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</si>
  <si>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</si>
  <si>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</si>
  <si>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</si>
  <si>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</si>
  <si>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</si>
  <si>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</si>
  <si>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</si>
  <si>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</si>
  <si>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</si>
  <si>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</si>
  <si>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</si>
  <si>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</si>
  <si>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</si>
  <si>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</si>
  <si>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</si>
  <si>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</si>
  <si>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</si>
  <si>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</si>
  <si>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</si>
  <si>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</si>
  <si>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</si>
  <si>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</si>
  <si>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</si>
  <si>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</si>
  <si>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</si>
  <si>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</si>
  <si>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</si>
  <si>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</si>
  <si>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</si>
  <si>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</si>
  <si>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</si>
  <si>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</si>
  <si>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</si>
  <si>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</si>
  <si>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</si>
  <si>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</si>
  <si>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</si>
  <si>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</si>
  <si>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</si>
  <si>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</si>
  <si>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</si>
  <si>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</si>
  <si>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</si>
  <si>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</si>
  <si>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</si>
  <si>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</si>
  <si>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</si>
  <si>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</si>
  <si>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</si>
  <si>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</si>
  <si>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</si>
  <si>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</si>
  <si>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</si>
  <si>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</si>
  <si>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</si>
  <si>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</si>
  <si>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</si>
  <si>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</si>
  <si>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</si>
  <si>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</si>
  <si>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</si>
  <si>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</si>
  <si>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</si>
  <si>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</si>
  <si>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</si>
  <si>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</si>
  <si>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</si>
  <si>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</si>
  <si>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</si>
  <si>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</si>
  <si>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</si>
  <si>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</si>
  <si>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</si>
  <si>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</si>
  <si>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</si>
  <si>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</si>
  <si>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</si>
  <si>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</si>
  <si>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</si>
  <si>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</si>
  <si>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</si>
  <si>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</si>
  <si>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</si>
  <si>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</si>
  <si>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</si>
  <si>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</si>
  <si>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</si>
  <si>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</si>
  <si>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</si>
  <si>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</si>
  <si>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</si>
  <si>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</si>
  <si>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</si>
  <si>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</si>
  <si>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</si>
  <si>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</si>
  <si>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</si>
  <si>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</si>
  <si>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</si>
  <si>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</si>
  <si>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</si>
  <si>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</si>
  <si>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</si>
  <si>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</si>
  <si>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</si>
  <si>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</si>
  <si>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</si>
  <si>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</si>
  <si>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</si>
  <si>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</si>
  <si>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</si>
  <si>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</si>
  <si>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</si>
  <si>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</si>
  <si>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</si>
  <si>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</si>
  <si>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</si>
  <si>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</si>
  <si>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</si>
  <si>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</si>
  <si>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</si>
  <si>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</si>
  <si>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</si>
  <si>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</si>
  <si>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</si>
  <si>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</si>
  <si>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</si>
  <si>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</si>
  <si>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</si>
  <si>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</si>
  <si>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</si>
  <si>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</si>
  <si>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</si>
  <si>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</si>
  <si>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</si>
  <si>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</si>
  <si>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</si>
  <si>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</si>
  <si>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</si>
  <si>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</si>
  <si>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</si>
  <si>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</si>
  <si>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</si>
  <si>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</si>
  <si>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</si>
  <si>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</si>
  <si>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</si>
  <si>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</si>
  <si>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</si>
  <si>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</si>
  <si>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</si>
  <si>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</si>
  <si>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</si>
  <si>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</si>
  <si>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</si>
  <si>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</si>
  <si>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</si>
  <si>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</si>
  <si>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</si>
  <si>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</si>
  <si>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</si>
  <si>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</si>
  <si>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</si>
  <si>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</si>
  <si>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</si>
  <si>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</si>
  <si>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</si>
  <si>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</si>
  <si>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</si>
  <si>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</si>
  <si>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</si>
  <si>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</si>
  <si>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</si>
  <si>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</si>
  <si>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</si>
  <si>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</si>
  <si>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</si>
  <si>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</si>
  <si>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</si>
  <si>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</si>
  <si>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</si>
  <si>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</si>
  <si>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</si>
  <si>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</si>
  <si>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</si>
  <si>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</si>
  <si>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</si>
  <si>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</si>
  <si>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</si>
  <si>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</si>
  <si>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</si>
  <si>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</si>
  <si>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</si>
  <si>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</si>
  <si>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</si>
  <si>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</si>
  <si>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</si>
  <si>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</si>
  <si>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</si>
  <si>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</si>
  <si>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</si>
  <si>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</si>
  <si>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</si>
  <si>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</si>
  <si>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</si>
  <si>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</si>
  <si>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</si>
  <si>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</si>
  <si>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</si>
  <si>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</si>
  <si>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</si>
  <si>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</si>
  <si>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</si>
  <si>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</si>
  <si>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</si>
  <si>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</si>
  <si>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</si>
  <si>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</si>
  <si>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</si>
  <si>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</si>
  <si>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</si>
  <si>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</si>
  <si>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</si>
  <si>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</si>
  <si>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</si>
  <si>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</si>
  <si>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</si>
  <si>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</si>
  <si>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</si>
  <si>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</si>
  <si>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</si>
  <si>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</si>
  <si>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</si>
  <si>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</si>
  <si>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</si>
  <si>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</si>
  <si>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</si>
  <si>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</si>
  <si>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</si>
  <si>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</si>
  <si>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</si>
  <si>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</si>
  <si>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</si>
  <si>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</si>
  <si>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</si>
  <si>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</si>
  <si>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</si>
  <si>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</si>
  <si>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</si>
  <si>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</si>
  <si>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</si>
  <si>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</si>
  <si>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</si>
  <si>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</si>
  <si>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</si>
  <si>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</si>
  <si>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</si>
  <si>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</si>
  <si>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</si>
  <si>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</si>
  <si>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</si>
  <si>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</si>
  <si>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</si>
  <si>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</si>
  <si>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</si>
  <si>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</si>
  <si>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</si>
  <si>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</si>
  <si>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</si>
  <si>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</si>
  <si>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</si>
  <si>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</si>
  <si>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</si>
  <si>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</si>
  <si>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</si>
  <si>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</si>
  <si>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</si>
  <si>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</si>
  <si>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</si>
  <si>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</si>
  <si>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</si>
  <si>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</si>
  <si>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</si>
  <si>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</si>
  <si>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</si>
  <si>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</si>
  <si>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</si>
  <si>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</si>
  <si>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</si>
  <si>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</si>
  <si>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</si>
  <si>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</si>
  <si>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</si>
  <si>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</si>
  <si>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</si>
  <si>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</si>
  <si>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</si>
  <si>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</si>
  <si>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</si>
  <si>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</si>
  <si>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</si>
  <si>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</si>
  <si>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</si>
  <si>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</si>
  <si>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</si>
  <si>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</si>
  <si>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</si>
  <si>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</si>
  <si>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</si>
  <si>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</si>
  <si>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</si>
  <si>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</si>
  <si>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</si>
  <si>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</si>
  <si>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</si>
  <si>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</si>
  <si>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</si>
  <si>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</si>
  <si>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</si>
  <si>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</si>
  <si>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</si>
  <si>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</si>
  <si>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</si>
  <si>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</si>
  <si>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</si>
  <si>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</si>
  <si>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</si>
  <si>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</si>
  <si>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</si>
  <si>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</si>
  <si>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</si>
  <si>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</si>
  <si>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</si>
  <si>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</si>
  <si>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</si>
  <si>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</si>
  <si>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</si>
  <si>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</si>
  <si>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</si>
  <si>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</si>
  <si>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</si>
  <si>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</si>
  <si>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</si>
  <si>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</si>
  <si>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</si>
  <si>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</si>
  <si>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</si>
  <si>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</si>
  <si>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</si>
  <si>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</si>
  <si>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</si>
  <si>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</si>
  <si>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</si>
  <si>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</si>
  <si>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</si>
  <si>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</si>
  <si>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</si>
  <si>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</si>
  <si>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</si>
  <si>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</si>
  <si>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</si>
  <si>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</si>
  <si>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</si>
  <si>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</si>
  <si>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</si>
  <si>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</si>
  <si>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</si>
  <si>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</si>
  <si>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</si>
  <si>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</si>
  <si>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</si>
  <si>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</si>
  <si>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</si>
  <si>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</si>
  <si>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</si>
  <si>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</si>
  <si>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</si>
  <si>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</si>
  <si>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</si>
  <si>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</si>
  <si>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</si>
  <si>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</si>
  <si>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</si>
  <si>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</si>
  <si>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</si>
  <si>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</si>
  <si>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</si>
  <si>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</si>
  <si>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</si>
  <si>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</si>
  <si>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</si>
  <si>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</si>
  <si>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</si>
  <si>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</si>
  <si>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</si>
  <si>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</si>
  <si>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</si>
  <si>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</si>
  <si>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</si>
  <si>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</si>
  <si>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</si>
  <si>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</si>
  <si>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</si>
  <si>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</si>
  <si>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</si>
  <si>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</si>
  <si>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</si>
  <si>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</si>
  <si>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</si>
  <si>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</si>
  <si>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</si>
  <si>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</si>
  <si>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</si>
  <si>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</si>
  <si>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</si>
  <si>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</si>
  <si>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</si>
  <si>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</si>
  <si>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</si>
  <si>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</si>
  <si>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</si>
  <si>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</si>
  <si>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</si>
  <si>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</si>
  <si>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</si>
  <si>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</si>
  <si>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</si>
  <si>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</si>
  <si>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</si>
  <si>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</si>
  <si>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</si>
  <si>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</si>
  <si>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</si>
  <si>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</si>
  <si>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</si>
  <si>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</si>
  <si>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</si>
  <si>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</si>
  <si>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</si>
  <si>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</si>
  <si>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</si>
  <si>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</si>
  <si>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</si>
  <si>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</si>
  <si>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</si>
  <si>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</si>
  <si>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</si>
  <si>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</si>
  <si>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</si>
  <si>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</si>
  <si>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</si>
  <si>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</si>
  <si>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</si>
  <si>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</si>
  <si>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</si>
  <si>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</si>
  <si>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</si>
  <si>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</si>
  <si>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</si>
  <si>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</si>
  <si>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</si>
  <si>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</si>
  <si>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</si>
  <si>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</si>
  <si>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</si>
  <si>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</si>
  <si>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</si>
  <si>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</si>
  <si>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</si>
  <si>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</si>
  <si>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</si>
  <si>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</si>
  <si>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</si>
  <si>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</si>
  <si>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</si>
  <si>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</si>
  <si>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</si>
  <si>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</si>
  <si>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</si>
  <si>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</si>
  <si>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</si>
  <si>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</si>
  <si>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</si>
  <si>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</si>
  <si>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</si>
  <si>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</si>
  <si>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</si>
  <si>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</si>
  <si>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</si>
  <si>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</si>
  <si>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</si>
  <si>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</si>
  <si>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</si>
  <si>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</si>
  <si>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</si>
  <si>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</si>
  <si>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</si>
  <si>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</si>
  <si>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</si>
  <si>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</si>
  <si>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</si>
  <si>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</si>
  <si>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</si>
  <si>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</si>
  <si>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</si>
  <si>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</si>
  <si>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</si>
  <si>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</si>
  <si>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</si>
  <si>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</si>
  <si>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</si>
  <si>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</si>
  <si>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</si>
  <si>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</si>
  <si>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</si>
  <si>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</si>
  <si>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</si>
  <si>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</si>
  <si>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</si>
  <si>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</si>
  <si>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</si>
  <si>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</si>
  <si>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</si>
  <si>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</si>
  <si>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</si>
  <si>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</si>
  <si>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</si>
  <si>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</si>
  <si>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</si>
  <si>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</si>
  <si>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</si>
  <si>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</si>
  <si>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</si>
  <si>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</si>
  <si>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</si>
  <si>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</si>
  <si>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</si>
  <si>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</si>
  <si>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</si>
  <si>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</si>
  <si>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</si>
  <si>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</si>
  <si>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</si>
  <si>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</si>
  <si>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</si>
  <si>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</si>
  <si>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</si>
  <si>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</si>
  <si>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</si>
  <si>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</si>
  <si>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</si>
  <si>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</si>
  <si>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</si>
  <si>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</si>
  <si>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</si>
  <si>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</si>
  <si>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</si>
  <si>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</si>
  <si>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</si>
  <si>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</si>
  <si>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</si>
  <si>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</si>
  <si>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</si>
  <si>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</si>
  <si>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</si>
  <si>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</si>
  <si>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</si>
  <si>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</si>
  <si>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</si>
  <si>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</si>
  <si>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</si>
  <si>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</si>
  <si>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</si>
  <si>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</si>
  <si>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</si>
  <si>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</si>
  <si>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</si>
  <si>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</si>
  <si>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</si>
  <si>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</si>
  <si>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</si>
  <si>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</si>
  <si>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</si>
  <si>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</si>
  <si>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</si>
  <si>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</si>
  <si>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</si>
  <si>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</si>
  <si>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</si>
  <si>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</si>
  <si>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</si>
  <si>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</si>
  <si>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</si>
  <si>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</si>
  <si>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</si>
  <si>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</si>
  <si>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</si>
  <si>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</si>
  <si>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</si>
  <si>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</si>
  <si>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</si>
  <si>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</si>
  <si>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</si>
  <si>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</si>
  <si>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</si>
  <si>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</si>
  <si>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</si>
  <si>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</si>
  <si>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</si>
  <si>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</si>
  <si>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</si>
  <si>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</si>
  <si>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</si>
  <si>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</si>
  <si>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</si>
  <si>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</si>
  <si>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</si>
  <si>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</si>
  <si>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</si>
  <si>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</si>
  <si>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</si>
  <si>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</si>
  <si>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</si>
  <si>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</si>
  <si>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</si>
  <si>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</si>
  <si>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</si>
  <si>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</si>
  <si>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</si>
  <si>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</si>
  <si>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</si>
  <si>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</si>
  <si>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</si>
  <si>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</si>
  <si>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</si>
  <si>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</si>
  <si>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</si>
  <si>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</si>
  <si>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</si>
  <si>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</si>
  <si>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</si>
  <si>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</si>
  <si>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</si>
  <si>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</si>
  <si>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</si>
  <si>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</si>
  <si>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</si>
  <si>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</si>
  <si>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</si>
  <si>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</si>
  <si>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</si>
  <si>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</si>
  <si>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</si>
  <si>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</si>
  <si>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</si>
  <si>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</si>
  <si>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</si>
  <si>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</si>
  <si>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</si>
  <si>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</si>
  <si>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</si>
  <si>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</si>
  <si>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</si>
  <si>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</si>
  <si>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</si>
  <si>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</si>
  <si>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</si>
  <si>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</si>
  <si>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</si>
  <si>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</si>
  <si>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</si>
  <si>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</si>
  <si>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</si>
  <si>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</si>
  <si>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</si>
  <si>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</si>
  <si>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</si>
  <si>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</si>
  <si>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</si>
  <si>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</si>
  <si>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</si>
  <si>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</si>
  <si>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</si>
  <si>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</si>
  <si>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</si>
  <si>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</si>
  <si>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</si>
  <si>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</si>
  <si>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</si>
  <si>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</si>
  <si>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</si>
  <si>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</si>
  <si>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</si>
  <si>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</si>
  <si>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</si>
  <si>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</si>
  <si>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</si>
  <si>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</si>
  <si>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</si>
  <si>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</si>
  <si>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</si>
  <si>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</si>
  <si>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</si>
  <si>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</si>
  <si>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</si>
  <si>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</si>
  <si>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</si>
  <si>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</si>
  <si>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</si>
  <si>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</si>
  <si>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</si>
  <si>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</si>
  <si>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</si>
  <si>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</si>
  <si>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</si>
  <si>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</si>
  <si>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</si>
  <si>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</si>
  <si>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</si>
  <si>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</si>
  <si>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</si>
  <si>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</si>
  <si>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</si>
  <si>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</si>
  <si>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</si>
  <si>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</si>
  <si>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</si>
  <si>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</si>
  <si>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</si>
  <si>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</si>
  <si>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</si>
  <si>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</si>
  <si>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</si>
  <si>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</si>
  <si>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</si>
  <si>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</si>
  <si>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</si>
  <si>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</si>
  <si>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</si>
  <si>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</si>
  <si>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</si>
  <si>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</si>
  <si>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</si>
  <si>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</si>
  <si>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</si>
  <si>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</si>
  <si>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</si>
  <si>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</si>
  <si>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</si>
  <si>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</si>
  <si>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</si>
  <si>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</si>
  <si>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</si>
  <si>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</si>
  <si>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</si>
  <si>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</si>
  <si>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</si>
  <si>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</si>
  <si>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</si>
  <si>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</si>
  <si>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</si>
  <si>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</si>
  <si>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</si>
  <si>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</si>
  <si>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</si>
  <si>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</si>
  <si>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</si>
  <si>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</si>
  <si>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</si>
  <si>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</si>
  <si>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</si>
  <si>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</si>
  <si>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</si>
  <si>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</si>
  <si>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</si>
  <si>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</si>
  <si>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</si>
  <si>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</si>
  <si>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</si>
  <si>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</si>
  <si>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</si>
  <si>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</si>
  <si>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</si>
  <si>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</si>
  <si>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</si>
  <si>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</si>
  <si>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</si>
  <si>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</si>
  <si>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</si>
  <si>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</si>
  <si>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</si>
  <si>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</si>
  <si>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</si>
  <si>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</si>
  <si>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</si>
  <si>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</si>
  <si>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</si>
  <si>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</si>
  <si>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</si>
  <si>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</si>
  <si>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</si>
  <si>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</si>
  <si>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</si>
  <si>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</si>
  <si>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</si>
  <si>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</si>
  <si>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Tecnitot - P4</t>
  </si>
  <si>
    <t>3460x2460 mm</t>
  </si>
  <si>
    <t>35007 - Techo vista, 4 m</t>
  </si>
  <si>
    <t>35040 - 60 Kgrs</t>
  </si>
  <si>
    <t>35037 - 60 Kgrs</t>
  </si>
  <si>
    <t>35054 - CAVE adhesivo</t>
  </si>
  <si>
    <t>Inferior</t>
  </si>
  <si>
    <t>CUAD50</t>
  </si>
  <si>
    <t>CUADRADO 50, BARRAS: 6,5 MTS</t>
  </si>
  <si>
    <t>Cuadrado 50 mm Lac. Negro, 2 barras, INCLUIDAS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</si>
</sst>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481855</xdr:colOff>
      <xdr:row>13</xdr:row>
      <xdr:rowOff>44825</xdr:rowOff>
    </xdr:from>
    <xdr:to>
      <xdr:col>5</xdr:col>
      <xdr:colOff>608988</xdr:colOff>
      <xdr:row>24</xdr:row>
      <xdr:rowOff>109325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A56B03-9D8D-B15B-E904-B197094E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737" y="2667001"/>
          <a:ext cx="3119104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9" zoomScaleNormal="95" zoomScaleSheetLayoutView="100" workbookViewId="0">
      <selection activeCell="G31" sqref="G3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20250044</v>
      </c>
      <c r="G7" s="8">
        <f ca="1">TODAY()</f>
        <v>45713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868</v>
      </c>
      <c r="C13" s="83" t="str">
        <f>IFERROR(VLOOKUP($B13,Tarifa_all_20240711!$A$2:$G$660,2,FALSE()),"-")</f>
        <v>GUIA SUP TECHO PLUS LAC.NEGRO TEXTURADO-4 MTS</v>
      </c>
      <c r="D13" s="83"/>
      <c r="E13" s="17">
        <v>1</v>
      </c>
      <c r="F13" s="18">
        <f>IFERROR(VLOOKUP($B13,Tarifa_all_20240711!$A$2:$G$660,5,FALSE()),"-")</f>
        <v>86.925000000000011</v>
      </c>
      <c r="G13" s="18">
        <f t="shared" ref="G13:G29" si="0">IFERROR(E13*F13,"-")</f>
        <v>86.925000000000011</v>
      </c>
      <c r="H13" s="1"/>
    </row>
    <row r="14" spans="1:12" x14ac:dyDescent="0.25">
      <c r="A14" t="s">
        <v>15</v>
      </c>
      <c r="B14" s="16" t="s">
        <v>1439</v>
      </c>
      <c r="C14" s="83" t="str">
        <f>IFERROR(VLOOKUP($B14,Tarifa_all_20240711!$A$2:$G$660,2,FALSE()),"-")</f>
        <v>TAPETA LAT. GUIA TECHO NEGRO</v>
      </c>
      <c r="D14" s="83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3" t="str">
        <f>IFERROR(VLOOKUP($B15,Tarifa_all_20240711!$A$2:$G$660,2,FALSE()),"-")</f>
        <v>-</v>
      </c>
      <c r="D15" s="83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3" t="str">
        <f>IFERROR(VLOOKUP($B16,Tarifa_all_20240711!$A$2:$G$660,2,FALSE()),"-")</f>
        <v>KIT AMORTIGUADOR SKY BIDIRECCIONAL 60KG</v>
      </c>
      <c r="D16" s="83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83" t="str">
        <f>IFERROR(VLOOKUP($B17,Tarifa_all_20240711!$A$2:$G$660,2,FALSE()),"-")</f>
        <v>KIT PUERTA PA CORREDERA LAC.NEGRO TEXTURADO</v>
      </c>
      <c r="D17" s="83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83" t="str">
        <f>IFERROR(VLOOKUP($B18,Tarifa_all_20240711!$A$2:$G$660,2,FALSE()),"-")</f>
        <v>CARRO SKY MADERA 60KG</v>
      </c>
      <c r="D18" s="83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83" t="str">
        <f>IFERROR(VLOOKUP($B19,Tarifa_all_20240711!$A$2:$G$660,2,FALSE()),"-")</f>
        <v>TIRADOR RECT.ADH CAVE LAC.NEGRO TEXTURADO: 2 UDS</v>
      </c>
      <c r="D19" s="83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83" t="str">
        <f>IFERROR(VLOOKUP($B20,Tarifa_all_20240711!$A$2:$G$660,2,FALSE()),"-")</f>
        <v>GUIADOR FIJO PA LAC.NEGRO TEXTURADO</v>
      </c>
      <c r="D20" s="83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139</v>
      </c>
      <c r="C21" s="84" t="str">
        <f>IFERROR(VLOOKUP($B21,Tarifa_all_20240711!$A$2:$G$660,2,FALSE()),"-")</f>
        <v>PERFIL EMBELL.HORIZ. ADH LAC.NEGRO TEXTURADO</v>
      </c>
      <c r="D21" s="84"/>
      <c r="E21" s="77">
        <v>6</v>
      </c>
      <c r="F21" s="78">
        <f>IFERROR(VLOOKUP($B21,Tarifa_all_20240711!$A$2:$G$660,5,FALSE()),"-")</f>
        <v>21.794999999999998</v>
      </c>
      <c r="G21" s="78">
        <f t="shared" si="0"/>
        <v>130.76999999999998</v>
      </c>
      <c r="H21" s="79">
        <f>SUM(G13:G21)</f>
        <v>569.28750000000002</v>
      </c>
    </row>
    <row r="22" spans="1:8" x14ac:dyDescent="0.25">
      <c r="B22" s="16" t="s">
        <v>457</v>
      </c>
      <c r="C22" s="83" t="str">
        <f>IFERROR(VLOOKUP($B22,Tarifa_all_20240711!$A$2:$G$660,2,FALSE()),"-")</f>
        <v>MARCO FIJOS 35MM D-DECOR FIJO NEGRO TEXT 6,5 MTS</v>
      </c>
      <c r="D22" s="83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437</v>
      </c>
      <c r="C23" s="83" t="str">
        <f>IFERROR(VLOOKUP($B23,Tarifa_all_20240711!$A$2:$G$660,2,FALSE()),"-")</f>
        <v>ANCLAJE TAPA 35MM D-DECOR FIJO NEGRO TEXT 6,5 MTS</v>
      </c>
      <c r="D23" s="83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477</v>
      </c>
      <c r="C24" s="83" t="str">
        <f>IFERROR(VLOOKUP($B24,Tarifa_all_20240711!$A$2:$G$660,2,FALSE()),"-")</f>
        <v>TAPA MARCO 35MM D-DECOR FIJO NEGRO TEXT 6,5 MTS</v>
      </c>
      <c r="D24" s="83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 t="s">
        <v>446</v>
      </c>
      <c r="C25" s="83" t="str">
        <f>IFERROR(VLOOKUP($B25,Tarifa_all_20240711!$A$2:$G$660,2,FALSE()),"-")</f>
        <v>PERFIL MINIMALISTA D-DECOR FIJO NEGRO TEXT 3 MTS</v>
      </c>
      <c r="D25" s="83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294</v>
      </c>
      <c r="C26" s="83" t="str">
        <f>IFERROR(VLOOKUP($B26,Tarifa_all_20240711!$A$2:$G$660,2,FALSE()),"-")</f>
        <v>Tope Domo Decor</v>
      </c>
      <c r="D26" s="83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296</v>
      </c>
      <c r="C27" s="83" t="str">
        <f>IFERROR(VLOOKUP($B27,Tarifa_all_20240711!$A$2:$G$660,2,FALSE()),"-")</f>
        <v>PERFIL 3 MTS REDUCTOR PARA VIDRIO 6mm</v>
      </c>
      <c r="D27" s="83"/>
      <c r="E27" s="17">
        <v>4</v>
      </c>
      <c r="F27" s="18">
        <f>IFERROR(VLOOKUP($B27,Tarifa_all_20240711!$A$2:$G$660,5,FALSE()),"-")</f>
        <v>3.4275000000000002</v>
      </c>
      <c r="G27" s="18">
        <f t="shared" si="0"/>
        <v>13.71</v>
      </c>
      <c r="H27" s="1"/>
    </row>
    <row r="28" spans="1:8" x14ac:dyDescent="0.25">
      <c r="B28" s="16">
        <v>31229</v>
      </c>
      <c r="C28" s="83" t="str">
        <f>IFERROR(VLOOKUP($B28,Tarifa_all_20240711!$A$2:$G$660,2,FALSE()),"-")</f>
        <v>COMPLEMENTO FIJACION DOMO DECOR: BARRAS 3 MTS</v>
      </c>
      <c r="D28" s="83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76" t="s">
        <v>139</v>
      </c>
      <c r="C29" s="84" t="str">
        <f>IFERROR(VLOOKUP($B29,Tarifa_all_20240711!$A$2:$G$660,2,FALSE()),"-")</f>
        <v>PERFIL EMBELL.HORIZ. ADH LAC.NEGRO TEXTURADO</v>
      </c>
      <c r="D29" s="84"/>
      <c r="E29" s="77">
        <v>14</v>
      </c>
      <c r="F29" s="78">
        <f>IFERROR(VLOOKUP($B29,Tarifa_all_20240711!$A$2:$G$660,5,FALSE()),"-")</f>
        <v>21.794999999999998</v>
      </c>
      <c r="G29" s="78">
        <f t="shared" si="0"/>
        <v>305.13</v>
      </c>
      <c r="H29" s="79">
        <f>SUM(G22:G29)</f>
        <v>508.77749999999997</v>
      </c>
    </row>
    <row r="30" spans="1:8" x14ac:dyDescent="0.25">
      <c r="B30" s="16" t="s">
        <v>1455</v>
      </c>
      <c r="C30" s="83" t="s">
        <v>1456</v>
      </c>
      <c r="D30" s="83"/>
      <c r="E30" s="17">
        <v>2</v>
      </c>
      <c r="F30" s="18" t="str">
        <f>IFERROR(VLOOKUP($B30,Tarifa_all_20240711!$A$2:$G$660,5,FALSE()),"-")</f>
        <v>-</v>
      </c>
      <c r="G30" s="18">
        <v>118.55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1196.615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5"/>
      <c r="E52" s="85"/>
      <c r="F52" s="85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26" zoomScale="85" zoomScaleNormal="85" zoomScaleSheetLayoutView="85" workbookViewId="0">
      <selection activeCell="A45" sqref="A45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78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0" t="s">
        <v>79</v>
      </c>
      <c r="B6" s="90"/>
      <c r="C6" s="90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1" t="str">
        <f>'DESPIECE (MATANALYSIS)'!C8</f>
        <v>Cristalum Gandia</v>
      </c>
      <c r="C9" s="91"/>
      <c r="D9" s="91"/>
      <c r="F9" s="3" t="s">
        <v>81</v>
      </c>
      <c r="G9" s="44">
        <f ca="1">TODAY()</f>
        <v>45713</v>
      </c>
    </row>
    <row r="10" spans="1:7" x14ac:dyDescent="0.25">
      <c r="A10" s="3" t="s">
        <v>82</v>
      </c>
      <c r="B10" s="11" t="str">
        <f>'DESPIECE (MATANALYSIS)'!C9</f>
        <v>Tecnitot - P4</v>
      </c>
      <c r="C10" s="45"/>
      <c r="D10" s="45"/>
      <c r="E10" s="46"/>
      <c r="F10" s="47" t="s">
        <v>83</v>
      </c>
      <c r="G10" s="7">
        <f>'DESPIECE (MATANALYSIS)'!C7</f>
        <v>20250044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1457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6"/>
      <c r="B46" s="86"/>
      <c r="C46" s="71"/>
      <c r="D46" s="71"/>
      <c r="E46" s="71"/>
      <c r="F46" s="72"/>
      <c r="G46" s="73"/>
    </row>
    <row r="47" spans="1:7" ht="22.7" customHeight="1" x14ac:dyDescent="0.25">
      <c r="A47" s="87" t="s">
        <v>95</v>
      </c>
      <c r="B47" s="87"/>
      <c r="C47" s="59"/>
      <c r="D47" s="59"/>
      <c r="E47" s="59"/>
      <c r="F47" s="88">
        <f>'DESPIECE (MATANALYSIS)'!G31</f>
        <v>1196.615</v>
      </c>
      <c r="G47" s="88"/>
    </row>
    <row r="48" spans="1:7" s="1" customFormat="1" ht="22.7" customHeight="1" x14ac:dyDescent="0.25">
      <c r="A48" s="89" t="s">
        <v>96</v>
      </c>
      <c r="B48" s="89"/>
      <c r="C48" s="89"/>
      <c r="D48" s="89"/>
      <c r="E48" s="89"/>
      <c r="F48" s="89"/>
      <c r="G48" s="89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2025-02-25T16:13:54Z</dcterms:modified>
  <dc:language>es-ES</dc:language>
</cp:coreProperties>
</file>