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4\calculos\1\"/>
    </mc:Choice>
  </mc:AlternateContent>
  <xr:revisionPtr revIDLastSave="0" documentId="13_ncr:1_{908E7FE3-594B-4644-8D73-5EE0098A3679}" xr6:coauthVersionLast="47" xr6:coauthVersionMax="47" xr10:uidLastSave="{00000000-0000-0000-0000-000000000000}"/>
  <bookViews>
    <workbookView xWindow="-28920" yWindow="-120" windowWidth="29040" windowHeight="15720" xr2:uid="{42585F8E-D535-4EAD-9517-2D0974994317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1" i="2"/>
  <c r="J12" i="2"/>
  <c r="J11" i="2"/>
  <c r="I12" i="2"/>
  <c r="I11" i="2"/>
  <c r="H13" i="2"/>
  <c r="H12" i="2"/>
  <c r="H11" i="2"/>
  <c r="G11" i="2"/>
  <c r="G12" i="2"/>
  <c r="B6" i="2"/>
  <c r="BK63" i="1"/>
  <c r="BJ63" i="1"/>
  <c r="BJ86" i="1"/>
  <c r="BG86" i="1"/>
  <c r="BJ85" i="1"/>
  <c r="BG85" i="1"/>
  <c r="BJ84" i="1"/>
  <c r="BG84" i="1"/>
  <c r="BG83" i="1"/>
  <c r="BJ82" i="1"/>
  <c r="BG82" i="1"/>
  <c r="BJ81" i="1"/>
  <c r="BG81" i="1"/>
  <c r="BJ80" i="1"/>
  <c r="BG80" i="1"/>
  <c r="BJ79" i="1"/>
  <c r="BG79" i="1"/>
  <c r="BG78" i="1"/>
  <c r="BJ77" i="1"/>
  <c r="BG77" i="1"/>
  <c r="BG76" i="1"/>
  <c r="BJ75" i="1"/>
  <c r="BG75" i="1"/>
  <c r="BJ74" i="1"/>
  <c r="BG74" i="1"/>
  <c r="BJ73" i="1"/>
  <c r="BG73" i="1"/>
  <c r="BJ72" i="1"/>
  <c r="BG72" i="1"/>
  <c r="BJ71" i="1"/>
  <c r="BG71" i="1"/>
  <c r="BJ70" i="1"/>
  <c r="BG70" i="1"/>
  <c r="BJ69" i="1"/>
  <c r="BG69" i="1"/>
  <c r="BJ68" i="1"/>
  <c r="BG68" i="1"/>
  <c r="BJ67" i="1"/>
  <c r="BG67" i="1"/>
  <c r="BJ66" i="1"/>
  <c r="BG66" i="1"/>
  <c r="BG65" i="1"/>
  <c r="BJ64" i="1"/>
  <c r="BG64" i="1"/>
  <c r="BJ88" i="1"/>
  <c r="N110" i="1" s="1"/>
  <c r="AV110" i="1" s="1"/>
  <c r="BG63" i="1"/>
  <c r="BG88" i="1" s="1"/>
</calcChain>
</file>

<file path=xl/sharedStrings.xml><?xml version="1.0" encoding="utf-8"?>
<sst xmlns="http://schemas.openxmlformats.org/spreadsheetml/2006/main" count="144" uniqueCount="107">
  <si>
    <t>DATOS COMERCIALES</t>
  </si>
  <si>
    <t>LISTADO DE BARRAS A PEDIR</t>
  </si>
  <si>
    <t>Cliente: Melchor Mañó S.L.
Obra: 20250054
Presupuesto: Serie A / 1337 - Oferta 1</t>
  </si>
  <si>
    <t xml:space="preserve">Obra: 20250054  </t>
  </si>
  <si>
    <t/>
  </si>
  <si>
    <t>Fecha:14/03/2025</t>
  </si>
  <si>
    <t>ARTICULO</t>
  </si>
  <si>
    <t>COLOR</t>
  </si>
  <si>
    <t>Medida</t>
  </si>
  <si>
    <t>Uds.</t>
  </si>
  <si>
    <t>Precio/m</t>
  </si>
  <si>
    <t>Precio/Barra</t>
  </si>
  <si>
    <t>Total Ms.</t>
  </si>
  <si>
    <t>Peso total</t>
  </si>
  <si>
    <t>Precio Total</t>
  </si>
  <si>
    <t>PROVEEDOR: INDALSU</t>
  </si>
  <si>
    <t>SERIE: ABISAGRADA DOMO 40</t>
  </si>
  <si>
    <t>2814 - Pletina pasador</t>
  </si>
  <si>
    <t>ANODIZADO BRONCE TRAT.(ANODIZADO BRONCE GRATA REPUL.) / ANODIZADO BRONCE TRAT.(ANODIZADO BRONCE GRATA REPUL.)</t>
  </si>
  <si>
    <t>19</t>
  </si>
  <si>
    <t>Total Serie:</t>
  </si>
  <si>
    <t>SERIE: ABISAGRADA DOMO 67RT HO C16</t>
  </si>
  <si>
    <t>3800 - MARCO RECTO</t>
  </si>
  <si>
    <t>95</t>
  </si>
  <si>
    <t>SERIE: ABISAGRADA DOMO 67RT HO</t>
  </si>
  <si>
    <t>3836 - HOJA</t>
  </si>
  <si>
    <t>107</t>
  </si>
  <si>
    <t>3837 - HOJA INVERSORA</t>
  </si>
  <si>
    <t>25</t>
  </si>
  <si>
    <t>3843 - INVERSOR HOJA INVERSORA</t>
  </si>
  <si>
    <t>SERIE: ACCESORIOS</t>
  </si>
  <si>
    <t>31213 - JUNQUILLO TERMOPLASTICO D67RT HO C16 NEG</t>
  </si>
  <si>
    <t>SIN TRATAR(.) / SIN TRATAR(.)</t>
  </si>
  <si>
    <t>111</t>
  </si>
  <si>
    <t>Total Proveedor:</t>
  </si>
  <si>
    <t>Total Pedido:</t>
  </si>
  <si>
    <t>Página nº 1 / 3</t>
  </si>
  <si>
    <t>LISTADO DE ACCESORIOS A PEDIR</t>
  </si>
  <si>
    <t>Cantidad</t>
  </si>
  <si>
    <t>Ancho</t>
  </si>
  <si>
    <t>Alto</t>
  </si>
  <si>
    <t>Precio</t>
  </si>
  <si>
    <t>Precio total</t>
  </si>
  <si>
    <t>0/-TUBO ESQUINERO 90</t>
  </si>
  <si>
    <t>47/31041-JUNTA BATIENTE COEXTRUSIONADA(Rollo de 300 metros)</t>
  </si>
  <si>
    <t>47/31072-JUNTA ACRIST. EXTERIOR EPDM 3,5x3(Rollo de 200 metros)</t>
  </si>
  <si>
    <t>47/31031-JUNTA CENTRAL D67RT HO C16 EPDM(Rollo de 50 metros)</t>
  </si>
  <si>
    <t>47/30200-ESCUADRAS ALMTO. 30x15x0.8 MM(Conjunto de 100 unidades)</t>
  </si>
  <si>
    <t>47/30154-ESCUADRA DE VÉRTICE 25x15 TC(Conjunto de 300 unidades)</t>
  </si>
  <si>
    <t>47/30628-ESCUADRA DE VÉRTICE 9x14(Conjunto de 500 unidades)</t>
  </si>
  <si>
    <t>47/30371-TAPA DESAGUE NEGRO</t>
  </si>
  <si>
    <t>47/30184-ESCUADRA ALIN. C/EXCENTRICOS PRACT 50x15x7(Conjunto de 250 unidades)</t>
  </si>
  <si>
    <t>47/30180-ESCUADRA TETÓN 24x14 - 0443 ALUGANDIA
(Conjunto de 250 unidades)</t>
  </si>
  <si>
    <t>47/33180-PUNTO DE CIERRE ADICIONAL HOJA PASIVA</t>
  </si>
  <si>
    <t>47/30429-JUEGO TAPAS INVERSORA</t>
  </si>
  <si>
    <t>47/30153-ESCUADRA DE VERTICE 14 X 15</t>
  </si>
  <si>
    <t>47/33140-ADAPTADOR HOJA PASIVA 80KG</t>
  </si>
  <si>
    <t>47/33150-PASADOR BIRECCIONAL</t>
  </si>
  <si>
    <t>47/30644-CALZO DE ACRISTALAR</t>
  </si>
  <si>
    <t>47/33000-MECANISMO OB</t>
  </si>
  <si>
    <t>47/33165-KIT CIERRE SUPLEMENTARIO H-1200 L-1000</t>
  </si>
  <si>
    <t>47/33170-ANGULO DE REENVIO EG</t>
  </si>
  <si>
    <t>47/33042-COMPAS OB 80 KG GRANDE</t>
  </si>
  <si>
    <t>47/33160-ENCUENTRO SIMPLE</t>
  </si>
  <si>
    <t>47/31054-ANGULO VULCAN. D67RT HO C16 EPDM</t>
  </si>
  <si>
    <t>47/33010-BISAGRA ACTIVA OB 80 KG</t>
  </si>
  <si>
    <t>47/33100-CREMONA OB KORA</t>
  </si>
  <si>
    <t>Total Accesorios:</t>
  </si>
  <si>
    <t>Página nº 2 / 3</t>
  </si>
  <si>
    <t>LISTADO DE CRISTALES A PEDIR</t>
  </si>
  <si>
    <t>Total vidrios:</t>
  </si>
  <si>
    <t>RESUMEN DEL PEDIDO</t>
  </si>
  <si>
    <t>Perfiles</t>
  </si>
  <si>
    <t>Accesorios</t>
  </si>
  <si>
    <t>Mano Obra</t>
  </si>
  <si>
    <t>Compactos</t>
  </si>
  <si>
    <t>Vidrios</t>
  </si>
  <si>
    <t>Total Pedido</t>
  </si>
  <si>
    <t>Página nº 3 / 3</t>
  </si>
  <si>
    <t>FAPIM</t>
  </si>
  <si>
    <t>150803_Z5</t>
  </si>
  <si>
    <t>Kit de cierre para hoja pasiva</t>
  </si>
  <si>
    <t>0651A_Z5</t>
  </si>
  <si>
    <t>Mecan. Monodirec. Para manill. Aguja 12 mm.</t>
  </si>
  <si>
    <t>0651_Z5</t>
  </si>
  <si>
    <t>1497A_Z5 y 1461_Z5</t>
  </si>
  <si>
    <t>Ángulo de reenvío suplem. + KIT Base OB GALICUBE</t>
  </si>
  <si>
    <t>1214L_00 y 1210R</t>
  </si>
  <si>
    <t>Bisagra oculta MAGICUBE, vent. Prac. Izq. Y Kit MAGICUBE Der. Bisagr. Ocultas + compás</t>
  </si>
  <si>
    <t>0505A_NN</t>
  </si>
  <si>
    <t>Manilla NUX</t>
  </si>
  <si>
    <t>chapas remates</t>
  </si>
  <si>
    <t>perfiles netos</t>
  </si>
  <si>
    <t>accesorios y herrajes FAPIM</t>
  </si>
  <si>
    <t>tubo 80x2 mm esquinero</t>
  </si>
  <si>
    <t>6900x1650</t>
  </si>
  <si>
    <t>1450x1650</t>
  </si>
  <si>
    <t>perc. M2</t>
  </si>
  <si>
    <t>m2 1 vent.</t>
  </si>
  <si>
    <t>m2 total</t>
  </si>
  <si>
    <t>V01</t>
  </si>
  <si>
    <t>V02</t>
  </si>
  <si>
    <t>vent. OB 2H</t>
  </si>
  <si>
    <t>uds</t>
  </si>
  <si>
    <t>meds. Totales</t>
  </si>
  <si>
    <t>por vent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</si>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</sst>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\ #0.00"/>
    <numFmt numFmtId="168" formatCode="0.000"/>
  </numFmts>
  <fonts count="38" x14ac:knownFonts="1">
    <font>
      <sz val="11"/>
      <color theme="1"/>
      <name val="Aptos Narrow"/>
      <family val="2"/>
      <scheme val="minor"/>
    </font>
    <font>
      <b/>
      <sz val="18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808080"/>
      <name val="Arial"/>
      <family val="2"/>
    </font>
    <font>
      <sz val="8"/>
      <color rgb="FF000000"/>
      <name val="Arial"/>
      <family val="2"/>
    </font>
    <font>
      <sz val="9"/>
      <color rgb="FF0000FF"/>
      <name val="Arial"/>
      <family val="2"/>
    </font>
    <font>
      <sz val="9"/>
      <color rgb="FF008080"/>
      <name val="Arial"/>
      <family val="2"/>
    </font>
    <font>
      <b/>
      <sz val="10"/>
      <color rgb="FF0000FF"/>
      <name val="Arial"/>
      <family val="2"/>
    </font>
    <font>
      <b/>
      <sz val="10"/>
      <color rgb="FF00808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8000"/>
      <name val="Arial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8000"/>
      <name val="Arial"/>
      <family val="2"/>
    </font>
    <font>
      <sz val="8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8"/>
      <color rgb="FF808080"/>
      <name val="Arial"/>
      <family val="2"/>
    </font>
    <font>
      <sz val="8"/>
      <color rgb="FF0000FF"/>
      <name val="Arial"/>
      <family val="2"/>
    </font>
    <font>
      <sz val="8"/>
      <color rgb="FF008080"/>
      <name val="Arial"/>
      <family val="2"/>
    </font>
    <font>
      <b/>
      <sz val="8"/>
      <color rgb="FF0000FF"/>
      <name val="Arial"/>
      <family val="2"/>
    </font>
    <font>
      <b/>
      <sz val="8"/>
      <color rgb="FF008080"/>
      <name val="Arial"/>
      <family val="2"/>
    </font>
    <font>
      <b/>
      <sz val="8"/>
      <color rgb="FF008000"/>
      <name val="Arial"/>
      <family val="2"/>
    </font>
    <font>
      <b/>
      <sz val="8"/>
      <color rgb="FFEA6716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EA6716"/>
      <name val="Aptos Narrow"/>
      <family val="2"/>
      <scheme val="minor"/>
    </font>
    <font>
      <sz val="8"/>
      <color rgb="FFEA6716"/>
      <name val="Arial"/>
      <family val="2"/>
    </font>
    <font>
      <b/>
      <sz val="8"/>
      <color rgb="FFEA6716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8"/>
      <color rgb="FF00B050"/>
      <name val="Arial"/>
      <family val="2"/>
    </font>
    <font>
      <b/>
      <sz val="8"/>
      <color rgb="FF00B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37373"/>
        <bgColor indexed="64"/>
      </patternFill>
    </fill>
    <fill>
      <patternFill patternType="solid">
        <fgColor rgb="FFFAE07C"/>
        <bgColor indexed="64"/>
      </patternFill>
    </fill>
  </fills>
  <borders count="38">
    <border>
      <left/>
      <right/>
      <top/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9">
    <xf numFmtId="0" fontId="0" fillId="0" borderId="0"/>
    <xf numFmtId="0" fontId="1" fillId="2" borderId="0">
      <alignment horizontal="right" vertical="center"/>
    </xf>
    <xf numFmtId="0" fontId="2" fillId="0" borderId="0">
      <alignment horizontal="right" vertical="top"/>
    </xf>
    <xf numFmtId="0" fontId="4" fillId="0" borderId="0">
      <alignment horizontal="right" vertical="top"/>
    </xf>
    <xf numFmtId="0" fontId="4" fillId="0" borderId="0">
      <alignment horizontal="right" vertical="top"/>
    </xf>
    <xf numFmtId="0" fontId="9" fillId="0" borderId="0">
      <alignment horizontal="right" vertical="top"/>
    </xf>
    <xf numFmtId="0" fontId="3" fillId="0" borderId="0">
      <alignment horizontal="right" vertical="top"/>
    </xf>
    <xf numFmtId="0" fontId="10" fillId="0" borderId="0">
      <alignment horizontal="righ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2" fillId="0" borderId="0">
      <alignment horizontal="left" vertical="top"/>
    </xf>
    <xf numFmtId="0" fontId="11" fillId="0" borderId="0">
      <alignment horizontal="right" vertical="top"/>
    </xf>
    <xf numFmtId="0" fontId="12" fillId="0" borderId="0">
      <alignment horizontal="right" vertical="top"/>
    </xf>
    <xf numFmtId="0" fontId="3" fillId="0" borderId="0">
      <alignment horizontal="left"/>
    </xf>
    <xf numFmtId="0" fontId="5" fillId="0" borderId="0">
      <alignment horizontal="right" vertical="top"/>
    </xf>
    <xf numFmtId="0" fontId="13" fillId="0" borderId="0">
      <alignment horizontal="left" vertical="top"/>
    </xf>
    <xf numFmtId="0" fontId="5" fillId="0" borderId="0">
      <alignment horizontal="right" vertical="top"/>
    </xf>
    <xf numFmtId="0" fontId="2" fillId="0" borderId="0">
      <alignment horizontal="left" vertical="top"/>
    </xf>
    <xf numFmtId="0" fontId="4" fillId="0" borderId="0">
      <alignment horizontal="right" vertical="top"/>
    </xf>
    <xf numFmtId="0" fontId="8" fillId="0" borderId="0">
      <alignment horizontal="right" vertical="top"/>
    </xf>
    <xf numFmtId="0" fontId="8" fillId="0" borderId="0">
      <alignment horizontal="right" vertical="top"/>
    </xf>
    <xf numFmtId="0" fontId="8" fillId="0" borderId="0">
      <alignment horizontal="right" vertical="top"/>
    </xf>
    <xf numFmtId="0" fontId="14" fillId="0" borderId="0">
      <alignment horizontal="right" vertical="top"/>
    </xf>
    <xf numFmtId="0" fontId="15" fillId="0" borderId="0">
      <alignment horizontal="right" vertical="top"/>
    </xf>
    <xf numFmtId="0" fontId="2" fillId="0" borderId="0">
      <alignment horizontal="left" vertical="top"/>
    </xf>
    <xf numFmtId="0" fontId="15" fillId="0" borderId="0">
      <alignment horizontal="right" vertical="top"/>
    </xf>
    <xf numFmtId="0" fontId="2" fillId="0" borderId="0">
      <alignment horizontal="left" vertical="top"/>
    </xf>
    <xf numFmtId="0" fontId="15" fillId="0" borderId="0">
      <alignment horizontal="left" vertical="top"/>
    </xf>
    <xf numFmtId="0" fontId="5" fillId="3" borderId="0">
      <alignment horizontal="center" vertical="top"/>
    </xf>
    <xf numFmtId="0" fontId="13" fillId="0" borderId="0">
      <alignment horizontal="left" vertical="top"/>
    </xf>
    <xf numFmtId="0" fontId="8" fillId="0" borderId="0">
      <alignment horizontal="right" vertical="top"/>
    </xf>
    <xf numFmtId="0" fontId="2" fillId="0" borderId="0">
      <alignment horizontal="left" vertical="top"/>
    </xf>
    <xf numFmtId="0" fontId="15" fillId="3" borderId="0">
      <alignment horizontal="left" vertical="top"/>
    </xf>
    <xf numFmtId="0" fontId="13" fillId="3" borderId="0">
      <alignment horizontal="left" vertical="top"/>
    </xf>
    <xf numFmtId="0" fontId="3" fillId="3" borderId="0">
      <alignment horizontal="center" vertical="top"/>
    </xf>
    <xf numFmtId="0" fontId="4" fillId="0" borderId="0">
      <alignment horizontal="left" vertical="center"/>
    </xf>
    <xf numFmtId="0" fontId="3" fillId="3" borderId="0">
      <alignment horizontal="center" vertical="top"/>
    </xf>
    <xf numFmtId="0" fontId="4" fillId="0" borderId="0">
      <alignment horizontal="right" vertical="top"/>
    </xf>
    <xf numFmtId="0" fontId="3" fillId="0" borderId="0">
      <alignment horizontal="right" vertical="top"/>
    </xf>
    <xf numFmtId="0" fontId="5" fillId="3" borderId="0">
      <alignment horizontal="center" vertical="top"/>
    </xf>
    <xf numFmtId="0" fontId="5" fillId="3" borderId="0">
      <alignment horizontal="center" vertical="top"/>
    </xf>
    <xf numFmtId="0" fontId="5" fillId="3" borderId="0">
      <alignment horizontal="center" vertical="top"/>
    </xf>
    <xf numFmtId="0" fontId="15" fillId="0" borderId="0">
      <alignment horizontal="left" vertical="top"/>
    </xf>
    <xf numFmtId="0" fontId="5" fillId="3" borderId="0">
      <alignment horizontal="center" vertical="center"/>
    </xf>
    <xf numFmtId="0" fontId="3" fillId="3" borderId="0">
      <alignment horizontal="center" vertical="top"/>
    </xf>
    <xf numFmtId="0" fontId="6" fillId="0" borderId="0">
      <alignment horizontal="left" vertical="center"/>
    </xf>
    <xf numFmtId="0" fontId="7" fillId="0" borderId="0">
      <alignment horizontal="left" vertical="top"/>
    </xf>
    <xf numFmtId="0" fontId="8" fillId="0" borderId="0">
      <alignment horizontal="left" vertical="top"/>
    </xf>
    <xf numFmtId="44" fontId="16" fillId="0" borderId="0" applyFont="0" applyFill="0" applyBorder="0" applyAlignment="0" applyProtection="0"/>
  </cellStyleXfs>
  <cellXfs count="207">
    <xf numFmtId="0" fontId="0" fillId="0" borderId="0" xfId="0"/>
    <xf numFmtId="0" fontId="8" fillId="0" borderId="23" xfId="47" quotePrefix="1" applyBorder="1" applyAlignment="1">
      <alignment horizontal="left" vertical="top" wrapText="1"/>
    </xf>
    <xf numFmtId="0" fontId="8" fillId="0" borderId="23" xfId="19" applyBorder="1" applyAlignment="1">
      <alignment horizontal="right" vertical="top" wrapText="1"/>
    </xf>
    <xf numFmtId="0" fontId="8" fillId="0" borderId="2" xfId="19" applyBorder="1" applyAlignment="1">
      <alignment horizontal="right" vertical="top" wrapText="1"/>
    </xf>
    <xf numFmtId="0" fontId="8" fillId="0" borderId="23" xfId="20" applyBorder="1" applyAlignment="1">
      <alignment horizontal="right" vertical="top" wrapText="1"/>
    </xf>
    <xf numFmtId="0" fontId="8" fillId="0" borderId="28" xfId="47" quotePrefix="1" applyBorder="1" applyAlignment="1">
      <alignment horizontal="left" vertical="top" wrapText="1"/>
    </xf>
    <xf numFmtId="0" fontId="8" fillId="0" borderId="31" xfId="21" applyBorder="1" applyAlignment="1">
      <alignment horizontal="right" vertical="top" wrapText="1"/>
    </xf>
    <xf numFmtId="0" fontId="8" fillId="0" borderId="28" xfId="19" applyBorder="1" applyAlignment="1">
      <alignment horizontal="right" vertical="top" wrapText="1"/>
    </xf>
    <xf numFmtId="0" fontId="8" fillId="0" borderId="31" xfId="19" applyBorder="1" applyAlignment="1">
      <alignment horizontal="right" vertical="top" wrapText="1"/>
    </xf>
    <xf numFmtId="0" fontId="8" fillId="0" borderId="28" xfId="20" applyBorder="1" applyAlignment="1">
      <alignment horizontal="right" vertical="top" wrapText="1"/>
    </xf>
    <xf numFmtId="0" fontId="14" fillId="0" borderId="31" xfId="22" applyBorder="1" applyAlignment="1">
      <alignment horizontal="right" vertical="top" wrapText="1"/>
    </xf>
    <xf numFmtId="0" fontId="8" fillId="0" borderId="2" xfId="47" quotePrefix="1" applyBorder="1" applyAlignment="1">
      <alignment horizontal="left" vertical="top" wrapText="1"/>
    </xf>
    <xf numFmtId="0" fontId="8" fillId="0" borderId="2" xfId="20" applyBorder="1" applyAlignment="1">
      <alignment horizontal="right" vertical="top" wrapText="1"/>
    </xf>
    <xf numFmtId="0" fontId="8" fillId="0" borderId="19" xfId="21" applyBorder="1" applyAlignment="1">
      <alignment horizontal="right" vertical="top" wrapText="1"/>
    </xf>
    <xf numFmtId="0" fontId="8" fillId="0" borderId="19" xfId="19" applyBorder="1" applyAlignment="1">
      <alignment horizontal="right" vertical="top" wrapText="1"/>
    </xf>
    <xf numFmtId="0" fontId="14" fillId="0" borderId="19" xfId="22" applyBorder="1" applyAlignment="1">
      <alignment horizontal="right" vertical="top" wrapText="1"/>
    </xf>
    <xf numFmtId="0" fontId="8" fillId="0" borderId="27" xfId="21" applyBorder="1" applyAlignment="1">
      <alignment horizontal="right" vertical="top" wrapText="1"/>
    </xf>
    <xf numFmtId="0" fontId="8" fillId="0" borderId="27" xfId="19" applyBorder="1" applyAlignment="1">
      <alignment horizontal="right" vertical="top" wrapText="1"/>
    </xf>
    <xf numFmtId="0" fontId="14" fillId="0" borderId="27" xfId="22" applyBorder="1" applyAlignment="1">
      <alignment horizontal="right" vertical="top" wrapText="1"/>
    </xf>
    <xf numFmtId="0" fontId="8" fillId="0" borderId="23" xfId="21" applyBorder="1" applyAlignment="1">
      <alignment horizontal="right" vertical="top" wrapText="1"/>
    </xf>
    <xf numFmtId="0" fontId="14" fillId="0" borderId="23" xfId="22" applyBorder="1" applyAlignment="1">
      <alignment horizontal="right"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3" fillId="0" borderId="0" xfId="9" applyFont="1" applyAlignment="1">
      <alignment horizontal="left" vertical="top" wrapText="1"/>
    </xf>
    <xf numFmtId="0" fontId="19" fillId="0" borderId="0" xfId="0" applyFont="1" applyAlignment="1">
      <alignment wrapText="1"/>
    </xf>
    <xf numFmtId="0" fontId="14" fillId="3" borderId="1" xfId="43" quotePrefix="1" applyFont="1" applyBorder="1" applyAlignment="1">
      <alignment horizontal="center" vertical="center" wrapText="1"/>
    </xf>
    <xf numFmtId="0" fontId="19" fillId="0" borderId="3" xfId="0" applyFont="1" applyBorder="1" applyAlignment="1">
      <alignment wrapText="1"/>
    </xf>
    <xf numFmtId="0" fontId="19" fillId="0" borderId="4" xfId="0" applyFont="1" applyBorder="1" applyAlignment="1">
      <alignment wrapText="1"/>
    </xf>
    <xf numFmtId="0" fontId="19" fillId="0" borderId="5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20" fillId="2" borderId="0" xfId="1" quotePrefix="1" applyFont="1" applyAlignment="1">
      <alignment horizontal="right" vertical="center" wrapText="1"/>
    </xf>
    <xf numFmtId="0" fontId="19" fillId="0" borderId="0" xfId="0" applyFont="1" applyAlignment="1">
      <alignment wrapText="1"/>
    </xf>
    <xf numFmtId="0" fontId="8" fillId="0" borderId="1" xfId="35" quotePrefix="1" applyFont="1" applyBorder="1" applyAlignment="1">
      <alignment horizontal="left" vertical="center" wrapText="1"/>
    </xf>
    <xf numFmtId="0" fontId="19" fillId="0" borderId="8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4" fillId="0" borderId="0" xfId="13" quotePrefix="1" applyFont="1" applyAlignment="1">
      <alignment horizontal="left" wrapText="1"/>
    </xf>
    <xf numFmtId="0" fontId="14" fillId="0" borderId="13" xfId="13" quotePrefix="1" applyFont="1" applyBorder="1" applyAlignment="1">
      <alignment horizontal="left" wrapText="1"/>
    </xf>
    <xf numFmtId="0" fontId="19" fillId="0" borderId="13" xfId="0" applyFont="1" applyBorder="1" applyAlignment="1">
      <alignment wrapText="1"/>
    </xf>
    <xf numFmtId="0" fontId="8" fillId="0" borderId="0" xfId="2" quotePrefix="1" applyFont="1" applyAlignment="1">
      <alignment horizontal="right" vertical="top" wrapText="1"/>
    </xf>
    <xf numFmtId="0" fontId="8" fillId="0" borderId="0" xfId="24" quotePrefix="1" applyFont="1" applyAlignment="1">
      <alignment horizontal="left" vertical="top" wrapText="1"/>
    </xf>
    <xf numFmtId="0" fontId="8" fillId="0" borderId="3" xfId="2" quotePrefix="1" applyFont="1" applyBorder="1" applyAlignment="1">
      <alignment horizontal="right" vertical="top" wrapText="1"/>
    </xf>
    <xf numFmtId="0" fontId="14" fillId="3" borderId="14" xfId="44" quotePrefix="1" applyFont="1" applyBorder="1" applyAlignment="1">
      <alignment horizontal="center" vertical="top" wrapText="1"/>
    </xf>
    <xf numFmtId="0" fontId="19" fillId="0" borderId="15" xfId="0" applyFont="1" applyBorder="1" applyAlignment="1">
      <alignment wrapText="1"/>
    </xf>
    <xf numFmtId="0" fontId="19" fillId="0" borderId="16" xfId="0" applyFont="1" applyBorder="1" applyAlignment="1">
      <alignment wrapText="1"/>
    </xf>
    <xf numFmtId="0" fontId="14" fillId="3" borderId="17" xfId="44" quotePrefix="1" applyFont="1" applyBorder="1" applyAlignment="1">
      <alignment horizontal="center" vertical="top" wrapText="1"/>
    </xf>
    <xf numFmtId="0" fontId="14" fillId="3" borderId="14" xfId="34" quotePrefix="1" applyFont="1" applyBorder="1" applyAlignment="1">
      <alignment horizontal="center" vertical="top" wrapText="1"/>
    </xf>
    <xf numFmtId="0" fontId="19" fillId="0" borderId="18" xfId="0" applyFont="1" applyBorder="1" applyAlignment="1">
      <alignment wrapText="1"/>
    </xf>
    <xf numFmtId="0" fontId="14" fillId="3" borderId="19" xfId="44" quotePrefix="1" applyFont="1" applyBorder="1" applyAlignment="1">
      <alignment horizontal="center" vertical="top" wrapText="1"/>
    </xf>
    <xf numFmtId="0" fontId="14" fillId="3" borderId="2" xfId="36" quotePrefix="1" applyFont="1" applyBorder="1" applyAlignment="1">
      <alignment horizontal="center" vertical="top" wrapText="1"/>
    </xf>
    <xf numFmtId="0" fontId="19" fillId="0" borderId="20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4" fillId="0" borderId="0" xfId="45" quotePrefix="1" applyFont="1" applyAlignment="1">
      <alignment horizontal="left" vertical="center" wrapText="1"/>
    </xf>
    <xf numFmtId="0" fontId="21" fillId="0" borderId="6" xfId="46" quotePrefix="1" applyFont="1" applyBorder="1" applyAlignment="1">
      <alignment horizontal="left" vertical="top" wrapText="1"/>
    </xf>
    <xf numFmtId="0" fontId="8" fillId="0" borderId="19" xfId="47" quotePrefix="1" applyFont="1" applyBorder="1" applyAlignment="1">
      <alignment horizontal="left" vertical="top" wrapText="1"/>
    </xf>
    <xf numFmtId="0" fontId="8" fillId="0" borderId="14" xfId="47" quotePrefix="1" applyFont="1" applyBorder="1" applyAlignment="1">
      <alignment horizontal="left" vertical="top" wrapText="1"/>
    </xf>
    <xf numFmtId="164" fontId="8" fillId="0" borderId="17" xfId="3" applyNumberFormat="1" applyFont="1" applyBorder="1" applyAlignment="1">
      <alignment horizontal="right" vertical="top" wrapText="1"/>
    </xf>
    <xf numFmtId="0" fontId="8" fillId="0" borderId="14" xfId="4" quotePrefix="1" applyFont="1" applyBorder="1" applyAlignment="1">
      <alignment horizontal="right" vertical="top" wrapText="1"/>
    </xf>
    <xf numFmtId="164" fontId="8" fillId="0" borderId="14" xfId="37" applyNumberFormat="1" applyFont="1" applyBorder="1" applyAlignment="1">
      <alignment horizontal="right" vertical="top" wrapText="1"/>
    </xf>
    <xf numFmtId="164" fontId="8" fillId="0" borderId="14" xfId="3" applyNumberFormat="1" applyFont="1" applyBorder="1" applyAlignment="1">
      <alignment horizontal="right" vertical="top" wrapText="1"/>
    </xf>
    <xf numFmtId="164" fontId="22" fillId="0" borderId="14" xfId="5" applyNumberFormat="1" applyFont="1" applyBorder="1" applyAlignment="1">
      <alignment horizontal="right" vertical="top" wrapText="1"/>
    </xf>
    <xf numFmtId="164" fontId="23" fillId="0" borderId="14" xfId="7" applyNumberFormat="1" applyFont="1" applyBorder="1" applyAlignment="1">
      <alignment horizontal="right" vertical="top" wrapText="1"/>
    </xf>
    <xf numFmtId="164" fontId="14" fillId="0" borderId="14" xfId="38" applyNumberFormat="1" applyFont="1" applyBorder="1" applyAlignment="1">
      <alignment horizontal="right" vertical="top" wrapText="1"/>
    </xf>
    <xf numFmtId="0" fontId="14" fillId="0" borderId="0" xfId="9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14" fillId="0" borderId="0" xfId="8" applyFont="1" applyAlignment="1">
      <alignment horizontal="right" vertical="top" wrapText="1"/>
    </xf>
    <xf numFmtId="0" fontId="19" fillId="0" borderId="0" xfId="0" applyFont="1" applyAlignment="1">
      <alignment vertical="top" wrapText="1"/>
    </xf>
    <xf numFmtId="0" fontId="8" fillId="0" borderId="0" xfId="10" quotePrefix="1" applyFont="1" applyAlignment="1">
      <alignment horizontal="left" vertical="top" wrapText="1"/>
    </xf>
    <xf numFmtId="0" fontId="19" fillId="0" borderId="6" xfId="0" applyFont="1" applyBorder="1" applyAlignment="1">
      <alignment vertical="top" wrapText="1"/>
    </xf>
    <xf numFmtId="0" fontId="8" fillId="0" borderId="6" xfId="10" quotePrefix="1" applyFont="1" applyBorder="1" applyAlignment="1">
      <alignment horizontal="left" vertical="top" wrapText="1"/>
    </xf>
    <xf numFmtId="0" fontId="21" fillId="0" borderId="0" xfId="46" quotePrefix="1" applyFont="1" applyAlignment="1">
      <alignment horizontal="left" vertical="top" wrapText="1"/>
    </xf>
    <xf numFmtId="0" fontId="19" fillId="0" borderId="15" xfId="0" applyFont="1" applyBorder="1" applyAlignment="1">
      <alignment vertical="top" wrapText="1"/>
    </xf>
    <xf numFmtId="0" fontId="19" fillId="0" borderId="16" xfId="0" applyFont="1" applyBorder="1" applyAlignment="1">
      <alignment vertical="top" wrapText="1"/>
    </xf>
    <xf numFmtId="164" fontId="8" fillId="0" borderId="22" xfId="3" applyNumberFormat="1" applyFont="1" applyBorder="1" applyAlignment="1">
      <alignment horizontal="right" vertical="top" wrapText="1"/>
    </xf>
    <xf numFmtId="164" fontId="22" fillId="0" borderId="23" xfId="5" applyNumberFormat="1" applyFont="1" applyBorder="1" applyAlignment="1">
      <alignment horizontal="right" vertical="top" wrapText="1"/>
    </xf>
    <xf numFmtId="0" fontId="19" fillId="0" borderId="22" xfId="0" applyFont="1" applyBorder="1" applyAlignment="1">
      <alignment vertical="top" wrapText="1"/>
    </xf>
    <xf numFmtId="0" fontId="19" fillId="0" borderId="24" xfId="0" applyFont="1" applyBorder="1" applyAlignment="1">
      <alignment vertical="top" wrapText="1"/>
    </xf>
    <xf numFmtId="0" fontId="8" fillId="0" borderId="23" xfId="47" quotePrefix="1" applyFont="1" applyBorder="1" applyAlignment="1">
      <alignment horizontal="left" vertical="top" wrapText="1"/>
    </xf>
    <xf numFmtId="164" fontId="8" fillId="0" borderId="3" xfId="3" applyNumberFormat="1" applyFont="1" applyBorder="1" applyAlignment="1">
      <alignment horizontal="right" vertical="top" wrapText="1"/>
    </xf>
    <xf numFmtId="0" fontId="8" fillId="0" borderId="23" xfId="4" quotePrefix="1" applyFont="1" applyBorder="1" applyAlignment="1">
      <alignment horizontal="right" vertical="top" wrapText="1"/>
    </xf>
    <xf numFmtId="164" fontId="8" fillId="0" borderId="2" xfId="37" applyNumberFormat="1" applyFont="1" applyBorder="1" applyAlignment="1">
      <alignment horizontal="right" vertical="top" wrapText="1"/>
    </xf>
    <xf numFmtId="0" fontId="19" fillId="0" borderId="20" xfId="0" applyFont="1" applyBorder="1" applyAlignment="1">
      <alignment vertical="top" wrapText="1"/>
    </xf>
    <xf numFmtId="0" fontId="19" fillId="0" borderId="25" xfId="0" applyFont="1" applyBorder="1" applyAlignment="1">
      <alignment vertical="top" wrapText="1"/>
    </xf>
    <xf numFmtId="164" fontId="8" fillId="0" borderId="23" xfId="3" applyNumberFormat="1" applyFont="1" applyBorder="1" applyAlignment="1">
      <alignment horizontal="right" vertical="top" wrapText="1"/>
    </xf>
    <xf numFmtId="164" fontId="23" fillId="0" borderId="23" xfId="7" applyNumberFormat="1" applyFont="1" applyBorder="1" applyAlignment="1">
      <alignment horizontal="right" vertical="top" wrapText="1"/>
    </xf>
    <xf numFmtId="164" fontId="14" fillId="0" borderId="2" xfId="38" applyNumberFormat="1" applyFont="1" applyBorder="1" applyAlignment="1">
      <alignment horizontal="right" vertical="top" wrapText="1"/>
    </xf>
    <xf numFmtId="164" fontId="8" fillId="0" borderId="26" xfId="3" applyNumberFormat="1" applyFont="1" applyBorder="1" applyAlignment="1">
      <alignment horizontal="right" vertical="top" wrapText="1"/>
    </xf>
    <xf numFmtId="0" fontId="19" fillId="0" borderId="21" xfId="0" applyFont="1" applyBorder="1" applyAlignment="1">
      <alignment vertical="top" wrapText="1"/>
    </xf>
    <xf numFmtId="164" fontId="8" fillId="0" borderId="27" xfId="3" applyNumberFormat="1" applyFont="1" applyBorder="1" applyAlignment="1">
      <alignment horizontal="right" vertical="top" wrapText="1"/>
    </xf>
    <xf numFmtId="0" fontId="8" fillId="0" borderId="27" xfId="47" quotePrefix="1" applyFont="1" applyBorder="1" applyAlignment="1">
      <alignment horizontal="left" vertical="top" wrapText="1"/>
    </xf>
    <xf numFmtId="0" fontId="19" fillId="0" borderId="22" xfId="0" applyFont="1" applyBorder="1" applyAlignment="1">
      <alignment wrapText="1"/>
    </xf>
    <xf numFmtId="0" fontId="19" fillId="0" borderId="24" xfId="0" applyFont="1" applyBorder="1" applyAlignment="1">
      <alignment wrapText="1"/>
    </xf>
    <xf numFmtId="0" fontId="14" fillId="0" borderId="0" xfId="15" applyFont="1" applyAlignment="1">
      <alignment horizontal="left" vertical="top" wrapText="1"/>
    </xf>
    <xf numFmtId="0" fontId="14" fillId="0" borderId="0" xfId="14" applyFont="1" applyAlignment="1">
      <alignment horizontal="right" vertical="top" wrapText="1"/>
    </xf>
    <xf numFmtId="0" fontId="8" fillId="0" borderId="6" xfId="17" quotePrefix="1" applyFont="1" applyBorder="1" applyAlignment="1">
      <alignment horizontal="left" vertical="top" wrapText="1"/>
    </xf>
    <xf numFmtId="2" fontId="14" fillId="0" borderId="0" xfId="16" applyNumberFormat="1" applyFont="1" applyAlignment="1">
      <alignment horizontal="right" vertical="top" wrapText="1"/>
    </xf>
    <xf numFmtId="0" fontId="8" fillId="0" borderId="3" xfId="18" quotePrefix="1" applyFont="1" applyBorder="1" applyAlignment="1">
      <alignment horizontal="right" vertical="top" wrapText="1"/>
    </xf>
    <xf numFmtId="0" fontId="14" fillId="0" borderId="0" xfId="13" quotePrefix="1" applyFont="1" applyAlignment="1">
      <alignment horizontal="left" wrapText="1"/>
    </xf>
    <xf numFmtId="0" fontId="14" fillId="3" borderId="23" xfId="44" quotePrefix="1" applyFont="1" applyBorder="1" applyAlignment="1">
      <alignment horizontal="center" vertical="top" wrapText="1"/>
    </xf>
    <xf numFmtId="0" fontId="19" fillId="0" borderId="18" xfId="0" applyFont="1" applyBorder="1" applyAlignment="1">
      <alignment vertical="top" wrapText="1"/>
    </xf>
    <xf numFmtId="0" fontId="19" fillId="0" borderId="29" xfId="0" applyFont="1" applyBorder="1" applyAlignment="1">
      <alignment vertical="top" wrapText="1"/>
    </xf>
    <xf numFmtId="0" fontId="19" fillId="0" borderId="30" xfId="0" applyFont="1" applyBorder="1" applyAlignment="1">
      <alignment vertical="top" wrapText="1"/>
    </xf>
    <xf numFmtId="0" fontId="19" fillId="0" borderId="32" xfId="0" applyFont="1" applyBorder="1" applyAlignment="1">
      <alignment vertical="top" wrapText="1"/>
    </xf>
    <xf numFmtId="0" fontId="19" fillId="0" borderId="32" xfId="0" applyFont="1" applyBorder="1" applyAlignment="1">
      <alignment wrapText="1"/>
    </xf>
    <xf numFmtId="0" fontId="26" fillId="0" borderId="0" xfId="25" applyFont="1" applyAlignment="1">
      <alignment horizontal="right" vertical="top" wrapText="1"/>
    </xf>
    <xf numFmtId="0" fontId="8" fillId="0" borderId="6" xfId="26" quotePrefix="1" applyFont="1" applyBorder="1" applyAlignment="1">
      <alignment horizontal="left" vertical="top" wrapText="1"/>
    </xf>
    <xf numFmtId="0" fontId="14" fillId="3" borderId="33" xfId="28" applyFont="1" applyBorder="1" applyAlignment="1">
      <alignment horizontal="center" vertical="top" wrapText="1"/>
    </xf>
    <xf numFmtId="0" fontId="14" fillId="3" borderId="14" xfId="39" applyFont="1" applyBorder="1" applyAlignment="1">
      <alignment horizontal="center" vertical="top" wrapText="1"/>
    </xf>
    <xf numFmtId="0" fontId="14" fillId="3" borderId="19" xfId="39" applyFont="1" applyBorder="1" applyAlignment="1">
      <alignment horizontal="center" vertical="top" wrapText="1"/>
    </xf>
    <xf numFmtId="0" fontId="14" fillId="3" borderId="14" xfId="40" applyFont="1" applyBorder="1" applyAlignment="1">
      <alignment horizontal="center" vertical="top" wrapText="1"/>
    </xf>
    <xf numFmtId="0" fontId="14" fillId="3" borderId="19" xfId="41" applyFont="1" applyBorder="1" applyAlignment="1">
      <alignment horizontal="center" vertical="top" wrapText="1"/>
    </xf>
    <xf numFmtId="0" fontId="19" fillId="0" borderId="34" xfId="0" applyFont="1" applyBorder="1" applyAlignment="1">
      <alignment vertical="top" wrapText="1"/>
    </xf>
    <xf numFmtId="2" fontId="26" fillId="3" borderId="35" xfId="32" applyNumberFormat="1" applyFont="1" applyBorder="1" applyAlignment="1">
      <alignment horizontal="left" vertical="top" wrapText="1"/>
    </xf>
    <xf numFmtId="0" fontId="19" fillId="0" borderId="13" xfId="0" applyFont="1" applyBorder="1" applyAlignment="1">
      <alignment vertical="top" wrapText="1"/>
    </xf>
    <xf numFmtId="0" fontId="19" fillId="0" borderId="36" xfId="0" applyFont="1" applyBorder="1" applyAlignment="1">
      <alignment vertical="top" wrapText="1"/>
    </xf>
    <xf numFmtId="2" fontId="14" fillId="3" borderId="35" xfId="33" applyNumberFormat="1" applyFont="1" applyBorder="1" applyAlignment="1">
      <alignment horizontal="left" vertical="top" wrapText="1"/>
    </xf>
    <xf numFmtId="2" fontId="26" fillId="0" borderId="37" xfId="42" applyNumberFormat="1" applyFont="1" applyBorder="1" applyAlignment="1">
      <alignment horizontal="left" vertical="top" wrapText="1"/>
    </xf>
    <xf numFmtId="0" fontId="19" fillId="0" borderId="10" xfId="0" applyFont="1" applyBorder="1" applyAlignment="1">
      <alignment vertical="top" wrapText="1"/>
    </xf>
    <xf numFmtId="0" fontId="19" fillId="0" borderId="11" xfId="0" applyFont="1" applyBorder="1" applyAlignment="1">
      <alignment vertical="top" wrapText="1"/>
    </xf>
    <xf numFmtId="0" fontId="19" fillId="0" borderId="12" xfId="0" applyFont="1" applyBorder="1" applyAlignment="1">
      <alignment vertical="top" wrapText="1"/>
    </xf>
    <xf numFmtId="0" fontId="8" fillId="0" borderId="6" xfId="31" quotePrefix="1" applyFont="1" applyBorder="1" applyAlignment="1">
      <alignment horizontal="left" vertical="top" wrapText="1"/>
    </xf>
    <xf numFmtId="0" fontId="8" fillId="0" borderId="3" xfId="30" quotePrefix="1" applyFont="1" applyBorder="1" applyAlignment="1">
      <alignment horizontal="right" vertical="top" wrapText="1"/>
    </xf>
    <xf numFmtId="0" fontId="19" fillId="0" borderId="3" xfId="0" applyFont="1" applyBorder="1" applyAlignment="1">
      <alignment vertical="top" wrapText="1"/>
    </xf>
    <xf numFmtId="0" fontId="27" fillId="0" borderId="0" xfId="0" applyFont="1" applyAlignment="1">
      <alignment horizontal="center" wrapText="1"/>
    </xf>
    <xf numFmtId="44" fontId="19" fillId="0" borderId="0" xfId="48" applyFont="1" applyAlignment="1">
      <alignment wrapText="1"/>
    </xf>
    <xf numFmtId="0" fontId="19" fillId="0" borderId="0" xfId="0" applyFont="1"/>
    <xf numFmtId="0" fontId="28" fillId="0" borderId="0" xfId="0" applyFont="1" applyAlignment="1">
      <alignment wrapText="1"/>
    </xf>
    <xf numFmtId="0" fontId="29" fillId="0" borderId="2" xfId="47" quotePrefix="1" applyFont="1" applyBorder="1" applyAlignment="1">
      <alignment horizontal="left" vertical="top" wrapText="1"/>
    </xf>
    <xf numFmtId="0" fontId="28" fillId="0" borderId="20" xfId="0" applyFont="1" applyBorder="1" applyAlignment="1">
      <alignment vertical="top" wrapText="1"/>
    </xf>
    <xf numFmtId="0" fontId="28" fillId="0" borderId="21" xfId="0" applyFont="1" applyBorder="1" applyAlignment="1">
      <alignment vertical="top" wrapText="1"/>
    </xf>
    <xf numFmtId="0" fontId="29" fillId="0" borderId="31" xfId="21" applyFont="1" applyBorder="1" applyAlignment="1">
      <alignment horizontal="right" vertical="top" wrapText="1"/>
    </xf>
    <xf numFmtId="0" fontId="28" fillId="0" borderId="25" xfId="0" applyFont="1" applyBorder="1" applyAlignment="1">
      <alignment vertical="top" wrapText="1"/>
    </xf>
    <xf numFmtId="0" fontId="29" fillId="0" borderId="2" xfId="19" applyFont="1" applyBorder="1" applyAlignment="1">
      <alignment horizontal="right" vertical="top" wrapText="1"/>
    </xf>
    <xf numFmtId="0" fontId="29" fillId="0" borderId="31" xfId="19" applyFont="1" applyBorder="1" applyAlignment="1">
      <alignment horizontal="right" vertical="top" wrapText="1"/>
    </xf>
    <xf numFmtId="0" fontId="29" fillId="0" borderId="2" xfId="20" applyFont="1" applyBorder="1" applyAlignment="1">
      <alignment horizontal="right" vertical="top" wrapText="1"/>
    </xf>
    <xf numFmtId="0" fontId="30" fillId="0" borderId="31" xfId="22" applyFont="1" applyBorder="1" applyAlignment="1">
      <alignment horizontal="right" vertical="top" wrapText="1"/>
    </xf>
    <xf numFmtId="44" fontId="28" fillId="0" borderId="0" xfId="48" applyFont="1" applyAlignment="1">
      <alignment wrapText="1"/>
    </xf>
    <xf numFmtId="0" fontId="28" fillId="0" borderId="0" xfId="0" applyFont="1"/>
    <xf numFmtId="0" fontId="31" fillId="0" borderId="0" xfId="0" applyFont="1" applyAlignment="1">
      <alignment wrapText="1"/>
    </xf>
    <xf numFmtId="0" fontId="32" fillId="0" borderId="2" xfId="47" quotePrefix="1" applyFont="1" applyBorder="1" applyAlignment="1">
      <alignment horizontal="left" vertical="top" wrapText="1"/>
    </xf>
    <xf numFmtId="0" fontId="31" fillId="0" borderId="20" xfId="0" applyFont="1" applyBorder="1" applyAlignment="1">
      <alignment vertical="top" wrapText="1"/>
    </xf>
    <xf numFmtId="0" fontId="31" fillId="0" borderId="21" xfId="0" applyFont="1" applyBorder="1" applyAlignment="1">
      <alignment vertical="top" wrapText="1"/>
    </xf>
    <xf numFmtId="0" fontId="32" fillId="0" borderId="27" xfId="21" applyFont="1" applyBorder="1" applyAlignment="1">
      <alignment horizontal="right" vertical="top" wrapText="1"/>
    </xf>
    <xf numFmtId="0" fontId="31" fillId="0" borderId="22" xfId="0" applyFont="1" applyBorder="1" applyAlignment="1">
      <alignment vertical="top" wrapText="1"/>
    </xf>
    <xf numFmtId="0" fontId="31" fillId="0" borderId="24" xfId="0" applyFont="1" applyBorder="1" applyAlignment="1">
      <alignment vertical="top" wrapText="1"/>
    </xf>
    <xf numFmtId="0" fontId="32" fillId="0" borderId="2" xfId="19" applyFont="1" applyBorder="1" applyAlignment="1">
      <alignment horizontal="right" vertical="top" wrapText="1"/>
    </xf>
    <xf numFmtId="0" fontId="32" fillId="0" borderId="27" xfId="19" applyFont="1" applyBorder="1" applyAlignment="1">
      <alignment horizontal="right" vertical="top" wrapText="1"/>
    </xf>
    <xf numFmtId="0" fontId="32" fillId="0" borderId="2" xfId="20" applyFont="1" applyBorder="1" applyAlignment="1">
      <alignment horizontal="right" vertical="top" wrapText="1"/>
    </xf>
    <xf numFmtId="0" fontId="33" fillId="0" borderId="27" xfId="22" applyFont="1" applyBorder="1" applyAlignment="1">
      <alignment horizontal="right" vertical="top" wrapText="1"/>
    </xf>
    <xf numFmtId="0" fontId="31" fillId="0" borderId="32" xfId="0" applyFont="1" applyBorder="1" applyAlignment="1">
      <alignment vertical="top" wrapText="1"/>
    </xf>
    <xf numFmtId="44" fontId="31" fillId="0" borderId="0" xfId="48" applyFont="1" applyAlignment="1">
      <alignment wrapText="1"/>
    </xf>
    <xf numFmtId="0" fontId="31" fillId="0" borderId="0" xfId="0" applyFont="1"/>
    <xf numFmtId="0" fontId="29" fillId="0" borderId="27" xfId="21" applyFont="1" applyBorder="1" applyAlignment="1">
      <alignment horizontal="right" vertical="top" wrapText="1"/>
    </xf>
    <xf numFmtId="0" fontId="28" fillId="0" borderId="22" xfId="0" applyFont="1" applyBorder="1" applyAlignment="1">
      <alignment vertical="top" wrapText="1"/>
    </xf>
    <xf numFmtId="0" fontId="28" fillId="0" borderId="24" xfId="0" applyFont="1" applyBorder="1" applyAlignment="1">
      <alignment vertical="top" wrapText="1"/>
    </xf>
    <xf numFmtId="0" fontId="29" fillId="0" borderId="27" xfId="19" applyFont="1" applyBorder="1" applyAlignment="1">
      <alignment horizontal="right" vertical="top" wrapText="1"/>
    </xf>
    <xf numFmtId="0" fontId="30" fillId="0" borderId="27" xfId="22" applyFont="1" applyBorder="1" applyAlignment="1">
      <alignment horizontal="right" vertical="top" wrapText="1"/>
    </xf>
    <xf numFmtId="0" fontId="28" fillId="0" borderId="32" xfId="0" applyFont="1" applyBorder="1" applyAlignment="1">
      <alignment vertical="top" wrapText="1"/>
    </xf>
    <xf numFmtId="0" fontId="32" fillId="0" borderId="14" xfId="47" quotePrefix="1" applyFont="1" applyBorder="1" applyAlignment="1">
      <alignment horizontal="left" vertical="top" wrapText="1"/>
    </xf>
    <xf numFmtId="0" fontId="31" fillId="0" borderId="15" xfId="0" applyFont="1" applyBorder="1" applyAlignment="1">
      <alignment vertical="top" wrapText="1"/>
    </xf>
    <xf numFmtId="0" fontId="31" fillId="0" borderId="18" xfId="0" applyFont="1" applyBorder="1" applyAlignment="1">
      <alignment vertical="top" wrapText="1"/>
    </xf>
    <xf numFmtId="0" fontId="32" fillId="0" borderId="14" xfId="19" applyFont="1" applyBorder="1" applyAlignment="1">
      <alignment horizontal="right" vertical="top" wrapText="1"/>
    </xf>
    <xf numFmtId="0" fontId="32" fillId="0" borderId="14" xfId="20" applyFont="1" applyBorder="1" applyAlignment="1">
      <alignment horizontal="right" vertical="top" wrapText="1"/>
    </xf>
    <xf numFmtId="0" fontId="32" fillId="0" borderId="23" xfId="47" quotePrefix="1" applyFont="1" applyBorder="1" applyAlignment="1">
      <alignment horizontal="left" vertical="top" wrapText="1"/>
    </xf>
    <xf numFmtId="0" fontId="32" fillId="0" borderId="23" xfId="21" applyFont="1" applyBorder="1" applyAlignment="1">
      <alignment horizontal="right" vertical="top" wrapText="1"/>
    </xf>
    <xf numFmtId="0" fontId="32" fillId="0" borderId="23" xfId="19" applyFont="1" applyBorder="1" applyAlignment="1">
      <alignment horizontal="right" vertical="top" wrapText="1"/>
    </xf>
    <xf numFmtId="0" fontId="32" fillId="0" borderId="23" xfId="20" applyFont="1" applyBorder="1" applyAlignment="1">
      <alignment horizontal="right" vertical="top" wrapText="1"/>
    </xf>
    <xf numFmtId="0" fontId="33" fillId="0" borderId="23" xfId="22" applyFont="1" applyBorder="1" applyAlignment="1">
      <alignment horizontal="right" vertical="top" wrapText="1"/>
    </xf>
    <xf numFmtId="0" fontId="29" fillId="0" borderId="23" xfId="47" quotePrefix="1" applyFont="1" applyBorder="1" applyAlignment="1">
      <alignment horizontal="left" vertical="top" wrapText="1"/>
    </xf>
    <xf numFmtId="0" fontId="29" fillId="0" borderId="23" xfId="21" applyFont="1" applyBorder="1" applyAlignment="1">
      <alignment horizontal="right" vertical="top" wrapText="1"/>
    </xf>
    <xf numFmtId="0" fontId="29" fillId="0" borderId="23" xfId="19" applyFont="1" applyBorder="1" applyAlignment="1">
      <alignment horizontal="right" vertical="top" wrapText="1"/>
    </xf>
    <xf numFmtId="0" fontId="29" fillId="0" borderId="23" xfId="20" applyFont="1" applyBorder="1" applyAlignment="1">
      <alignment horizontal="right" vertical="top" wrapText="1"/>
    </xf>
    <xf numFmtId="0" fontId="30" fillId="0" borderId="23" xfId="22" applyFont="1" applyBorder="1" applyAlignment="1">
      <alignment horizontal="right" vertical="top" wrapText="1"/>
    </xf>
    <xf numFmtId="0" fontId="28" fillId="0" borderId="22" xfId="0" applyFont="1" applyBorder="1" applyAlignment="1">
      <alignment wrapText="1"/>
    </xf>
    <xf numFmtId="0" fontId="28" fillId="0" borderId="32" xfId="0" applyFont="1" applyBorder="1" applyAlignment="1">
      <alignment wrapText="1"/>
    </xf>
    <xf numFmtId="0" fontId="31" fillId="0" borderId="22" xfId="0" applyFont="1" applyBorder="1" applyAlignment="1">
      <alignment wrapText="1"/>
    </xf>
    <xf numFmtId="0" fontId="31" fillId="0" borderId="24" xfId="0" applyFont="1" applyBorder="1" applyAlignment="1">
      <alignment wrapText="1"/>
    </xf>
    <xf numFmtId="44" fontId="18" fillId="0" borderId="0" xfId="48" applyFont="1" applyAlignment="1">
      <alignment horizontal="right" vertical="center" wrapText="1"/>
    </xf>
    <xf numFmtId="44" fontId="17" fillId="0" borderId="0" xfId="48" applyFont="1" applyAlignment="1">
      <alignment vertical="center" wrapText="1"/>
    </xf>
    <xf numFmtId="44" fontId="34" fillId="0" borderId="0" xfId="48" applyFont="1" applyAlignment="1">
      <alignment horizontal="right" vertical="center" wrapText="1"/>
    </xf>
    <xf numFmtId="44" fontId="17" fillId="0" borderId="0" xfId="48" applyFont="1" applyAlignment="1">
      <alignment horizontal="right" wrapText="1"/>
    </xf>
    <xf numFmtId="44" fontId="34" fillId="0" borderId="0" xfId="48" applyFont="1" applyAlignment="1">
      <alignment horizontal="right" wrapText="1"/>
    </xf>
    <xf numFmtId="44" fontId="35" fillId="0" borderId="0" xfId="48" applyFont="1"/>
    <xf numFmtId="0" fontId="35" fillId="0" borderId="0" xfId="0" applyFont="1"/>
    <xf numFmtId="0" fontId="35" fillId="0" borderId="0" xfId="0" applyFont="1" applyAlignment="1">
      <alignment horizontal="right"/>
    </xf>
    <xf numFmtId="168" fontId="35" fillId="0" borderId="0" xfId="0" applyNumberFormat="1" applyFont="1"/>
    <xf numFmtId="44" fontId="35" fillId="0" borderId="0" xfId="0" applyNumberFormat="1" applyFont="1"/>
    <xf numFmtId="0" fontId="31" fillId="0" borderId="0" xfId="0" applyFont="1" applyAlignment="1"/>
    <xf numFmtId="0" fontId="19" fillId="0" borderId="0" xfId="0" applyFont="1" applyAlignment="1"/>
    <xf numFmtId="0" fontId="28" fillId="0" borderId="0" xfId="0" applyFont="1" applyAlignment="1"/>
    <xf numFmtId="0" fontId="36" fillId="0" borderId="2" xfId="22" applyFont="1" applyBorder="1" applyAlignment="1">
      <alignment horizontal="right" vertical="top" wrapText="1"/>
    </xf>
    <xf numFmtId="0" fontId="36" fillId="0" borderId="23" xfId="47" quotePrefix="1" applyFont="1" applyBorder="1" applyAlignment="1">
      <alignment horizontal="left" vertical="top" wrapText="1"/>
    </xf>
    <xf numFmtId="0" fontId="37" fillId="0" borderId="22" xfId="0" applyFont="1" applyBorder="1" applyAlignment="1">
      <alignment vertical="top" wrapText="1"/>
    </xf>
    <xf numFmtId="0" fontId="37" fillId="0" borderId="24" xfId="0" applyFont="1" applyBorder="1" applyAlignment="1">
      <alignment vertical="top" wrapText="1"/>
    </xf>
    <xf numFmtId="0" fontId="36" fillId="0" borderId="2" xfId="21" applyFont="1" applyBorder="1" applyAlignment="1">
      <alignment horizontal="right" vertical="top" wrapText="1"/>
    </xf>
    <xf numFmtId="0" fontId="37" fillId="0" borderId="20" xfId="0" applyFont="1" applyBorder="1" applyAlignment="1">
      <alignment vertical="top" wrapText="1"/>
    </xf>
    <xf numFmtId="0" fontId="37" fillId="0" borderId="25" xfId="0" applyFont="1" applyBorder="1" applyAlignment="1">
      <alignment vertical="top" wrapText="1"/>
    </xf>
    <xf numFmtId="0" fontId="36" fillId="0" borderId="23" xfId="19" applyFont="1" applyBorder="1" applyAlignment="1">
      <alignment horizontal="right" vertical="top" wrapText="1"/>
    </xf>
    <xf numFmtId="0" fontId="36" fillId="0" borderId="2" xfId="19" applyFont="1" applyBorder="1" applyAlignment="1">
      <alignment horizontal="right" vertical="top" wrapText="1"/>
    </xf>
    <xf numFmtId="0" fontId="36" fillId="0" borderId="23" xfId="20" applyFont="1" applyBorder="1" applyAlignment="1">
      <alignment horizontal="right" vertical="top" wrapText="1"/>
    </xf>
    <xf numFmtId="0" fontId="37" fillId="0" borderId="21" xfId="0" applyFont="1" applyBorder="1" applyAlignment="1">
      <alignment vertical="top" wrapText="1"/>
    </xf>
    <xf numFmtId="0" fontId="37" fillId="0" borderId="0" xfId="0" applyFont="1" applyAlignment="1">
      <alignment wrapText="1"/>
    </xf>
    <xf numFmtId="44" fontId="37" fillId="0" borderId="0" xfId="48" applyFont="1" applyAlignment="1">
      <alignment wrapText="1"/>
    </xf>
  </cellXfs>
  <cellStyles count="49">
    <cellStyle name="Moneda" xfId="48" builtinId="4"/>
    <cellStyle name="Normal" xfId="0" builtinId="0"/>
    <cellStyle name="S0" xfId="1" xr:uid="{35B5057E-3327-497E-A5FC-2F74A3CA6DE8}"/>
    <cellStyle name="S1" xfId="2" xr:uid="{FBE80403-53FE-4E86-B5B9-892BD5CCC196}"/>
    <cellStyle name="S10" xfId="3" xr:uid="{FC54C779-58E3-47F8-B856-19199EEE26C6}"/>
    <cellStyle name="S11" xfId="4" xr:uid="{99D8AD39-BABC-4A5F-94BD-155A179433ED}"/>
    <cellStyle name="S12" xfId="5" xr:uid="{5BADB464-3446-47A7-994E-7E13458E8722}"/>
    <cellStyle name="S13" xfId="6" xr:uid="{AC33E47F-6FC1-4EA4-B040-D1F2083E244A}"/>
    <cellStyle name="S14" xfId="7" xr:uid="{066CB751-F927-4DB4-A33B-AC621E10BAFF}"/>
    <cellStyle name="S15" xfId="8" xr:uid="{E514652C-2776-4483-BBA9-92C8EAB5C74F}"/>
    <cellStyle name="S16" xfId="9" xr:uid="{C359495D-4535-4B78-8B80-C6DFF8B191CB}"/>
    <cellStyle name="S17" xfId="10" xr:uid="{042D4EFE-0D18-4346-BD23-DA46125D9495}"/>
    <cellStyle name="S18" xfId="11" xr:uid="{87D41955-9268-4DE5-AA18-8E44B7E9D896}"/>
    <cellStyle name="S19" xfId="12" xr:uid="{0E777FDF-E258-490A-8F8D-FDBC2983A43C}"/>
    <cellStyle name="S2" xfId="13" xr:uid="{E9301060-D86E-448A-AB0E-8CED1DFAA86F}"/>
    <cellStyle name="S20" xfId="14" xr:uid="{6EC4B346-C583-4750-814E-B41E213AEA7E}"/>
    <cellStyle name="S21" xfId="15" xr:uid="{784EF921-333A-439B-A35A-8DCC5066D022}"/>
    <cellStyle name="S22" xfId="16" xr:uid="{3766F01E-95A7-46D0-BAA6-53B04E6C79BB}"/>
    <cellStyle name="S23" xfId="17" xr:uid="{16ADA62F-1ADD-4EA3-A8A9-59EF0F4DAD0C}"/>
    <cellStyle name="S24" xfId="18" xr:uid="{DC5C2F2D-5C10-4487-A3A2-F5E5B3D112DD}"/>
    <cellStyle name="S25" xfId="19" xr:uid="{98C666BA-748D-4E3C-B551-5D566F8E6B3D}"/>
    <cellStyle name="S26" xfId="20" xr:uid="{01A342F4-DE03-4D7D-A96B-49DB34712955}"/>
    <cellStyle name="S27" xfId="21" xr:uid="{63113B8B-ED0A-4A52-B21A-43BEFF4B7298}"/>
    <cellStyle name="S28" xfId="22" xr:uid="{BEDB7ECC-A074-49D1-9382-860EBD3288A6}"/>
    <cellStyle name="S29" xfId="23" xr:uid="{4003E228-E6F5-478D-90EC-450FA91D2C9B}"/>
    <cellStyle name="S3" xfId="24" xr:uid="{C607B71E-F954-4139-9F1D-AE4E9F4573E3}"/>
    <cellStyle name="S30" xfId="25" xr:uid="{F07F4E7D-53DF-4277-B1A6-476BEEF781A1}"/>
    <cellStyle name="S31" xfId="26" xr:uid="{039B9EB0-12B1-4F8C-91C6-458C305AEA53}"/>
    <cellStyle name="S32" xfId="27" xr:uid="{34072F8D-440F-4A5E-B877-F97FBE1A6A15}"/>
    <cellStyle name="S33" xfId="28" xr:uid="{9DDC1301-581C-43DC-9B43-19FC0DC43353}"/>
    <cellStyle name="S34" xfId="29" xr:uid="{3969E6BB-AFEA-4C6A-9C28-B759284ECB0A}"/>
    <cellStyle name="S35" xfId="30" xr:uid="{007A8592-9BB6-49DF-B9D6-E1188F2A6018}"/>
    <cellStyle name="S36" xfId="31" xr:uid="{DBD9987D-269D-43E4-B6BD-EE2639A0D075}"/>
    <cellStyle name="S37" xfId="32" xr:uid="{802F62B2-FF23-4C1C-81F7-FED7CCD0BF76}"/>
    <cellStyle name="S38" xfId="33" xr:uid="{538F11F9-1895-4ED4-AA15-0181E2031500}"/>
    <cellStyle name="S39" xfId="34" xr:uid="{6FB3FC07-066E-48CD-957A-757AC353C6EE}"/>
    <cellStyle name="S4" xfId="35" xr:uid="{122DC8FF-9503-43A8-9312-4AA38F5029E8}"/>
    <cellStyle name="S40" xfId="36" xr:uid="{76A05AA6-1174-4C99-9016-EEC171342829}"/>
    <cellStyle name="S41" xfId="37" xr:uid="{BB7199AB-7079-4E8A-BBCD-73D86478EDE8}"/>
    <cellStyle name="S42" xfId="38" xr:uid="{DB4AAD70-1199-4A2A-B761-B8AA24C200C4}"/>
    <cellStyle name="S43" xfId="39" xr:uid="{C664485C-33F3-4349-B6FA-64257E5AA7C2}"/>
    <cellStyle name="S44" xfId="40" xr:uid="{459A0656-BC27-4252-80D1-156A7F16E6F6}"/>
    <cellStyle name="S45" xfId="41" xr:uid="{59C9857A-46E4-4340-BB76-8AA9B9386E24}"/>
    <cellStyle name="S46" xfId="42" xr:uid="{4F51E06E-F814-4ADD-B6CF-A84B269FB34C}"/>
    <cellStyle name="S5" xfId="43" xr:uid="{00420CC1-361D-442A-95F8-8F04A0299907}"/>
    <cellStyle name="S6" xfId="44" xr:uid="{ED24B87A-AD44-4547-B30D-387A78E7CD63}"/>
    <cellStyle name="S7" xfId="45" xr:uid="{10C982F9-A28C-4577-81F7-2D73FF80D7B4}"/>
    <cellStyle name="S8" xfId="46" xr:uid="{E91B2DE7-1007-433E-84D1-B044A19D0917}"/>
    <cellStyle name="S9" xfId="47" xr:uid="{FE5CF56F-CBAD-4FB5-A17A-8FE602CA8D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6E99-4227-4066-9104-B27A363EAAC1}">
  <dimension ref="A1:BM116"/>
  <sheetViews>
    <sheetView tabSelected="1" topLeftCell="A51" zoomScaleNormal="100" workbookViewId="0">
      <selection activeCell="BK63" sqref="I63:BK63"/>
    </sheetView>
  </sheetViews>
  <sheetFormatPr baseColWidth="10" defaultRowHeight="11.25" x14ac:dyDescent="0.2"/>
  <cols>
    <col min="1" max="3" width="0.28515625" style="24" customWidth="1"/>
    <col min="4" max="4" width="0.5703125" style="24" customWidth="1"/>
    <col min="5" max="5" width="0.28515625" style="24" customWidth="1"/>
    <col min="6" max="6" width="0.5703125" style="24" customWidth="1"/>
    <col min="7" max="8" width="0.28515625" style="24" customWidth="1"/>
    <col min="9" max="9" width="3.28515625" style="24" customWidth="1"/>
    <col min="10" max="10" width="4" style="24" customWidth="1"/>
    <col min="11" max="11" width="16.7109375" style="24" customWidth="1"/>
    <col min="12" max="12" width="2.85546875" style="24" customWidth="1"/>
    <col min="13" max="13" width="10.140625" style="24" customWidth="1"/>
    <col min="14" max="14" width="1" style="24" customWidth="1"/>
    <col min="15" max="15" width="2.28515625" style="24" customWidth="1"/>
    <col min="16" max="16" width="0.28515625" style="24" customWidth="1"/>
    <col min="17" max="17" width="2.5703125" style="24" customWidth="1"/>
    <col min="18" max="18" width="6.42578125" style="24" customWidth="1"/>
    <col min="19" max="19" width="2.42578125" style="24" customWidth="1"/>
    <col min="20" max="20" width="0.140625" style="24" customWidth="1"/>
    <col min="21" max="21" width="2.28515625" style="24" customWidth="1"/>
    <col min="22" max="22" width="0.5703125" style="24" customWidth="1"/>
    <col min="23" max="23" width="1.5703125" style="24" customWidth="1"/>
    <col min="24" max="25" width="2.140625" style="24" customWidth="1"/>
    <col min="26" max="26" width="1.28515625" style="24" customWidth="1"/>
    <col min="27" max="27" width="0.7109375" style="24" customWidth="1"/>
    <col min="28" max="28" width="2.85546875" style="24" customWidth="1"/>
    <col min="29" max="29" width="0.140625" style="24" customWidth="1"/>
    <col min="30" max="30" width="0.5703125" style="24" customWidth="1"/>
    <col min="31" max="31" width="3" style="24" customWidth="1"/>
    <col min="32" max="32" width="5.7109375" style="24" customWidth="1"/>
    <col min="33" max="33" width="0.140625" style="24" customWidth="1"/>
    <col min="34" max="34" width="1.7109375" style="24" customWidth="1"/>
    <col min="35" max="36" width="0.28515625" style="24" customWidth="1"/>
    <col min="37" max="37" width="2.42578125" style="24" customWidth="1"/>
    <col min="38" max="38" width="2" style="24" customWidth="1"/>
    <col min="39" max="39" width="0.28515625" style="24" customWidth="1"/>
    <col min="40" max="40" width="0.140625" style="24" customWidth="1"/>
    <col min="41" max="41" width="4.42578125" style="24" customWidth="1"/>
    <col min="42" max="42" width="1" style="24" customWidth="1"/>
    <col min="43" max="43" width="3" style="24" customWidth="1"/>
    <col min="44" max="44" width="0.42578125" style="24" customWidth="1"/>
    <col min="45" max="45" width="1.42578125" style="24" customWidth="1"/>
    <col min="46" max="46" width="2" style="24" customWidth="1"/>
    <col min="47" max="47" width="0.7109375" style="24" customWidth="1"/>
    <col min="48" max="48" width="4.140625" style="24" customWidth="1"/>
    <col min="49" max="49" width="0.85546875" style="24" customWidth="1"/>
    <col min="50" max="50" width="0.140625" style="24" customWidth="1"/>
    <col min="51" max="51" width="8.85546875" style="24" customWidth="1"/>
    <col min="52" max="52" width="1.7109375" style="24" customWidth="1"/>
    <col min="53" max="53" width="0.85546875" style="24" customWidth="1"/>
    <col min="54" max="54" width="0.5703125" style="24" customWidth="1"/>
    <col min="55" max="56" width="0.42578125" style="24" customWidth="1"/>
    <col min="57" max="57" width="1.7109375" style="24" customWidth="1"/>
    <col min="58" max="58" width="0.7109375" style="24" customWidth="1"/>
    <col min="59" max="16384" width="11.42578125" style="24"/>
  </cols>
  <sheetData>
    <row r="1" spans="2:57" ht="5.0999999999999996" customHeight="1" x14ac:dyDescent="0.2">
      <c r="F1" s="25" t="s">
        <v>0</v>
      </c>
      <c r="G1" s="26"/>
      <c r="H1" s="26"/>
      <c r="I1" s="26"/>
      <c r="J1" s="26"/>
      <c r="K1" s="26"/>
      <c r="L1" s="26"/>
      <c r="M1" s="26"/>
      <c r="N1" s="27"/>
    </row>
    <row r="2" spans="2:57" ht="7.7" customHeight="1" x14ac:dyDescent="0.2">
      <c r="F2" s="28"/>
      <c r="G2" s="29"/>
      <c r="H2" s="29"/>
      <c r="I2" s="29"/>
      <c r="J2" s="29"/>
      <c r="K2" s="29"/>
      <c r="L2" s="29"/>
      <c r="M2" s="29"/>
      <c r="N2" s="30"/>
      <c r="Q2" s="31" t="s">
        <v>1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</row>
    <row r="3" spans="2:57" ht="15" customHeight="1" x14ac:dyDescent="0.2">
      <c r="F3" s="33" t="s">
        <v>2</v>
      </c>
      <c r="G3" s="26"/>
      <c r="H3" s="26"/>
      <c r="I3" s="26"/>
      <c r="J3" s="26"/>
      <c r="K3" s="26"/>
      <c r="L3" s="26"/>
      <c r="M3" s="26"/>
      <c r="N3" s="27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</row>
    <row r="4" spans="2:57" ht="26.85" customHeight="1" x14ac:dyDescent="0.2">
      <c r="F4" s="34"/>
      <c r="G4" s="32"/>
      <c r="H4" s="32"/>
      <c r="I4" s="32"/>
      <c r="J4" s="32"/>
      <c r="K4" s="32"/>
      <c r="L4" s="32"/>
      <c r="M4" s="32"/>
      <c r="N4" s="35"/>
    </row>
    <row r="5" spans="2:57" ht="1.5" customHeight="1" x14ac:dyDescent="0.2">
      <c r="F5" s="36"/>
      <c r="G5" s="37"/>
      <c r="H5" s="37"/>
      <c r="I5" s="37"/>
      <c r="J5" s="37"/>
      <c r="K5" s="37"/>
      <c r="L5" s="37"/>
      <c r="M5" s="37"/>
      <c r="N5" s="38"/>
      <c r="O5" s="39" t="s">
        <v>3</v>
      </c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2:57" ht="1.5" customHeight="1" x14ac:dyDescent="0.2">
      <c r="G6" s="40" t="s">
        <v>4</v>
      </c>
      <c r="H6" s="41"/>
      <c r="I6" s="41"/>
      <c r="J6" s="41"/>
      <c r="K6" s="41"/>
      <c r="L6" s="41"/>
      <c r="M6" s="41"/>
      <c r="N6" s="4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2:57" ht="11.45" customHeight="1" x14ac:dyDescent="0.2"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U7" s="42" t="s">
        <v>5</v>
      </c>
      <c r="AV7" s="32"/>
      <c r="AW7" s="32"/>
      <c r="AX7" s="32"/>
      <c r="AY7" s="32"/>
      <c r="AZ7" s="32"/>
      <c r="BA7" s="32"/>
      <c r="BB7" s="32"/>
      <c r="BC7" s="32"/>
    </row>
    <row r="8" spans="2:57" ht="0.6" customHeight="1" x14ac:dyDescent="0.2">
      <c r="F8" s="43" t="s">
        <v>4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</row>
    <row r="9" spans="2:57" ht="0.95" customHeight="1" x14ac:dyDescent="0.2"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</row>
    <row r="10" spans="2:57" ht="0.6" customHeight="1" x14ac:dyDescent="0.2">
      <c r="AU10" s="44" t="s">
        <v>4</v>
      </c>
      <c r="AV10" s="26"/>
      <c r="AW10" s="26"/>
      <c r="AX10" s="26"/>
      <c r="AY10" s="26"/>
      <c r="AZ10" s="26"/>
      <c r="BA10" s="26"/>
      <c r="BB10" s="26"/>
      <c r="BC10" s="26"/>
    </row>
    <row r="11" spans="2:57" ht="2.4500000000000002" customHeight="1" x14ac:dyDescent="0.2"/>
    <row r="12" spans="2:57" ht="12.2" customHeight="1" x14ac:dyDescent="0.2">
      <c r="B12" s="45" t="s">
        <v>6</v>
      </c>
      <c r="C12" s="46"/>
      <c r="D12" s="46"/>
      <c r="E12" s="46"/>
      <c r="F12" s="46"/>
      <c r="G12" s="46"/>
      <c r="H12" s="46"/>
      <c r="I12" s="46"/>
      <c r="J12" s="46"/>
      <c r="K12" s="47"/>
      <c r="L12" s="45" t="s">
        <v>7</v>
      </c>
      <c r="M12" s="46"/>
      <c r="N12" s="46"/>
      <c r="O12" s="46"/>
      <c r="P12" s="46"/>
      <c r="Q12" s="47"/>
      <c r="R12" s="48" t="s">
        <v>8</v>
      </c>
      <c r="S12" s="45" t="s">
        <v>9</v>
      </c>
      <c r="T12" s="46"/>
      <c r="U12" s="46"/>
      <c r="V12" s="47"/>
      <c r="W12" s="49" t="s">
        <v>10</v>
      </c>
      <c r="X12" s="46"/>
      <c r="Y12" s="46"/>
      <c r="Z12" s="46"/>
      <c r="AA12" s="46"/>
      <c r="AB12" s="50"/>
      <c r="AC12" s="51" t="s">
        <v>11</v>
      </c>
      <c r="AD12" s="46"/>
      <c r="AE12" s="46"/>
      <c r="AF12" s="46"/>
      <c r="AG12" s="46"/>
      <c r="AH12" s="47"/>
      <c r="AI12" s="45" t="s">
        <v>12</v>
      </c>
      <c r="AJ12" s="46"/>
      <c r="AK12" s="46"/>
      <c r="AL12" s="46"/>
      <c r="AM12" s="46"/>
      <c r="AN12" s="46"/>
      <c r="AO12" s="46"/>
      <c r="AP12" s="47"/>
      <c r="AQ12" s="45" t="s">
        <v>13</v>
      </c>
      <c r="AR12" s="46"/>
      <c r="AS12" s="46"/>
      <c r="AT12" s="46"/>
      <c r="AU12" s="46"/>
      <c r="AV12" s="46"/>
      <c r="AW12" s="46"/>
      <c r="AX12" s="47"/>
      <c r="AY12" s="52" t="s">
        <v>14</v>
      </c>
      <c r="AZ12" s="53"/>
      <c r="BA12" s="53"/>
      <c r="BB12" s="53"/>
      <c r="BC12" s="53"/>
      <c r="BD12" s="53"/>
      <c r="BE12" s="54"/>
    </row>
    <row r="13" spans="2:57" ht="0.75" customHeight="1" x14ac:dyDescent="0.2"/>
    <row r="14" spans="2:57" ht="14.25" customHeight="1" x14ac:dyDescent="0.2">
      <c r="J14" s="55" t="s">
        <v>15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</row>
    <row r="15" spans="2:57" ht="0.75" customHeight="1" x14ac:dyDescent="0.2"/>
    <row r="16" spans="2:57" ht="14.45" customHeight="1" x14ac:dyDescent="0.2">
      <c r="K16" s="56" t="s">
        <v>16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spans="1:58" ht="78.95" customHeight="1" x14ac:dyDescent="0.2">
      <c r="B17" s="57" t="s">
        <v>17</v>
      </c>
      <c r="C17" s="46"/>
      <c r="D17" s="46"/>
      <c r="E17" s="46"/>
      <c r="F17" s="46"/>
      <c r="G17" s="46"/>
      <c r="H17" s="46"/>
      <c r="I17" s="46"/>
      <c r="J17" s="46"/>
      <c r="K17" s="47"/>
      <c r="L17" s="58" t="s">
        <v>18</v>
      </c>
      <c r="M17" s="46"/>
      <c r="N17" s="46"/>
      <c r="O17" s="46"/>
      <c r="P17" s="46"/>
      <c r="Q17" s="47"/>
      <c r="R17" s="59">
        <v>6.5</v>
      </c>
      <c r="S17" s="60" t="s">
        <v>19</v>
      </c>
      <c r="T17" s="46"/>
      <c r="U17" s="46"/>
      <c r="V17" s="47"/>
      <c r="W17" s="61">
        <v>4.01</v>
      </c>
      <c r="X17" s="46"/>
      <c r="Y17" s="46"/>
      <c r="Z17" s="46"/>
      <c r="AA17" s="46"/>
      <c r="AB17" s="47"/>
      <c r="AC17" s="62">
        <v>26.06</v>
      </c>
      <c r="AD17" s="46"/>
      <c r="AE17" s="46"/>
      <c r="AF17" s="46"/>
      <c r="AG17" s="46"/>
      <c r="AH17" s="47"/>
      <c r="AI17" s="63">
        <v>123.5</v>
      </c>
      <c r="AJ17" s="46"/>
      <c r="AK17" s="46"/>
      <c r="AL17" s="46"/>
      <c r="AM17" s="46"/>
      <c r="AN17" s="46"/>
      <c r="AO17" s="46"/>
      <c r="AP17" s="47"/>
      <c r="AQ17" s="64">
        <v>19.39</v>
      </c>
      <c r="AR17" s="46"/>
      <c r="AS17" s="46"/>
      <c r="AT17" s="46"/>
      <c r="AU17" s="46"/>
      <c r="AV17" s="46"/>
      <c r="AW17" s="46"/>
      <c r="AX17" s="47"/>
      <c r="AY17" s="65">
        <v>495.23</v>
      </c>
      <c r="AZ17" s="46"/>
      <c r="BA17" s="46"/>
      <c r="BB17" s="46"/>
      <c r="BC17" s="46"/>
      <c r="BD17" s="46"/>
      <c r="BE17" s="46"/>
    </row>
    <row r="18" spans="1:58" ht="3.75" customHeight="1" x14ac:dyDescent="0.2"/>
    <row r="19" spans="1:58" ht="13.5" customHeight="1" x14ac:dyDescent="0.2">
      <c r="Z19" s="66" t="s">
        <v>20</v>
      </c>
      <c r="AA19" s="32"/>
      <c r="AB19" s="32"/>
      <c r="AC19" s="32"/>
      <c r="AD19" s="32"/>
      <c r="AE19" s="32"/>
      <c r="AF19" s="32"/>
      <c r="AG19" s="32"/>
      <c r="AI19" s="67">
        <v>123.5</v>
      </c>
      <c r="AJ19" s="32"/>
      <c r="AK19" s="32"/>
      <c r="AL19" s="32"/>
      <c r="AM19" s="32"/>
      <c r="AN19" s="32"/>
      <c r="AO19" s="32"/>
      <c r="AP19" s="32"/>
      <c r="AQ19" s="68">
        <v>19.39</v>
      </c>
      <c r="AR19" s="32"/>
      <c r="AS19" s="32"/>
      <c r="AT19" s="32"/>
      <c r="AU19" s="32"/>
      <c r="AV19" s="32"/>
      <c r="AW19" s="32"/>
      <c r="AX19" s="32"/>
      <c r="AY19" s="69">
        <v>495.23</v>
      </c>
      <c r="AZ19" s="70"/>
      <c r="BA19" s="70"/>
      <c r="BB19" s="70"/>
      <c r="BC19" s="70"/>
      <c r="BD19" s="70"/>
      <c r="BE19" s="70"/>
    </row>
    <row r="20" spans="1:58" ht="0.95" customHeight="1" x14ac:dyDescent="0.2">
      <c r="A20" s="71" t="s">
        <v>4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71" t="s">
        <v>4</v>
      </c>
      <c r="AZ20" s="70"/>
      <c r="BA20" s="70"/>
      <c r="BB20" s="70"/>
      <c r="BC20" s="70"/>
      <c r="BD20" s="70"/>
      <c r="BE20" s="70"/>
      <c r="BF20" s="70"/>
    </row>
    <row r="21" spans="1:58" ht="0.6" customHeight="1" x14ac:dyDescent="0.2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3" t="s">
        <v>4</v>
      </c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</row>
    <row r="22" spans="1:58" ht="0.75" customHeight="1" x14ac:dyDescent="0.2"/>
    <row r="23" spans="1:58" ht="14.45" customHeight="1" x14ac:dyDescent="0.2">
      <c r="K23" s="74" t="s">
        <v>21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</row>
    <row r="24" spans="1:58" ht="78.95" customHeight="1" x14ac:dyDescent="0.2">
      <c r="B24" s="57" t="s">
        <v>22</v>
      </c>
      <c r="C24" s="75"/>
      <c r="D24" s="75"/>
      <c r="E24" s="75"/>
      <c r="F24" s="75"/>
      <c r="G24" s="75"/>
      <c r="H24" s="75"/>
      <c r="I24" s="75"/>
      <c r="J24" s="75"/>
      <c r="K24" s="76"/>
      <c r="L24" s="58" t="s">
        <v>18</v>
      </c>
      <c r="M24" s="75"/>
      <c r="N24" s="75"/>
      <c r="O24" s="75"/>
      <c r="P24" s="75"/>
      <c r="Q24" s="76"/>
      <c r="R24" s="77">
        <v>6.5</v>
      </c>
      <c r="S24" s="60" t="s">
        <v>23</v>
      </c>
      <c r="T24" s="75"/>
      <c r="U24" s="75"/>
      <c r="V24" s="76"/>
      <c r="W24" s="61">
        <v>10.74</v>
      </c>
      <c r="X24" s="75"/>
      <c r="Y24" s="75"/>
      <c r="Z24" s="75"/>
      <c r="AA24" s="75"/>
      <c r="AB24" s="76"/>
      <c r="AC24" s="62">
        <v>69.81</v>
      </c>
      <c r="AD24" s="75"/>
      <c r="AE24" s="75"/>
      <c r="AF24" s="75"/>
      <c r="AG24" s="75"/>
      <c r="AH24" s="76"/>
      <c r="AI24" s="78">
        <v>617.5</v>
      </c>
      <c r="AJ24" s="79"/>
      <c r="AK24" s="79"/>
      <c r="AL24" s="79"/>
      <c r="AM24" s="79"/>
      <c r="AN24" s="79"/>
      <c r="AO24" s="79"/>
      <c r="AP24" s="80"/>
      <c r="AQ24" s="64">
        <v>750.26</v>
      </c>
      <c r="AR24" s="75"/>
      <c r="AS24" s="75"/>
      <c r="AT24" s="75"/>
      <c r="AU24" s="75"/>
      <c r="AV24" s="75"/>
      <c r="AW24" s="75"/>
      <c r="AX24" s="76"/>
      <c r="AY24" s="65">
        <v>6631.95</v>
      </c>
      <c r="AZ24" s="75"/>
      <c r="BA24" s="75"/>
      <c r="BB24" s="75"/>
      <c r="BC24" s="75"/>
      <c r="BD24" s="75"/>
      <c r="BE24" s="75"/>
    </row>
    <row r="25" spans="1:58" ht="3.75" customHeight="1" x14ac:dyDescent="0.2"/>
    <row r="26" spans="1:58" ht="13.5" customHeight="1" x14ac:dyDescent="0.2">
      <c r="Z26" s="66" t="s">
        <v>20</v>
      </c>
      <c r="AA26" s="70"/>
      <c r="AB26" s="70"/>
      <c r="AC26" s="70"/>
      <c r="AD26" s="70"/>
      <c r="AE26" s="70"/>
      <c r="AF26" s="70"/>
      <c r="AG26" s="70"/>
      <c r="AI26" s="67">
        <v>617.5</v>
      </c>
      <c r="AJ26" s="70"/>
      <c r="AK26" s="70"/>
      <c r="AL26" s="70"/>
      <c r="AM26" s="70"/>
      <c r="AN26" s="70"/>
      <c r="AO26" s="70"/>
      <c r="AP26" s="70"/>
      <c r="AQ26" s="68">
        <v>750.26</v>
      </c>
      <c r="AR26" s="70"/>
      <c r="AS26" s="70"/>
      <c r="AT26" s="70"/>
      <c r="AU26" s="70"/>
      <c r="AV26" s="70"/>
      <c r="AW26" s="70"/>
      <c r="AX26" s="70"/>
      <c r="AY26" s="69">
        <v>6631.95</v>
      </c>
      <c r="AZ26" s="70"/>
      <c r="BA26" s="70"/>
      <c r="BB26" s="70"/>
      <c r="BC26" s="70"/>
      <c r="BD26" s="70"/>
      <c r="BE26" s="70"/>
    </row>
    <row r="27" spans="1:58" ht="0.95" customHeight="1" x14ac:dyDescent="0.2">
      <c r="A27" s="71" t="s">
        <v>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1" t="s">
        <v>4</v>
      </c>
      <c r="AZ27" s="70"/>
      <c r="BA27" s="70"/>
      <c r="BB27" s="70"/>
      <c r="BC27" s="70"/>
      <c r="BD27" s="70"/>
      <c r="BE27" s="70"/>
      <c r="BF27" s="70"/>
    </row>
    <row r="28" spans="1:58" ht="0.6" customHeight="1" x14ac:dyDescent="0.2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3" t="s">
        <v>4</v>
      </c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</row>
    <row r="29" spans="1:58" ht="0.75" customHeight="1" x14ac:dyDescent="0.2"/>
    <row r="30" spans="1:58" ht="14.45" customHeight="1" x14ac:dyDescent="0.2">
      <c r="K30" s="74" t="s">
        <v>24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</row>
    <row r="31" spans="1:58" ht="78.95" customHeight="1" x14ac:dyDescent="0.2">
      <c r="B31" s="57" t="s">
        <v>25</v>
      </c>
      <c r="C31" s="75"/>
      <c r="D31" s="75"/>
      <c r="E31" s="75"/>
      <c r="F31" s="75"/>
      <c r="G31" s="75"/>
      <c r="H31" s="75"/>
      <c r="I31" s="75"/>
      <c r="J31" s="75"/>
      <c r="K31" s="76"/>
      <c r="L31" s="81" t="s">
        <v>18</v>
      </c>
      <c r="M31" s="79"/>
      <c r="N31" s="79"/>
      <c r="O31" s="79"/>
      <c r="P31" s="79"/>
      <c r="Q31" s="80"/>
      <c r="R31" s="82">
        <v>6.32</v>
      </c>
      <c r="S31" s="83" t="s">
        <v>26</v>
      </c>
      <c r="T31" s="79"/>
      <c r="U31" s="79"/>
      <c r="V31" s="80"/>
      <c r="W31" s="84">
        <v>7.28</v>
      </c>
      <c r="X31" s="85"/>
      <c r="Y31" s="85"/>
      <c r="Z31" s="85"/>
      <c r="AA31" s="85"/>
      <c r="AB31" s="86"/>
      <c r="AC31" s="87">
        <v>46.01</v>
      </c>
      <c r="AD31" s="79"/>
      <c r="AE31" s="79"/>
      <c r="AF31" s="79"/>
      <c r="AG31" s="79"/>
      <c r="AH31" s="80"/>
      <c r="AI31" s="63">
        <v>676.24</v>
      </c>
      <c r="AJ31" s="75"/>
      <c r="AK31" s="75"/>
      <c r="AL31" s="75"/>
      <c r="AM31" s="75"/>
      <c r="AN31" s="75"/>
      <c r="AO31" s="75"/>
      <c r="AP31" s="76"/>
      <c r="AQ31" s="88">
        <v>498.39</v>
      </c>
      <c r="AR31" s="79"/>
      <c r="AS31" s="79"/>
      <c r="AT31" s="79"/>
      <c r="AU31" s="79"/>
      <c r="AV31" s="79"/>
      <c r="AW31" s="79"/>
      <c r="AX31" s="80"/>
      <c r="AY31" s="89">
        <v>4923.03</v>
      </c>
      <c r="AZ31" s="85"/>
      <c r="BA31" s="85"/>
      <c r="BB31" s="85"/>
      <c r="BC31" s="85"/>
      <c r="BD31" s="85"/>
      <c r="BE31" s="85"/>
    </row>
    <row r="32" spans="1:58" ht="78.95" customHeight="1" x14ac:dyDescent="0.2">
      <c r="B32" s="81" t="s">
        <v>27</v>
      </c>
      <c r="C32" s="79"/>
      <c r="D32" s="79"/>
      <c r="E32" s="79"/>
      <c r="F32" s="79"/>
      <c r="G32" s="79"/>
      <c r="H32" s="79"/>
      <c r="I32" s="79"/>
      <c r="J32" s="79"/>
      <c r="K32" s="80"/>
      <c r="L32" s="81" t="s">
        <v>18</v>
      </c>
      <c r="M32" s="79"/>
      <c r="N32" s="79"/>
      <c r="O32" s="79"/>
      <c r="P32" s="79"/>
      <c r="Q32" s="80"/>
      <c r="R32" s="90">
        <v>6.32</v>
      </c>
      <c r="S32" s="83" t="s">
        <v>28</v>
      </c>
      <c r="T32" s="79"/>
      <c r="U32" s="79"/>
      <c r="V32" s="80"/>
      <c r="W32" s="84">
        <v>7.54</v>
      </c>
      <c r="X32" s="85"/>
      <c r="Y32" s="85"/>
      <c r="Z32" s="85"/>
      <c r="AA32" s="85"/>
      <c r="AB32" s="91"/>
      <c r="AC32" s="92">
        <v>47.65</v>
      </c>
      <c r="AD32" s="79"/>
      <c r="AE32" s="79"/>
      <c r="AF32" s="79"/>
      <c r="AG32" s="79"/>
      <c r="AH32" s="80"/>
      <c r="AI32" s="78">
        <v>158</v>
      </c>
      <c r="AJ32" s="79"/>
      <c r="AK32" s="79"/>
      <c r="AL32" s="79"/>
      <c r="AM32" s="79"/>
      <c r="AN32" s="79"/>
      <c r="AO32" s="79"/>
      <c r="AP32" s="80"/>
      <c r="AQ32" s="88">
        <v>113.92</v>
      </c>
      <c r="AR32" s="79"/>
      <c r="AS32" s="79"/>
      <c r="AT32" s="79"/>
      <c r="AU32" s="79"/>
      <c r="AV32" s="79"/>
      <c r="AW32" s="79"/>
      <c r="AX32" s="80"/>
      <c r="AY32" s="89">
        <v>1191.32</v>
      </c>
      <c r="AZ32" s="85"/>
      <c r="BA32" s="85"/>
      <c r="BB32" s="85"/>
      <c r="BC32" s="85"/>
      <c r="BD32" s="85"/>
      <c r="BE32" s="85"/>
    </row>
    <row r="33" spans="1:58" ht="78.95" customHeight="1" x14ac:dyDescent="0.2">
      <c r="B33" s="93" t="s">
        <v>29</v>
      </c>
      <c r="C33" s="79"/>
      <c r="D33" s="79"/>
      <c r="E33" s="79"/>
      <c r="F33" s="79"/>
      <c r="G33" s="79"/>
      <c r="H33" s="79"/>
      <c r="I33" s="79"/>
      <c r="J33" s="79"/>
      <c r="K33" s="80"/>
      <c r="L33" s="81" t="s">
        <v>18</v>
      </c>
      <c r="M33" s="79"/>
      <c r="N33" s="79"/>
      <c r="O33" s="79"/>
      <c r="P33" s="79"/>
      <c r="Q33" s="80"/>
      <c r="R33" s="90">
        <v>6.32</v>
      </c>
      <c r="S33" s="83" t="s">
        <v>28</v>
      </c>
      <c r="T33" s="79"/>
      <c r="U33" s="79"/>
      <c r="V33" s="80"/>
      <c r="W33" s="61">
        <v>3.98</v>
      </c>
      <c r="X33" s="75"/>
      <c r="Y33" s="75"/>
      <c r="Z33" s="75"/>
      <c r="AA33" s="75"/>
      <c r="AB33" s="76"/>
      <c r="AC33" s="87">
        <v>25.15</v>
      </c>
      <c r="AD33" s="79"/>
      <c r="AE33" s="79"/>
      <c r="AF33" s="79"/>
      <c r="AG33" s="79"/>
      <c r="AH33" s="80"/>
      <c r="AI33" s="78">
        <v>158</v>
      </c>
      <c r="AJ33" s="79"/>
      <c r="AK33" s="79"/>
      <c r="AL33" s="79"/>
      <c r="AM33" s="79"/>
      <c r="AN33" s="79"/>
      <c r="AO33" s="79"/>
      <c r="AP33" s="80"/>
      <c r="AQ33" s="88">
        <v>88.01</v>
      </c>
      <c r="AR33" s="79"/>
      <c r="AS33" s="79"/>
      <c r="AT33" s="79"/>
      <c r="AU33" s="79"/>
      <c r="AV33" s="79"/>
      <c r="AW33" s="79"/>
      <c r="AX33" s="80"/>
      <c r="AY33" s="65">
        <v>628.84</v>
      </c>
      <c r="AZ33" s="75"/>
      <c r="BA33" s="75"/>
      <c r="BB33" s="75"/>
      <c r="BC33" s="75"/>
      <c r="BD33" s="75"/>
      <c r="BE33" s="75"/>
    </row>
    <row r="34" spans="1:58" ht="3.75" customHeight="1" x14ac:dyDescent="0.2"/>
    <row r="35" spans="1:58" ht="13.5" customHeight="1" x14ac:dyDescent="0.2">
      <c r="Z35" s="66" t="s">
        <v>20</v>
      </c>
      <c r="AA35" s="70"/>
      <c r="AB35" s="70"/>
      <c r="AC35" s="70"/>
      <c r="AD35" s="70"/>
      <c r="AE35" s="70"/>
      <c r="AF35" s="70"/>
      <c r="AG35" s="70"/>
      <c r="AI35" s="67">
        <v>992.24</v>
      </c>
      <c r="AJ35" s="70"/>
      <c r="AK35" s="70"/>
      <c r="AL35" s="70"/>
      <c r="AM35" s="70"/>
      <c r="AN35" s="70"/>
      <c r="AO35" s="70"/>
      <c r="AP35" s="70"/>
      <c r="AQ35" s="68">
        <v>700.32</v>
      </c>
      <c r="AR35" s="70"/>
      <c r="AS35" s="70"/>
      <c r="AT35" s="70"/>
      <c r="AU35" s="70"/>
      <c r="AV35" s="70"/>
      <c r="AW35" s="70"/>
      <c r="AX35" s="70"/>
      <c r="AY35" s="69">
        <v>6743.19</v>
      </c>
      <c r="AZ35" s="70"/>
      <c r="BA35" s="70"/>
      <c r="BB35" s="70"/>
      <c r="BC35" s="70"/>
      <c r="BD35" s="70"/>
      <c r="BE35" s="70"/>
    </row>
    <row r="36" spans="1:58" ht="0.95" customHeight="1" x14ac:dyDescent="0.2">
      <c r="A36" s="71" t="s">
        <v>4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1" t="s">
        <v>4</v>
      </c>
      <c r="AZ36" s="70"/>
      <c r="BA36" s="70"/>
      <c r="BB36" s="70"/>
      <c r="BC36" s="70"/>
      <c r="BD36" s="70"/>
      <c r="BE36" s="70"/>
      <c r="BF36" s="70"/>
    </row>
    <row r="37" spans="1:58" ht="0.6" customHeight="1" x14ac:dyDescent="0.2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3" t="s">
        <v>4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</row>
    <row r="38" spans="1:58" ht="0.75" customHeight="1" x14ac:dyDescent="0.2"/>
    <row r="39" spans="1:58" ht="14.45" customHeight="1" x14ac:dyDescent="0.2">
      <c r="K39" s="74" t="s">
        <v>30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</row>
    <row r="40" spans="1:58" ht="31.35" customHeight="1" x14ac:dyDescent="0.2">
      <c r="B40" s="81" t="s">
        <v>31</v>
      </c>
      <c r="C40" s="79"/>
      <c r="D40" s="79"/>
      <c r="E40" s="79"/>
      <c r="F40" s="79"/>
      <c r="G40" s="79"/>
      <c r="H40" s="79"/>
      <c r="I40" s="79"/>
      <c r="J40" s="79"/>
      <c r="K40" s="80"/>
      <c r="L40" s="81" t="s">
        <v>32</v>
      </c>
      <c r="M40" s="94"/>
      <c r="N40" s="94"/>
      <c r="O40" s="94"/>
      <c r="P40" s="94"/>
      <c r="Q40" s="95"/>
      <c r="R40" s="90">
        <v>6.5</v>
      </c>
      <c r="S40" s="83" t="s">
        <v>33</v>
      </c>
      <c r="T40" s="94"/>
      <c r="U40" s="94"/>
      <c r="V40" s="95"/>
      <c r="W40" s="61">
        <v>2.59</v>
      </c>
      <c r="X40" s="46"/>
      <c r="Y40" s="46"/>
      <c r="Z40" s="46"/>
      <c r="AA40" s="46"/>
      <c r="AB40" s="47"/>
      <c r="AC40" s="87">
        <v>16.84</v>
      </c>
      <c r="AD40" s="94"/>
      <c r="AE40" s="94"/>
      <c r="AF40" s="94"/>
      <c r="AG40" s="94"/>
      <c r="AH40" s="95"/>
      <c r="AI40" s="78">
        <v>721.5</v>
      </c>
      <c r="AJ40" s="94"/>
      <c r="AK40" s="94"/>
      <c r="AL40" s="94"/>
      <c r="AM40" s="94"/>
      <c r="AN40" s="94"/>
      <c r="AO40" s="94"/>
      <c r="AP40" s="95"/>
      <c r="AQ40" s="88">
        <v>92.35</v>
      </c>
      <c r="AR40" s="94"/>
      <c r="AS40" s="94"/>
      <c r="AT40" s="94"/>
      <c r="AU40" s="94"/>
      <c r="AV40" s="94"/>
      <c r="AW40" s="94"/>
      <c r="AX40" s="95"/>
      <c r="AY40" s="65">
        <v>1868.69</v>
      </c>
      <c r="AZ40" s="46"/>
      <c r="BA40" s="46"/>
      <c r="BB40" s="46"/>
      <c r="BC40" s="46"/>
      <c r="BD40" s="46"/>
      <c r="BE40" s="46"/>
    </row>
    <row r="41" spans="1:58" ht="3.75" customHeight="1" x14ac:dyDescent="0.2"/>
    <row r="42" spans="1:58" ht="13.5" customHeight="1" x14ac:dyDescent="0.2">
      <c r="Z42" s="66" t="s">
        <v>20</v>
      </c>
      <c r="AA42" s="32"/>
      <c r="AB42" s="32"/>
      <c r="AC42" s="32"/>
      <c r="AD42" s="32"/>
      <c r="AE42" s="32"/>
      <c r="AF42" s="32"/>
      <c r="AG42" s="32"/>
      <c r="AI42" s="67">
        <v>721.5</v>
      </c>
      <c r="AJ42" s="32"/>
      <c r="AK42" s="32"/>
      <c r="AL42" s="32"/>
      <c r="AM42" s="32"/>
      <c r="AN42" s="32"/>
      <c r="AO42" s="32"/>
      <c r="AP42" s="32"/>
      <c r="AQ42" s="68">
        <v>92.35</v>
      </c>
      <c r="AR42" s="32"/>
      <c r="AS42" s="32"/>
      <c r="AT42" s="32"/>
      <c r="AU42" s="32"/>
      <c r="AV42" s="32"/>
      <c r="AW42" s="32"/>
      <c r="AX42" s="32"/>
      <c r="AY42" s="69">
        <v>1868.69</v>
      </c>
      <c r="AZ42" s="32"/>
      <c r="BA42" s="32"/>
      <c r="BB42" s="32"/>
      <c r="BC42" s="32"/>
      <c r="BD42" s="32"/>
      <c r="BE42" s="32"/>
    </row>
    <row r="43" spans="1:58" ht="0.95" customHeight="1" x14ac:dyDescent="0.2">
      <c r="A43" s="71" t="s">
        <v>4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71" t="s">
        <v>4</v>
      </c>
      <c r="AZ43" s="32"/>
      <c r="BA43" s="32"/>
      <c r="BB43" s="32"/>
      <c r="BC43" s="32"/>
      <c r="BD43" s="32"/>
      <c r="BE43" s="32"/>
      <c r="BF43" s="32"/>
    </row>
    <row r="44" spans="1:58" ht="0.6" customHeight="1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73" t="s">
        <v>4</v>
      </c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</row>
    <row r="45" spans="1:58" ht="5.25" customHeight="1" x14ac:dyDescent="0.2"/>
    <row r="46" spans="1:58" ht="14.45" customHeight="1" x14ac:dyDescent="0.2">
      <c r="U46" s="96" t="s">
        <v>34</v>
      </c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I46" s="67">
        <v>2454.7399999999998</v>
      </c>
      <c r="AJ46" s="32"/>
      <c r="AK46" s="32"/>
      <c r="AL46" s="32"/>
      <c r="AM46" s="32"/>
      <c r="AN46" s="32"/>
      <c r="AO46" s="32"/>
      <c r="AP46" s="32"/>
      <c r="AQ46" s="68">
        <v>1562.32</v>
      </c>
      <c r="AR46" s="32"/>
      <c r="AS46" s="32"/>
      <c r="AT46" s="32"/>
      <c r="AU46" s="32"/>
      <c r="AV46" s="32"/>
      <c r="AW46" s="32"/>
      <c r="AX46" s="32"/>
      <c r="AY46" s="97">
        <v>15739.06</v>
      </c>
      <c r="AZ46" s="32"/>
      <c r="BA46" s="32"/>
      <c r="BB46" s="32"/>
      <c r="BC46" s="32"/>
      <c r="BD46" s="32"/>
      <c r="BE46" s="32"/>
    </row>
    <row r="47" spans="1:58" ht="2.85" customHeight="1" x14ac:dyDescent="0.2"/>
    <row r="48" spans="1:58" ht="1.5" customHeight="1" x14ac:dyDescent="0.2">
      <c r="A48" s="98" t="s">
        <v>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</row>
    <row r="49" spans="1:65" ht="4.3499999999999996" customHeight="1" x14ac:dyDescent="0.2"/>
    <row r="50" spans="1:65" ht="14.45" customHeight="1" x14ac:dyDescent="0.2">
      <c r="X50" s="96" t="s">
        <v>35</v>
      </c>
      <c r="Y50" s="32"/>
      <c r="Z50" s="32"/>
      <c r="AA50" s="32"/>
      <c r="AB50" s="32"/>
      <c r="AC50" s="32"/>
      <c r="AD50" s="32"/>
      <c r="AE50" s="32"/>
      <c r="AF50" s="32"/>
      <c r="AG50" s="32"/>
      <c r="AI50" s="67">
        <v>2454.7399999999998</v>
      </c>
      <c r="AJ50" s="32"/>
      <c r="AK50" s="32"/>
      <c r="AL50" s="32"/>
      <c r="AM50" s="32"/>
      <c r="AN50" s="32"/>
      <c r="AO50" s="32"/>
      <c r="AP50" s="32"/>
      <c r="AQ50" s="68">
        <v>1562.32</v>
      </c>
      <c r="AR50" s="32"/>
      <c r="AS50" s="32"/>
      <c r="AT50" s="32"/>
      <c r="AU50" s="32"/>
      <c r="AV50" s="32"/>
      <c r="AW50" s="32"/>
      <c r="AX50" s="32"/>
      <c r="AY50" s="99">
        <v>15739.06</v>
      </c>
      <c r="AZ50" s="32"/>
      <c r="BA50" s="32"/>
      <c r="BB50" s="32"/>
      <c r="BC50" s="32"/>
      <c r="BD50" s="32"/>
      <c r="BE50" s="32"/>
    </row>
    <row r="51" spans="1:65" ht="87.75" customHeight="1" x14ac:dyDescent="0.2"/>
    <row r="52" spans="1:65" ht="1.5" customHeight="1" x14ac:dyDescent="0.2">
      <c r="A52" s="98" t="s">
        <v>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</row>
    <row r="53" spans="1:65" ht="12" customHeight="1" x14ac:dyDescent="0.2">
      <c r="AL53" s="100" t="s">
        <v>36</v>
      </c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</row>
    <row r="54" spans="1:65" ht="27.75" customHeight="1" x14ac:dyDescent="0.2"/>
    <row r="55" spans="1:65" ht="22.7" customHeight="1" x14ac:dyDescent="0.2">
      <c r="P55" s="31" t="s">
        <v>37</v>
      </c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</row>
    <row r="56" spans="1:65" ht="0.95" customHeight="1" x14ac:dyDescent="0.2"/>
    <row r="57" spans="1:65" ht="14.85" customHeight="1" x14ac:dyDescent="0.2">
      <c r="B57" s="39" t="s">
        <v>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65" ht="0.6" customHeight="1" x14ac:dyDescent="0.2">
      <c r="B58" s="101" t="s">
        <v>4</v>
      </c>
      <c r="C58" s="43" t="s">
        <v>4</v>
      </c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</row>
    <row r="59" spans="1:65" ht="0.95" customHeight="1" x14ac:dyDescent="0.2"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</row>
    <row r="60" spans="1:65" ht="5.45" customHeight="1" x14ac:dyDescent="0.2"/>
    <row r="61" spans="1:65" ht="15.2" customHeight="1" x14ac:dyDescent="0.2">
      <c r="I61" s="102" t="s">
        <v>6</v>
      </c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80"/>
      <c r="Y61" s="45" t="s">
        <v>38</v>
      </c>
      <c r="Z61" s="75"/>
      <c r="AA61" s="75"/>
      <c r="AB61" s="75"/>
      <c r="AC61" s="75"/>
      <c r="AD61" s="75"/>
      <c r="AE61" s="76"/>
      <c r="AF61" s="102" t="s">
        <v>39</v>
      </c>
      <c r="AG61" s="79"/>
      <c r="AH61" s="79"/>
      <c r="AI61" s="79"/>
      <c r="AJ61" s="80"/>
      <c r="AK61" s="45" t="s">
        <v>40</v>
      </c>
      <c r="AL61" s="75"/>
      <c r="AM61" s="75"/>
      <c r="AN61" s="75"/>
      <c r="AO61" s="76"/>
      <c r="AP61" s="102" t="s">
        <v>41</v>
      </c>
      <c r="AQ61" s="79"/>
      <c r="AR61" s="79"/>
      <c r="AS61" s="79"/>
      <c r="AT61" s="79"/>
      <c r="AU61" s="79"/>
      <c r="AV61" s="80"/>
      <c r="AW61" s="45" t="s">
        <v>42</v>
      </c>
      <c r="AX61" s="75"/>
      <c r="AY61" s="75"/>
      <c r="AZ61" s="75"/>
      <c r="BA61" s="103"/>
      <c r="BI61" s="127" t="s">
        <v>79</v>
      </c>
    </row>
    <row r="62" spans="1:65" ht="3.75" customHeight="1" x14ac:dyDescent="0.2"/>
    <row r="63" spans="1:65" ht="14.25" customHeight="1" x14ac:dyDescent="0.2">
      <c r="I63" s="195" t="s">
        <v>43</v>
      </c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7"/>
      <c r="Y63" s="198">
        <v>15</v>
      </c>
      <c r="Z63" s="199"/>
      <c r="AA63" s="199"/>
      <c r="AB63" s="199"/>
      <c r="AC63" s="199"/>
      <c r="AD63" s="199"/>
      <c r="AE63" s="200"/>
      <c r="AF63" s="201">
        <v>0</v>
      </c>
      <c r="AG63" s="196"/>
      <c r="AH63" s="196"/>
      <c r="AI63" s="196"/>
      <c r="AJ63" s="197"/>
      <c r="AK63" s="202">
        <v>2.15</v>
      </c>
      <c r="AL63" s="199"/>
      <c r="AM63" s="199"/>
      <c r="AN63" s="199"/>
      <c r="AO63" s="200"/>
      <c r="AP63" s="203">
        <v>13.5</v>
      </c>
      <c r="AQ63" s="196"/>
      <c r="AR63" s="196"/>
      <c r="AS63" s="196"/>
      <c r="AT63" s="196"/>
      <c r="AU63" s="196"/>
      <c r="AV63" s="197"/>
      <c r="AW63" s="194">
        <v>0</v>
      </c>
      <c r="AX63" s="199"/>
      <c r="AY63" s="199"/>
      <c r="AZ63" s="199"/>
      <c r="BA63" s="204"/>
      <c r="BB63" s="205"/>
      <c r="BC63" s="205"/>
      <c r="BD63" s="205"/>
      <c r="BE63" s="205"/>
      <c r="BF63" s="205"/>
      <c r="BG63" s="206">
        <f>AW63</f>
        <v>0</v>
      </c>
      <c r="BH63" s="206"/>
      <c r="BI63" s="206"/>
      <c r="BJ63" s="206">
        <f>Y63*AK63*AP63</f>
        <v>435.375</v>
      </c>
      <c r="BK63" s="205">
        <f>5*6.6*13.5</f>
        <v>445.5</v>
      </c>
      <c r="BM63" s="129"/>
    </row>
    <row r="64" spans="1:65" ht="14.25" customHeight="1" x14ac:dyDescent="0.2">
      <c r="I64" s="5" t="s">
        <v>44</v>
      </c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5"/>
      <c r="Y64" s="6">
        <v>1</v>
      </c>
      <c r="Z64" s="85"/>
      <c r="AA64" s="85"/>
      <c r="AB64" s="85"/>
      <c r="AC64" s="85"/>
      <c r="AD64" s="85"/>
      <c r="AE64" s="86"/>
      <c r="AF64" s="7">
        <v>722.02499999999998</v>
      </c>
      <c r="AG64" s="104"/>
      <c r="AH64" s="104"/>
      <c r="AI64" s="104"/>
      <c r="AJ64" s="105"/>
      <c r="AK64" s="8">
        <v>0</v>
      </c>
      <c r="AL64" s="85"/>
      <c r="AM64" s="85"/>
      <c r="AN64" s="85"/>
      <c r="AO64" s="86"/>
      <c r="AP64" s="9">
        <v>0.44</v>
      </c>
      <c r="AQ64" s="104"/>
      <c r="AR64" s="104"/>
      <c r="AS64" s="104"/>
      <c r="AT64" s="104"/>
      <c r="AU64" s="104"/>
      <c r="AV64" s="105"/>
      <c r="AW64" s="10">
        <v>317.69</v>
      </c>
      <c r="AX64" s="85"/>
      <c r="AY64" s="85"/>
      <c r="AZ64" s="85"/>
      <c r="BA64" s="91"/>
      <c r="BG64" s="128">
        <f t="shared" ref="BG64:BG86" si="0">AW64</f>
        <v>317.69</v>
      </c>
      <c r="BH64" s="128"/>
      <c r="BI64" s="128"/>
      <c r="BJ64" s="128">
        <f>Y64*AF64*AP64</f>
        <v>317.69099999999997</v>
      </c>
      <c r="BL64" s="192"/>
      <c r="BM64" s="129"/>
    </row>
    <row r="65" spans="9:65" s="130" customFormat="1" ht="14.25" customHeight="1" x14ac:dyDescent="0.2">
      <c r="I65" s="131" t="s">
        <v>45</v>
      </c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3"/>
      <c r="Y65" s="134">
        <v>1</v>
      </c>
      <c r="Z65" s="132"/>
      <c r="AA65" s="132"/>
      <c r="AB65" s="132"/>
      <c r="AC65" s="132"/>
      <c r="AD65" s="132"/>
      <c r="AE65" s="135"/>
      <c r="AF65" s="136">
        <v>680.10149999999999</v>
      </c>
      <c r="AG65" s="132"/>
      <c r="AH65" s="132"/>
      <c r="AI65" s="132"/>
      <c r="AJ65" s="133"/>
      <c r="AK65" s="137">
        <v>0</v>
      </c>
      <c r="AL65" s="132"/>
      <c r="AM65" s="132"/>
      <c r="AN65" s="132"/>
      <c r="AO65" s="135"/>
      <c r="AP65" s="138">
        <v>0.63</v>
      </c>
      <c r="AQ65" s="132"/>
      <c r="AR65" s="132"/>
      <c r="AS65" s="132"/>
      <c r="AT65" s="132"/>
      <c r="AU65" s="132"/>
      <c r="AV65" s="133"/>
      <c r="AW65" s="139">
        <v>428.46</v>
      </c>
      <c r="AX65" s="132"/>
      <c r="AY65" s="132"/>
      <c r="AZ65" s="132"/>
      <c r="BA65" s="133"/>
      <c r="BG65" s="140">
        <f t="shared" si="0"/>
        <v>428.46</v>
      </c>
      <c r="BH65" s="140"/>
      <c r="BI65" s="140"/>
      <c r="BJ65" s="140">
        <v>0</v>
      </c>
      <c r="BL65" s="193"/>
      <c r="BM65" s="141"/>
    </row>
    <row r="66" spans="9:65" ht="14.25" customHeight="1" x14ac:dyDescent="0.2">
      <c r="I66" s="11" t="s">
        <v>46</v>
      </c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91"/>
      <c r="Y66" s="6">
        <v>1</v>
      </c>
      <c r="Z66" s="85"/>
      <c r="AA66" s="85"/>
      <c r="AB66" s="85"/>
      <c r="AC66" s="85"/>
      <c r="AD66" s="85"/>
      <c r="AE66" s="86"/>
      <c r="AF66" s="3">
        <v>571.125</v>
      </c>
      <c r="AG66" s="85"/>
      <c r="AH66" s="85"/>
      <c r="AI66" s="85"/>
      <c r="AJ66" s="91"/>
      <c r="AK66" s="8">
        <v>0</v>
      </c>
      <c r="AL66" s="85"/>
      <c r="AM66" s="85"/>
      <c r="AN66" s="85"/>
      <c r="AO66" s="86"/>
      <c r="AP66" s="12">
        <v>1.19</v>
      </c>
      <c r="AQ66" s="85"/>
      <c r="AR66" s="85"/>
      <c r="AS66" s="85"/>
      <c r="AT66" s="85"/>
      <c r="AU66" s="85"/>
      <c r="AV66" s="91"/>
      <c r="AW66" s="10">
        <v>679.64</v>
      </c>
      <c r="AX66" s="85"/>
      <c r="AY66" s="85"/>
      <c r="AZ66" s="85"/>
      <c r="BA66" s="91"/>
      <c r="BG66" s="128">
        <f t="shared" si="0"/>
        <v>679.64</v>
      </c>
      <c r="BH66" s="128"/>
      <c r="BI66" s="128"/>
      <c r="BJ66" s="128">
        <f>Y66*AF66*AP66</f>
        <v>679.63874999999996</v>
      </c>
      <c r="BL66" s="192"/>
      <c r="BM66" s="129"/>
    </row>
    <row r="67" spans="9:65" ht="14.25" customHeight="1" x14ac:dyDescent="0.2">
      <c r="I67" s="11" t="s">
        <v>47</v>
      </c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91"/>
      <c r="Y67" s="13">
        <v>600</v>
      </c>
      <c r="Z67" s="75"/>
      <c r="AA67" s="75"/>
      <c r="AB67" s="75"/>
      <c r="AC67" s="75"/>
      <c r="AD67" s="75"/>
      <c r="AE67" s="76"/>
      <c r="AF67" s="3">
        <v>0</v>
      </c>
      <c r="AG67" s="85"/>
      <c r="AH67" s="85"/>
      <c r="AI67" s="85"/>
      <c r="AJ67" s="91"/>
      <c r="AK67" s="14">
        <v>0</v>
      </c>
      <c r="AL67" s="75"/>
      <c r="AM67" s="75"/>
      <c r="AN67" s="75"/>
      <c r="AO67" s="76"/>
      <c r="AP67" s="12">
        <v>0.19</v>
      </c>
      <c r="AQ67" s="85"/>
      <c r="AR67" s="85"/>
      <c r="AS67" s="85"/>
      <c r="AT67" s="85"/>
      <c r="AU67" s="85"/>
      <c r="AV67" s="91"/>
      <c r="AW67" s="15">
        <v>114</v>
      </c>
      <c r="AX67" s="75"/>
      <c r="AY67" s="75"/>
      <c r="AZ67" s="75"/>
      <c r="BA67" s="103"/>
      <c r="BG67" s="128">
        <f t="shared" si="0"/>
        <v>114</v>
      </c>
      <c r="BH67" s="128"/>
      <c r="BI67" s="128"/>
      <c r="BJ67" s="128">
        <f>Y67*AP67</f>
        <v>114</v>
      </c>
      <c r="BL67" s="192"/>
      <c r="BM67" s="129"/>
    </row>
    <row r="68" spans="9:65" ht="14.25" customHeight="1" x14ac:dyDescent="0.2">
      <c r="I68" s="11" t="s">
        <v>48</v>
      </c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91"/>
      <c r="Y68" s="16">
        <v>825</v>
      </c>
      <c r="Z68" s="79"/>
      <c r="AA68" s="79"/>
      <c r="AB68" s="79"/>
      <c r="AC68" s="79"/>
      <c r="AD68" s="79"/>
      <c r="AE68" s="80"/>
      <c r="AF68" s="3">
        <v>0</v>
      </c>
      <c r="AG68" s="85"/>
      <c r="AH68" s="85"/>
      <c r="AI68" s="85"/>
      <c r="AJ68" s="91"/>
      <c r="AK68" s="17">
        <v>0</v>
      </c>
      <c r="AL68" s="79"/>
      <c r="AM68" s="79"/>
      <c r="AN68" s="79"/>
      <c r="AO68" s="80"/>
      <c r="AP68" s="12">
        <v>0.93</v>
      </c>
      <c r="AQ68" s="85"/>
      <c r="AR68" s="85"/>
      <c r="AS68" s="85"/>
      <c r="AT68" s="85"/>
      <c r="AU68" s="85"/>
      <c r="AV68" s="91"/>
      <c r="AW68" s="18">
        <v>767.25</v>
      </c>
      <c r="AX68" s="79"/>
      <c r="AY68" s="79"/>
      <c r="AZ68" s="79"/>
      <c r="BA68" s="106"/>
      <c r="BG68" s="128">
        <f t="shared" si="0"/>
        <v>767.25</v>
      </c>
      <c r="BH68" s="128"/>
      <c r="BI68" s="128"/>
      <c r="BJ68" s="128">
        <f t="shared" ref="BJ68:BJ72" si="1">Y68*AP68</f>
        <v>767.25</v>
      </c>
      <c r="BL68" s="192"/>
      <c r="BM68" s="129"/>
    </row>
    <row r="69" spans="9:65" ht="14.25" customHeight="1" x14ac:dyDescent="0.2">
      <c r="I69" s="11" t="s">
        <v>49</v>
      </c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91"/>
      <c r="Y69" s="16">
        <v>375</v>
      </c>
      <c r="Z69" s="79"/>
      <c r="AA69" s="79"/>
      <c r="AB69" s="79"/>
      <c r="AC69" s="79"/>
      <c r="AD69" s="79"/>
      <c r="AE69" s="80"/>
      <c r="AF69" s="3">
        <v>0</v>
      </c>
      <c r="AG69" s="85"/>
      <c r="AH69" s="85"/>
      <c r="AI69" s="85"/>
      <c r="AJ69" s="91"/>
      <c r="AK69" s="17">
        <v>0</v>
      </c>
      <c r="AL69" s="79"/>
      <c r="AM69" s="79"/>
      <c r="AN69" s="79"/>
      <c r="AO69" s="80"/>
      <c r="AP69" s="12">
        <v>0.89</v>
      </c>
      <c r="AQ69" s="85"/>
      <c r="AR69" s="85"/>
      <c r="AS69" s="85"/>
      <c r="AT69" s="85"/>
      <c r="AU69" s="85"/>
      <c r="AV69" s="91"/>
      <c r="AW69" s="18">
        <v>333.75</v>
      </c>
      <c r="AX69" s="79"/>
      <c r="AY69" s="79"/>
      <c r="AZ69" s="79"/>
      <c r="BA69" s="106"/>
      <c r="BG69" s="128">
        <f t="shared" si="0"/>
        <v>333.75</v>
      </c>
      <c r="BH69" s="128"/>
      <c r="BI69" s="128"/>
      <c r="BJ69" s="128">
        <f t="shared" si="1"/>
        <v>333.75</v>
      </c>
      <c r="BL69" s="192"/>
      <c r="BM69" s="129"/>
    </row>
    <row r="70" spans="9:65" ht="14.25" customHeight="1" x14ac:dyDescent="0.2">
      <c r="I70" s="11" t="s">
        <v>50</v>
      </c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91"/>
      <c r="Y70" s="16">
        <v>225</v>
      </c>
      <c r="Z70" s="79"/>
      <c r="AA70" s="79"/>
      <c r="AB70" s="79"/>
      <c r="AC70" s="79"/>
      <c r="AD70" s="79"/>
      <c r="AE70" s="80"/>
      <c r="AF70" s="3">
        <v>0</v>
      </c>
      <c r="AG70" s="85"/>
      <c r="AH70" s="85"/>
      <c r="AI70" s="85"/>
      <c r="AJ70" s="91"/>
      <c r="AK70" s="17">
        <v>0</v>
      </c>
      <c r="AL70" s="79"/>
      <c r="AM70" s="79"/>
      <c r="AN70" s="79"/>
      <c r="AO70" s="80"/>
      <c r="AP70" s="12">
        <v>0.18</v>
      </c>
      <c r="AQ70" s="85"/>
      <c r="AR70" s="85"/>
      <c r="AS70" s="85"/>
      <c r="AT70" s="85"/>
      <c r="AU70" s="85"/>
      <c r="AV70" s="91"/>
      <c r="AW70" s="18">
        <v>40.5</v>
      </c>
      <c r="AX70" s="79"/>
      <c r="AY70" s="79"/>
      <c r="AZ70" s="79"/>
      <c r="BA70" s="106"/>
      <c r="BG70" s="128">
        <f t="shared" si="0"/>
        <v>40.5</v>
      </c>
      <c r="BH70" s="128"/>
      <c r="BI70" s="128"/>
      <c r="BJ70" s="128">
        <f t="shared" si="1"/>
        <v>40.5</v>
      </c>
      <c r="BL70" s="192"/>
      <c r="BM70" s="129"/>
    </row>
    <row r="71" spans="9:65" ht="21.2" customHeight="1" x14ac:dyDescent="0.2">
      <c r="I71" s="11" t="s">
        <v>51</v>
      </c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91"/>
      <c r="Y71" s="16">
        <v>75</v>
      </c>
      <c r="Z71" s="79"/>
      <c r="AA71" s="79"/>
      <c r="AB71" s="79"/>
      <c r="AC71" s="79"/>
      <c r="AD71" s="79"/>
      <c r="AE71" s="80"/>
      <c r="AF71" s="3">
        <v>0</v>
      </c>
      <c r="AG71" s="85"/>
      <c r="AH71" s="85"/>
      <c r="AI71" s="85"/>
      <c r="AJ71" s="91"/>
      <c r="AK71" s="17">
        <v>0</v>
      </c>
      <c r="AL71" s="79"/>
      <c r="AM71" s="79"/>
      <c r="AN71" s="79"/>
      <c r="AO71" s="80"/>
      <c r="AP71" s="12">
        <v>0.8</v>
      </c>
      <c r="AQ71" s="85"/>
      <c r="AR71" s="85"/>
      <c r="AS71" s="85"/>
      <c r="AT71" s="85"/>
      <c r="AU71" s="85"/>
      <c r="AV71" s="91"/>
      <c r="AW71" s="18">
        <v>60</v>
      </c>
      <c r="AX71" s="79"/>
      <c r="AY71" s="79"/>
      <c r="AZ71" s="79"/>
      <c r="BA71" s="106"/>
      <c r="BG71" s="128">
        <f t="shared" si="0"/>
        <v>60</v>
      </c>
      <c r="BH71" s="128"/>
      <c r="BI71" s="128"/>
      <c r="BJ71" s="128">
        <f t="shared" si="1"/>
        <v>60</v>
      </c>
      <c r="BL71" s="192"/>
      <c r="BM71" s="129"/>
    </row>
    <row r="72" spans="9:65" ht="21.2" customHeight="1" x14ac:dyDescent="0.2">
      <c r="I72" s="11" t="s">
        <v>52</v>
      </c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91"/>
      <c r="Y72" s="16">
        <v>75</v>
      </c>
      <c r="Z72" s="79"/>
      <c r="AA72" s="79"/>
      <c r="AB72" s="79"/>
      <c r="AC72" s="79"/>
      <c r="AD72" s="79"/>
      <c r="AE72" s="80"/>
      <c r="AF72" s="3">
        <v>0</v>
      </c>
      <c r="AG72" s="85"/>
      <c r="AH72" s="85"/>
      <c r="AI72" s="85"/>
      <c r="AJ72" s="91"/>
      <c r="AK72" s="17">
        <v>0</v>
      </c>
      <c r="AL72" s="79"/>
      <c r="AM72" s="79"/>
      <c r="AN72" s="79"/>
      <c r="AO72" s="80"/>
      <c r="AP72" s="12">
        <v>0.92</v>
      </c>
      <c r="AQ72" s="85"/>
      <c r="AR72" s="85"/>
      <c r="AS72" s="85"/>
      <c r="AT72" s="85"/>
      <c r="AU72" s="85"/>
      <c r="AV72" s="91"/>
      <c r="AW72" s="18">
        <v>69</v>
      </c>
      <c r="AX72" s="79"/>
      <c r="AY72" s="79"/>
      <c r="AZ72" s="79"/>
      <c r="BA72" s="106"/>
      <c r="BG72" s="128">
        <f t="shared" si="0"/>
        <v>69</v>
      </c>
      <c r="BH72" s="128"/>
      <c r="BI72" s="128"/>
      <c r="BJ72" s="128">
        <f t="shared" si="1"/>
        <v>69</v>
      </c>
      <c r="BL72" s="192"/>
      <c r="BM72" s="129"/>
    </row>
    <row r="73" spans="9:65" s="142" customFormat="1" ht="14.25" customHeight="1" x14ac:dyDescent="0.2">
      <c r="I73" s="143" t="s">
        <v>53</v>
      </c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5"/>
      <c r="Y73" s="146">
        <v>75</v>
      </c>
      <c r="Z73" s="147"/>
      <c r="AA73" s="147"/>
      <c r="AB73" s="147"/>
      <c r="AC73" s="147"/>
      <c r="AD73" s="147"/>
      <c r="AE73" s="148"/>
      <c r="AF73" s="149">
        <v>0</v>
      </c>
      <c r="AG73" s="144"/>
      <c r="AH73" s="144"/>
      <c r="AI73" s="144"/>
      <c r="AJ73" s="145"/>
      <c r="AK73" s="150">
        <v>0</v>
      </c>
      <c r="AL73" s="147"/>
      <c r="AM73" s="147"/>
      <c r="AN73" s="147"/>
      <c r="AO73" s="148"/>
      <c r="AP73" s="151">
        <v>5.34</v>
      </c>
      <c r="AQ73" s="144"/>
      <c r="AR73" s="144"/>
      <c r="AS73" s="144"/>
      <c r="AT73" s="144"/>
      <c r="AU73" s="144"/>
      <c r="AV73" s="145"/>
      <c r="AW73" s="152">
        <v>400.5</v>
      </c>
      <c r="AX73" s="147"/>
      <c r="AY73" s="147"/>
      <c r="AZ73" s="147"/>
      <c r="BA73" s="153"/>
      <c r="BG73" s="154">
        <f t="shared" si="0"/>
        <v>400.5</v>
      </c>
      <c r="BH73" s="154"/>
      <c r="BI73" s="154">
        <v>11.14</v>
      </c>
      <c r="BJ73" s="154">
        <f>Y73*BI73</f>
        <v>835.5</v>
      </c>
      <c r="BL73" s="191" t="s">
        <v>80</v>
      </c>
      <c r="BM73" s="155" t="s">
        <v>81</v>
      </c>
    </row>
    <row r="74" spans="9:65" ht="14.25" customHeight="1" x14ac:dyDescent="0.2">
      <c r="I74" s="11" t="s">
        <v>54</v>
      </c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91"/>
      <c r="Y74" s="16">
        <v>75</v>
      </c>
      <c r="Z74" s="79"/>
      <c r="AA74" s="79"/>
      <c r="AB74" s="79"/>
      <c r="AC74" s="79"/>
      <c r="AD74" s="79"/>
      <c r="AE74" s="80"/>
      <c r="AF74" s="3">
        <v>0</v>
      </c>
      <c r="AG74" s="85"/>
      <c r="AH74" s="85"/>
      <c r="AI74" s="85"/>
      <c r="AJ74" s="91"/>
      <c r="AK74" s="17">
        <v>0</v>
      </c>
      <c r="AL74" s="79"/>
      <c r="AM74" s="79"/>
      <c r="AN74" s="79"/>
      <c r="AO74" s="80"/>
      <c r="AP74" s="12">
        <v>1.8</v>
      </c>
      <c r="AQ74" s="85"/>
      <c r="AR74" s="85"/>
      <c r="AS74" s="85"/>
      <c r="AT74" s="85"/>
      <c r="AU74" s="85"/>
      <c r="AV74" s="91"/>
      <c r="AW74" s="18">
        <v>135</v>
      </c>
      <c r="AX74" s="79"/>
      <c r="AY74" s="79"/>
      <c r="AZ74" s="79"/>
      <c r="BA74" s="106"/>
      <c r="BG74" s="128">
        <f t="shared" si="0"/>
        <v>135</v>
      </c>
      <c r="BH74" s="128"/>
      <c r="BI74" s="128"/>
      <c r="BJ74" s="128">
        <f>Y74*AP74</f>
        <v>135</v>
      </c>
      <c r="BL74" s="192"/>
      <c r="BM74" s="129"/>
    </row>
    <row r="75" spans="9:65" ht="14.25" customHeight="1" x14ac:dyDescent="0.2">
      <c r="I75" s="11" t="s">
        <v>55</v>
      </c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91"/>
      <c r="Y75" s="16">
        <v>525</v>
      </c>
      <c r="Z75" s="79"/>
      <c r="AA75" s="79"/>
      <c r="AB75" s="79"/>
      <c r="AC75" s="79"/>
      <c r="AD75" s="79"/>
      <c r="AE75" s="80"/>
      <c r="AF75" s="3">
        <v>0</v>
      </c>
      <c r="AG75" s="85"/>
      <c r="AH75" s="85"/>
      <c r="AI75" s="85"/>
      <c r="AJ75" s="91"/>
      <c r="AK75" s="17">
        <v>0</v>
      </c>
      <c r="AL75" s="79"/>
      <c r="AM75" s="79"/>
      <c r="AN75" s="79"/>
      <c r="AO75" s="80"/>
      <c r="AP75" s="12">
        <v>0.79</v>
      </c>
      <c r="AQ75" s="85"/>
      <c r="AR75" s="85"/>
      <c r="AS75" s="85"/>
      <c r="AT75" s="85"/>
      <c r="AU75" s="85"/>
      <c r="AV75" s="91"/>
      <c r="AW75" s="18">
        <v>414.75</v>
      </c>
      <c r="AX75" s="79"/>
      <c r="AY75" s="79"/>
      <c r="AZ75" s="79"/>
      <c r="BA75" s="106"/>
      <c r="BG75" s="128">
        <f t="shared" si="0"/>
        <v>414.75</v>
      </c>
      <c r="BH75" s="128"/>
      <c r="BI75" s="128"/>
      <c r="BJ75" s="128">
        <f t="shared" ref="BJ75:BJ84" si="2">Y75*AP75</f>
        <v>414.75</v>
      </c>
      <c r="BL75" s="192"/>
      <c r="BM75" s="129"/>
    </row>
    <row r="76" spans="9:65" s="130" customFormat="1" ht="14.25" customHeight="1" x14ac:dyDescent="0.2">
      <c r="I76" s="131" t="s">
        <v>56</v>
      </c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3"/>
      <c r="Y76" s="156">
        <v>75</v>
      </c>
      <c r="Z76" s="157"/>
      <c r="AA76" s="157"/>
      <c r="AB76" s="157"/>
      <c r="AC76" s="157"/>
      <c r="AD76" s="157"/>
      <c r="AE76" s="158"/>
      <c r="AF76" s="136">
        <v>0</v>
      </c>
      <c r="AG76" s="132"/>
      <c r="AH76" s="132"/>
      <c r="AI76" s="132"/>
      <c r="AJ76" s="133"/>
      <c r="AK76" s="159">
        <v>0</v>
      </c>
      <c r="AL76" s="157"/>
      <c r="AM76" s="157"/>
      <c r="AN76" s="157"/>
      <c r="AO76" s="158"/>
      <c r="AP76" s="138">
        <v>3.36</v>
      </c>
      <c r="AQ76" s="132"/>
      <c r="AR76" s="132"/>
      <c r="AS76" s="132"/>
      <c r="AT76" s="132"/>
      <c r="AU76" s="132"/>
      <c r="AV76" s="133"/>
      <c r="AW76" s="160">
        <v>252</v>
      </c>
      <c r="AX76" s="157"/>
      <c r="AY76" s="157"/>
      <c r="AZ76" s="157"/>
      <c r="BA76" s="161"/>
      <c r="BG76" s="140">
        <f t="shared" si="0"/>
        <v>252</v>
      </c>
      <c r="BH76" s="140"/>
      <c r="BI76" s="140"/>
      <c r="BJ76" s="140">
        <v>0</v>
      </c>
      <c r="BL76" s="193"/>
      <c r="BM76" s="141"/>
    </row>
    <row r="77" spans="9:65" s="142" customFormat="1" ht="14.25" customHeight="1" x14ac:dyDescent="0.2">
      <c r="I77" s="143" t="s">
        <v>57</v>
      </c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5"/>
      <c r="Y77" s="146">
        <v>75</v>
      </c>
      <c r="Z77" s="147"/>
      <c r="AA77" s="147"/>
      <c r="AB77" s="147"/>
      <c r="AC77" s="147"/>
      <c r="AD77" s="147"/>
      <c r="AE77" s="148"/>
      <c r="AF77" s="149">
        <v>0</v>
      </c>
      <c r="AG77" s="144"/>
      <c r="AH77" s="144"/>
      <c r="AI77" s="144"/>
      <c r="AJ77" s="145"/>
      <c r="AK77" s="150">
        <v>0</v>
      </c>
      <c r="AL77" s="147"/>
      <c r="AM77" s="147"/>
      <c r="AN77" s="147"/>
      <c r="AO77" s="148"/>
      <c r="AP77" s="151">
        <v>11.22</v>
      </c>
      <c r="AQ77" s="144"/>
      <c r="AR77" s="144"/>
      <c r="AS77" s="144"/>
      <c r="AT77" s="144"/>
      <c r="AU77" s="144"/>
      <c r="AV77" s="145"/>
      <c r="AW77" s="152">
        <v>841.5</v>
      </c>
      <c r="AX77" s="147"/>
      <c r="AY77" s="147"/>
      <c r="AZ77" s="147"/>
      <c r="BA77" s="153"/>
      <c r="BG77" s="154">
        <f t="shared" si="0"/>
        <v>841.5</v>
      </c>
      <c r="BH77" s="154"/>
      <c r="BI77" s="154">
        <v>7.34</v>
      </c>
      <c r="BJ77" s="154">
        <f>Y77*BI77</f>
        <v>550.5</v>
      </c>
      <c r="BL77" s="191" t="s">
        <v>82</v>
      </c>
      <c r="BM77" s="155" t="s">
        <v>83</v>
      </c>
    </row>
    <row r="78" spans="9:65" s="130" customFormat="1" ht="14.25" customHeight="1" x14ac:dyDescent="0.2">
      <c r="I78" s="131" t="s">
        <v>58</v>
      </c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3"/>
      <c r="Y78" s="156">
        <v>600</v>
      </c>
      <c r="Z78" s="157"/>
      <c r="AA78" s="157"/>
      <c r="AB78" s="157"/>
      <c r="AC78" s="157"/>
      <c r="AD78" s="157"/>
      <c r="AE78" s="158"/>
      <c r="AF78" s="136">
        <v>0</v>
      </c>
      <c r="AG78" s="132"/>
      <c r="AH78" s="132"/>
      <c r="AI78" s="132"/>
      <c r="AJ78" s="133"/>
      <c r="AK78" s="159">
        <v>0</v>
      </c>
      <c r="AL78" s="157"/>
      <c r="AM78" s="157"/>
      <c r="AN78" s="157"/>
      <c r="AO78" s="158"/>
      <c r="AP78" s="138">
        <v>0.21</v>
      </c>
      <c r="AQ78" s="132"/>
      <c r="AR78" s="132"/>
      <c r="AS78" s="132"/>
      <c r="AT78" s="132"/>
      <c r="AU78" s="132"/>
      <c r="AV78" s="133"/>
      <c r="AW78" s="160">
        <v>126</v>
      </c>
      <c r="AX78" s="157"/>
      <c r="AY78" s="157"/>
      <c r="AZ78" s="157"/>
      <c r="BA78" s="161"/>
      <c r="BG78" s="140">
        <f t="shared" si="0"/>
        <v>126</v>
      </c>
      <c r="BH78" s="140"/>
      <c r="BI78" s="140"/>
      <c r="BJ78" s="140">
        <v>0</v>
      </c>
      <c r="BL78" s="193"/>
      <c r="BM78" s="141"/>
    </row>
    <row r="79" spans="9:65" s="142" customFormat="1" ht="14.25" customHeight="1" x14ac:dyDescent="0.2">
      <c r="I79" s="143" t="s">
        <v>59</v>
      </c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5"/>
      <c r="Y79" s="146">
        <v>75</v>
      </c>
      <c r="Z79" s="147"/>
      <c r="AA79" s="147"/>
      <c r="AB79" s="147"/>
      <c r="AC79" s="147"/>
      <c r="AD79" s="147"/>
      <c r="AE79" s="148"/>
      <c r="AF79" s="149">
        <v>0</v>
      </c>
      <c r="AG79" s="144"/>
      <c r="AH79" s="144"/>
      <c r="AI79" s="144"/>
      <c r="AJ79" s="145"/>
      <c r="AK79" s="150">
        <v>0</v>
      </c>
      <c r="AL79" s="147"/>
      <c r="AM79" s="147"/>
      <c r="AN79" s="147"/>
      <c r="AO79" s="148"/>
      <c r="AP79" s="151">
        <v>10.09</v>
      </c>
      <c r="AQ79" s="144"/>
      <c r="AR79" s="144"/>
      <c r="AS79" s="144"/>
      <c r="AT79" s="144"/>
      <c r="AU79" s="144"/>
      <c r="AV79" s="145"/>
      <c r="AW79" s="152">
        <v>756.75</v>
      </c>
      <c r="AX79" s="147"/>
      <c r="AY79" s="147"/>
      <c r="AZ79" s="147"/>
      <c r="BA79" s="153"/>
      <c r="BG79" s="154">
        <f t="shared" si="0"/>
        <v>756.75</v>
      </c>
      <c r="BH79" s="154"/>
      <c r="BI79" s="154">
        <v>7.49</v>
      </c>
      <c r="BJ79" s="154">
        <f>Y79*BI79</f>
        <v>561.75</v>
      </c>
      <c r="BL79" s="191" t="s">
        <v>84</v>
      </c>
      <c r="BM79" s="155" t="s">
        <v>83</v>
      </c>
    </row>
    <row r="80" spans="9:65" ht="14.25" customHeight="1" x14ac:dyDescent="0.2">
      <c r="I80" s="11" t="s">
        <v>60</v>
      </c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91"/>
      <c r="Y80" s="16">
        <v>150</v>
      </c>
      <c r="Z80" s="79"/>
      <c r="AA80" s="79"/>
      <c r="AB80" s="79"/>
      <c r="AC80" s="79"/>
      <c r="AD80" s="79"/>
      <c r="AE80" s="80"/>
      <c r="AF80" s="3">
        <v>0</v>
      </c>
      <c r="AG80" s="85"/>
      <c r="AH80" s="85"/>
      <c r="AI80" s="85"/>
      <c r="AJ80" s="91"/>
      <c r="AK80" s="17">
        <v>0</v>
      </c>
      <c r="AL80" s="79"/>
      <c r="AM80" s="79"/>
      <c r="AN80" s="79"/>
      <c r="AO80" s="80"/>
      <c r="AP80" s="12">
        <v>20.67</v>
      </c>
      <c r="AQ80" s="85"/>
      <c r="AR80" s="85"/>
      <c r="AS80" s="85"/>
      <c r="AT80" s="85"/>
      <c r="AU80" s="85"/>
      <c r="AV80" s="91"/>
      <c r="AW80" s="18">
        <v>3100.5</v>
      </c>
      <c r="AX80" s="79"/>
      <c r="AY80" s="79"/>
      <c r="AZ80" s="79"/>
      <c r="BA80" s="106"/>
      <c r="BG80" s="128">
        <f t="shared" si="0"/>
        <v>3100.5</v>
      </c>
      <c r="BH80" s="128"/>
      <c r="BI80" s="128"/>
      <c r="BJ80" s="128">
        <f t="shared" si="2"/>
        <v>3100.5000000000005</v>
      </c>
      <c r="BL80" s="192"/>
      <c r="BM80" s="129"/>
    </row>
    <row r="81" spans="4:65" s="142" customFormat="1" ht="14.25" customHeight="1" x14ac:dyDescent="0.2">
      <c r="I81" s="162" t="s">
        <v>61</v>
      </c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4"/>
      <c r="Y81" s="146">
        <v>150</v>
      </c>
      <c r="Z81" s="147"/>
      <c r="AA81" s="147"/>
      <c r="AB81" s="147"/>
      <c r="AC81" s="147"/>
      <c r="AD81" s="147"/>
      <c r="AE81" s="148"/>
      <c r="AF81" s="165">
        <v>0</v>
      </c>
      <c r="AG81" s="163"/>
      <c r="AH81" s="163"/>
      <c r="AI81" s="163"/>
      <c r="AJ81" s="164"/>
      <c r="AK81" s="150">
        <v>0</v>
      </c>
      <c r="AL81" s="147"/>
      <c r="AM81" s="147"/>
      <c r="AN81" s="147"/>
      <c r="AO81" s="148"/>
      <c r="AP81" s="166">
        <v>9.84</v>
      </c>
      <c r="AQ81" s="163"/>
      <c r="AR81" s="163"/>
      <c r="AS81" s="163"/>
      <c r="AT81" s="163"/>
      <c r="AU81" s="163"/>
      <c r="AV81" s="164"/>
      <c r="AW81" s="152">
        <v>1476</v>
      </c>
      <c r="AX81" s="147"/>
      <c r="AY81" s="147"/>
      <c r="AZ81" s="147"/>
      <c r="BA81" s="153"/>
      <c r="BG81" s="154">
        <f t="shared" si="0"/>
        <v>1476</v>
      </c>
      <c r="BH81" s="154"/>
      <c r="BI81" s="154">
        <v>8.25</v>
      </c>
      <c r="BJ81" s="154">
        <f>Y81*BI81</f>
        <v>1237.5</v>
      </c>
      <c r="BL81" s="191" t="s">
        <v>85</v>
      </c>
      <c r="BM81" s="155" t="s">
        <v>86</v>
      </c>
    </row>
    <row r="82" spans="4:65" s="142" customFormat="1" ht="14.25" customHeight="1" x14ac:dyDescent="0.2">
      <c r="I82" s="167" t="s">
        <v>62</v>
      </c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8"/>
      <c r="Y82" s="168">
        <v>75</v>
      </c>
      <c r="Z82" s="147"/>
      <c r="AA82" s="147"/>
      <c r="AB82" s="147"/>
      <c r="AC82" s="147"/>
      <c r="AD82" s="147"/>
      <c r="AE82" s="148"/>
      <c r="AF82" s="169">
        <v>0</v>
      </c>
      <c r="AG82" s="147"/>
      <c r="AH82" s="147"/>
      <c r="AI82" s="147"/>
      <c r="AJ82" s="148"/>
      <c r="AK82" s="169">
        <v>0</v>
      </c>
      <c r="AL82" s="147"/>
      <c r="AM82" s="147"/>
      <c r="AN82" s="147"/>
      <c r="AO82" s="148"/>
      <c r="AP82" s="170">
        <v>7.63</v>
      </c>
      <c r="AQ82" s="147"/>
      <c r="AR82" s="147"/>
      <c r="AS82" s="147"/>
      <c r="AT82" s="147"/>
      <c r="AU82" s="147"/>
      <c r="AV82" s="148"/>
      <c r="AW82" s="171">
        <v>572.25</v>
      </c>
      <c r="AX82" s="147"/>
      <c r="AY82" s="147"/>
      <c r="AZ82" s="147"/>
      <c r="BA82" s="153"/>
      <c r="BG82" s="154">
        <f t="shared" si="0"/>
        <v>572.25</v>
      </c>
      <c r="BH82" s="154"/>
      <c r="BI82" s="154"/>
      <c r="BJ82" s="154">
        <f>Y82*BI82</f>
        <v>0</v>
      </c>
      <c r="BL82" s="191"/>
      <c r="BM82" s="155"/>
    </row>
    <row r="83" spans="4:65" s="130" customFormat="1" ht="14.25" customHeight="1" x14ac:dyDescent="0.2">
      <c r="I83" s="172" t="s">
        <v>63</v>
      </c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8"/>
      <c r="Y83" s="173">
        <v>75</v>
      </c>
      <c r="Z83" s="157"/>
      <c r="AA83" s="157"/>
      <c r="AB83" s="157"/>
      <c r="AC83" s="157"/>
      <c r="AD83" s="157"/>
      <c r="AE83" s="158"/>
      <c r="AF83" s="174">
        <v>0</v>
      </c>
      <c r="AG83" s="157"/>
      <c r="AH83" s="157"/>
      <c r="AI83" s="157"/>
      <c r="AJ83" s="158"/>
      <c r="AK83" s="174">
        <v>0</v>
      </c>
      <c r="AL83" s="157"/>
      <c r="AM83" s="157"/>
      <c r="AN83" s="157"/>
      <c r="AO83" s="158"/>
      <c r="AP83" s="175">
        <v>1.24</v>
      </c>
      <c r="AQ83" s="157"/>
      <c r="AR83" s="157"/>
      <c r="AS83" s="157"/>
      <c r="AT83" s="157"/>
      <c r="AU83" s="157"/>
      <c r="AV83" s="158"/>
      <c r="AW83" s="176">
        <v>93</v>
      </c>
      <c r="AX83" s="177"/>
      <c r="AY83" s="177"/>
      <c r="AZ83" s="177"/>
      <c r="BA83" s="178"/>
      <c r="BG83" s="140">
        <f t="shared" si="0"/>
        <v>93</v>
      </c>
      <c r="BH83" s="140"/>
      <c r="BI83" s="140"/>
      <c r="BJ83" s="140"/>
      <c r="BL83" s="193"/>
      <c r="BM83" s="141"/>
    </row>
    <row r="84" spans="4:65" ht="14.25" customHeight="1" x14ac:dyDescent="0.2">
      <c r="I84" s="1" t="s">
        <v>64</v>
      </c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5"/>
      <c r="Y84" s="19">
        <v>300</v>
      </c>
      <c r="Z84" s="94"/>
      <c r="AA84" s="94"/>
      <c r="AB84" s="94"/>
      <c r="AC84" s="94"/>
      <c r="AD84" s="94"/>
      <c r="AE84" s="95"/>
      <c r="AF84" s="2">
        <v>0</v>
      </c>
      <c r="AG84" s="94"/>
      <c r="AH84" s="94"/>
      <c r="AI84" s="94"/>
      <c r="AJ84" s="95"/>
      <c r="AK84" s="2">
        <v>0</v>
      </c>
      <c r="AL84" s="94"/>
      <c r="AM84" s="94"/>
      <c r="AN84" s="94"/>
      <c r="AO84" s="95"/>
      <c r="AP84" s="4">
        <v>0.5</v>
      </c>
      <c r="AQ84" s="94"/>
      <c r="AR84" s="94"/>
      <c r="AS84" s="94"/>
      <c r="AT84" s="94"/>
      <c r="AU84" s="94"/>
      <c r="AV84" s="95"/>
      <c r="AW84" s="20">
        <v>150</v>
      </c>
      <c r="AX84" s="94"/>
      <c r="AY84" s="94"/>
      <c r="AZ84" s="94"/>
      <c r="BA84" s="107"/>
      <c r="BG84" s="128">
        <f t="shared" si="0"/>
        <v>150</v>
      </c>
      <c r="BH84" s="128"/>
      <c r="BI84" s="128"/>
      <c r="BJ84" s="128">
        <f t="shared" si="2"/>
        <v>150</v>
      </c>
      <c r="BL84" s="192"/>
      <c r="BM84" s="129"/>
    </row>
    <row r="85" spans="4:65" s="142" customFormat="1" ht="14.25" customHeight="1" x14ac:dyDescent="0.2">
      <c r="I85" s="167" t="s">
        <v>65</v>
      </c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80"/>
      <c r="Y85" s="168">
        <v>150</v>
      </c>
      <c r="Z85" s="179"/>
      <c r="AA85" s="179"/>
      <c r="AB85" s="179"/>
      <c r="AC85" s="179"/>
      <c r="AD85" s="179"/>
      <c r="AE85" s="180"/>
      <c r="AF85" s="169">
        <v>0</v>
      </c>
      <c r="AG85" s="179"/>
      <c r="AH85" s="179"/>
      <c r="AI85" s="179"/>
      <c r="AJ85" s="180"/>
      <c r="AK85" s="169">
        <v>0</v>
      </c>
      <c r="AL85" s="179"/>
      <c r="AM85" s="179"/>
      <c r="AN85" s="179"/>
      <c r="AO85" s="180"/>
      <c r="AP85" s="170">
        <v>11.31</v>
      </c>
      <c r="AQ85" s="179"/>
      <c r="AR85" s="179"/>
      <c r="AS85" s="179"/>
      <c r="AT85" s="179"/>
      <c r="AU85" s="179"/>
      <c r="AV85" s="180"/>
      <c r="AW85" s="171">
        <v>1696.5</v>
      </c>
      <c r="AX85" s="179"/>
      <c r="AY85" s="179"/>
      <c r="AZ85" s="179"/>
      <c r="BA85" s="180"/>
      <c r="BG85" s="154">
        <f t="shared" si="0"/>
        <v>1696.5</v>
      </c>
      <c r="BH85" s="154"/>
      <c r="BI85" s="154">
        <v>30.75</v>
      </c>
      <c r="BJ85" s="154">
        <f>Y85*BI85</f>
        <v>4612.5</v>
      </c>
      <c r="BL85" s="191" t="s">
        <v>87</v>
      </c>
      <c r="BM85" s="155" t="s">
        <v>88</v>
      </c>
    </row>
    <row r="86" spans="4:65" s="142" customFormat="1" ht="14.25" customHeight="1" x14ac:dyDescent="0.2">
      <c r="I86" s="167" t="s">
        <v>66</v>
      </c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80"/>
      <c r="Y86" s="168">
        <v>75</v>
      </c>
      <c r="Z86" s="179"/>
      <c r="AA86" s="179"/>
      <c r="AB86" s="179"/>
      <c r="AC86" s="179"/>
      <c r="AD86" s="179"/>
      <c r="AE86" s="180"/>
      <c r="AF86" s="169">
        <v>0</v>
      </c>
      <c r="AG86" s="179"/>
      <c r="AH86" s="179"/>
      <c r="AI86" s="179"/>
      <c r="AJ86" s="180"/>
      <c r="AK86" s="169">
        <v>0</v>
      </c>
      <c r="AL86" s="179"/>
      <c r="AM86" s="179"/>
      <c r="AN86" s="179"/>
      <c r="AO86" s="180"/>
      <c r="AP86" s="170">
        <v>11.95</v>
      </c>
      <c r="AQ86" s="179"/>
      <c r="AR86" s="179"/>
      <c r="AS86" s="179"/>
      <c r="AT86" s="179"/>
      <c r="AU86" s="179"/>
      <c r="AV86" s="180"/>
      <c r="AW86" s="171">
        <v>896.25</v>
      </c>
      <c r="AX86" s="179"/>
      <c r="AY86" s="179"/>
      <c r="AZ86" s="179"/>
      <c r="BA86" s="180"/>
      <c r="BG86" s="154">
        <f t="shared" si="0"/>
        <v>896.25</v>
      </c>
      <c r="BH86" s="154"/>
      <c r="BI86" s="154">
        <v>8.32</v>
      </c>
      <c r="BJ86" s="154">
        <f>Y86*BI86</f>
        <v>624</v>
      </c>
      <c r="BL86" s="191" t="s">
        <v>89</v>
      </c>
      <c r="BM86" s="155" t="s">
        <v>90</v>
      </c>
    </row>
    <row r="87" spans="4:65" ht="7.7" customHeight="1" x14ac:dyDescent="0.2">
      <c r="BG87" s="128"/>
      <c r="BH87" s="128"/>
      <c r="BI87" s="128"/>
      <c r="BJ87" s="128"/>
    </row>
    <row r="88" spans="4:65" s="21" customFormat="1" ht="13.5" customHeight="1" x14ac:dyDescent="0.2">
      <c r="AA88" s="23" t="s">
        <v>67</v>
      </c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181">
        <v>13721.29</v>
      </c>
      <c r="AT88" s="182"/>
      <c r="AU88" s="182"/>
      <c r="AV88" s="182"/>
      <c r="AW88" s="182"/>
      <c r="AX88" s="182"/>
      <c r="AY88" s="182"/>
      <c r="AZ88" s="182"/>
      <c r="BG88" s="183">
        <f>SUM(BG63:BG86)</f>
        <v>13721.29</v>
      </c>
      <c r="BH88" s="184"/>
      <c r="BI88" s="184"/>
      <c r="BJ88" s="185">
        <f>SUM(BJ63:BJ86)</f>
        <v>15039.204750000001</v>
      </c>
    </row>
    <row r="89" spans="4:65" ht="0.95" customHeight="1" x14ac:dyDescent="0.2">
      <c r="D89" s="71" t="s">
        <v>4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</row>
    <row r="90" spans="4:65" ht="0.6" customHeight="1" x14ac:dyDescent="0.2"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</row>
    <row r="91" spans="4:65" ht="348.75" customHeight="1" x14ac:dyDescent="0.2"/>
    <row r="92" spans="4:65" ht="1.5" customHeight="1" x14ac:dyDescent="0.2">
      <c r="F92" s="98" t="s">
        <v>4</v>
      </c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</row>
    <row r="93" spans="4:65" ht="12" customHeight="1" x14ac:dyDescent="0.2">
      <c r="AJ93" s="100" t="s">
        <v>68</v>
      </c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</row>
    <row r="94" spans="4:65" ht="33.75" customHeight="1" x14ac:dyDescent="0.2"/>
    <row r="95" spans="4:65" ht="22.7" customHeight="1" x14ac:dyDescent="0.2">
      <c r="P95" s="31" t="s">
        <v>69</v>
      </c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</row>
    <row r="96" spans="4:65" ht="0.95" customHeight="1" x14ac:dyDescent="0.2"/>
    <row r="97" spans="5:56" ht="14.85" customHeight="1" x14ac:dyDescent="0.2">
      <c r="E97" s="39" t="s">
        <v>3</v>
      </c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</row>
    <row r="98" spans="5:56" ht="0.6" customHeight="1" x14ac:dyDescent="0.2">
      <c r="E98" s="101" t="s">
        <v>4</v>
      </c>
      <c r="F98" s="43" t="s">
        <v>4</v>
      </c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</row>
    <row r="99" spans="5:56" ht="0.95" customHeight="1" x14ac:dyDescent="0.2"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</row>
    <row r="100" spans="5:56" ht="14.45" customHeight="1" x14ac:dyDescent="0.2"/>
    <row r="101" spans="5:56" ht="1.5" customHeight="1" x14ac:dyDescent="0.2">
      <c r="H101" s="98" t="s">
        <v>4</v>
      </c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</row>
    <row r="102" spans="5:56" ht="0.6" customHeight="1" x14ac:dyDescent="0.2"/>
    <row r="103" spans="5:56" ht="14.45" customHeight="1" x14ac:dyDescent="0.2">
      <c r="AG103" s="66" t="s">
        <v>70</v>
      </c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108">
        <v>0</v>
      </c>
      <c r="AU103" s="70"/>
      <c r="AV103" s="70"/>
      <c r="AW103" s="70"/>
      <c r="AX103" s="70"/>
      <c r="AY103" s="70"/>
      <c r="AZ103" s="70"/>
      <c r="BA103" s="70"/>
      <c r="BB103" s="70"/>
      <c r="BC103" s="70"/>
    </row>
    <row r="104" spans="5:56" ht="30.6" customHeight="1" x14ac:dyDescent="0.2"/>
    <row r="105" spans="5:56" ht="1.5" customHeight="1" x14ac:dyDescent="0.2">
      <c r="H105" s="109" t="s">
        <v>4</v>
      </c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</row>
    <row r="106" spans="5:56" ht="1.35" customHeight="1" x14ac:dyDescent="0.2"/>
    <row r="107" spans="5:56" ht="14.45" customHeight="1" x14ac:dyDescent="0.2">
      <c r="H107" s="66" t="s">
        <v>71</v>
      </c>
      <c r="I107" s="70"/>
      <c r="J107" s="70"/>
      <c r="K107" s="70"/>
      <c r="L107" s="70"/>
      <c r="M107" s="70"/>
      <c r="N107" s="70"/>
      <c r="O107" s="70"/>
    </row>
    <row r="108" spans="5:56" ht="5.85" customHeight="1" x14ac:dyDescent="0.2"/>
    <row r="109" spans="5:56" ht="14.1" customHeight="1" x14ac:dyDescent="0.2">
      <c r="M109" s="110" t="s">
        <v>72</v>
      </c>
      <c r="N109" s="111" t="s">
        <v>73</v>
      </c>
      <c r="O109" s="75"/>
      <c r="P109" s="75"/>
      <c r="Q109" s="75"/>
      <c r="R109" s="75"/>
      <c r="S109" s="103"/>
      <c r="T109" s="112" t="s">
        <v>74</v>
      </c>
      <c r="U109" s="75"/>
      <c r="V109" s="75"/>
      <c r="W109" s="75"/>
      <c r="X109" s="75"/>
      <c r="Y109" s="75"/>
      <c r="Z109" s="75"/>
      <c r="AA109" s="75"/>
      <c r="AB109" s="75"/>
      <c r="AC109" s="75"/>
      <c r="AD109" s="103"/>
      <c r="AE109" s="112" t="s">
        <v>75</v>
      </c>
      <c r="AF109" s="75"/>
      <c r="AG109" s="75"/>
      <c r="AH109" s="75"/>
      <c r="AI109" s="75"/>
      <c r="AJ109" s="75"/>
      <c r="AK109" s="75"/>
      <c r="AL109" s="75"/>
      <c r="AM109" s="76"/>
      <c r="AN109" s="113" t="s">
        <v>76</v>
      </c>
      <c r="AO109" s="75"/>
      <c r="AP109" s="75"/>
      <c r="AQ109" s="75"/>
      <c r="AR109" s="75"/>
      <c r="AS109" s="75"/>
      <c r="AT109" s="75"/>
      <c r="AU109" s="103"/>
      <c r="AV109" s="114" t="s">
        <v>77</v>
      </c>
      <c r="AW109" s="75"/>
      <c r="AX109" s="75"/>
      <c r="AY109" s="75"/>
      <c r="AZ109" s="75"/>
      <c r="BA109" s="75"/>
      <c r="BB109" s="75"/>
      <c r="BC109" s="75"/>
    </row>
    <row r="110" spans="5:56" ht="0.6" customHeight="1" x14ac:dyDescent="0.2">
      <c r="M110" s="115"/>
      <c r="N110" s="116">
        <f>BJ88</f>
        <v>15039.204750000001</v>
      </c>
      <c r="O110" s="117"/>
      <c r="P110" s="117"/>
      <c r="Q110" s="117"/>
      <c r="R110" s="117"/>
      <c r="S110" s="118"/>
      <c r="T110" s="116">
        <v>0</v>
      </c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8"/>
      <c r="AE110" s="116">
        <v>0</v>
      </c>
      <c r="AF110" s="117"/>
      <c r="AG110" s="117"/>
      <c r="AH110" s="117"/>
      <c r="AI110" s="117"/>
      <c r="AJ110" s="117"/>
      <c r="AK110" s="117"/>
      <c r="AL110" s="117"/>
      <c r="AM110" s="118"/>
      <c r="AN110" s="116">
        <v>0</v>
      </c>
      <c r="AO110" s="117"/>
      <c r="AP110" s="117"/>
      <c r="AQ110" s="117"/>
      <c r="AR110" s="117"/>
      <c r="AS110" s="117"/>
      <c r="AT110" s="117"/>
      <c r="AU110" s="118"/>
      <c r="AV110" s="119">
        <f>M111+N110</f>
        <v>30778.264750000002</v>
      </c>
      <c r="AW110" s="117"/>
      <c r="AX110" s="117"/>
      <c r="AY110" s="117"/>
      <c r="AZ110" s="117"/>
      <c r="BA110" s="117"/>
      <c r="BB110" s="117"/>
      <c r="BC110" s="118"/>
    </row>
    <row r="111" spans="5:56" ht="14.1" customHeight="1" x14ac:dyDescent="0.2">
      <c r="M111" s="120">
        <v>15739.06</v>
      </c>
      <c r="N111" s="121"/>
      <c r="O111" s="122"/>
      <c r="P111" s="122"/>
      <c r="Q111" s="122"/>
      <c r="R111" s="122"/>
      <c r="S111" s="123"/>
      <c r="T111" s="121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3"/>
      <c r="AE111" s="121"/>
      <c r="AF111" s="122"/>
      <c r="AG111" s="122"/>
      <c r="AH111" s="122"/>
      <c r="AI111" s="122"/>
      <c r="AJ111" s="122"/>
      <c r="AK111" s="122"/>
      <c r="AL111" s="122"/>
      <c r="AM111" s="123"/>
      <c r="AN111" s="121"/>
      <c r="AO111" s="122"/>
      <c r="AP111" s="122"/>
      <c r="AQ111" s="122"/>
      <c r="AR111" s="122"/>
      <c r="AS111" s="122"/>
      <c r="AT111" s="122"/>
      <c r="AU111" s="123"/>
      <c r="AV111" s="121"/>
      <c r="AW111" s="122"/>
      <c r="AX111" s="122"/>
      <c r="AY111" s="122"/>
      <c r="AZ111" s="122"/>
      <c r="BA111" s="122"/>
      <c r="BB111" s="122"/>
      <c r="BC111" s="123"/>
    </row>
    <row r="112" spans="5:56" ht="408.95" customHeight="1" x14ac:dyDescent="0.2"/>
    <row r="113" spans="9:55" ht="218.25" customHeight="1" x14ac:dyDescent="0.2"/>
    <row r="114" spans="9:55" ht="1.7" customHeight="1" x14ac:dyDescent="0.2">
      <c r="I114" s="124" t="s">
        <v>4</v>
      </c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</row>
    <row r="115" spans="9:55" ht="12.2" customHeight="1" x14ac:dyDescent="0.2">
      <c r="AO115" s="125" t="s">
        <v>78</v>
      </c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</row>
    <row r="116" spans="9:55" ht="14.25" customHeight="1" x14ac:dyDescent="0.2"/>
  </sheetData>
  <mergeCells count="287">
    <mergeCell ref="I114:BC114"/>
    <mergeCell ref="AO115:BC115"/>
    <mergeCell ref="AV109:BC109"/>
    <mergeCell ref="N110:S111"/>
    <mergeCell ref="T110:AD111"/>
    <mergeCell ref="AE110:AM111"/>
    <mergeCell ref="AN110:AU111"/>
    <mergeCell ref="AV110:BC111"/>
    <mergeCell ref="AG103:AS103"/>
    <mergeCell ref="AT103:BC103"/>
    <mergeCell ref="H105:BB105"/>
    <mergeCell ref="H107:O107"/>
    <mergeCell ref="M109:M110"/>
    <mergeCell ref="N109:S109"/>
    <mergeCell ref="T109:AD109"/>
    <mergeCell ref="AE109:AM109"/>
    <mergeCell ref="AN109:AU109"/>
    <mergeCell ref="AA88:AR88"/>
    <mergeCell ref="AS88:AZ88"/>
    <mergeCell ref="D89:BD90"/>
    <mergeCell ref="F92:BD92"/>
    <mergeCell ref="AJ93:BB93"/>
    <mergeCell ref="P95:BC95"/>
    <mergeCell ref="E97:U97"/>
    <mergeCell ref="F98:BD99"/>
    <mergeCell ref="H101:BB101"/>
    <mergeCell ref="I85:X85"/>
    <mergeCell ref="Y85:AE85"/>
    <mergeCell ref="AF85:AJ85"/>
    <mergeCell ref="AK85:AO85"/>
    <mergeCell ref="AP85:AV85"/>
    <mergeCell ref="AW85:BA85"/>
    <mergeCell ref="I86:X86"/>
    <mergeCell ref="Y86:AE86"/>
    <mergeCell ref="AF86:AJ86"/>
    <mergeCell ref="AK86:AO86"/>
    <mergeCell ref="AP86:AV86"/>
    <mergeCell ref="AW86:BA86"/>
    <mergeCell ref="I83:X83"/>
    <mergeCell ref="Y83:AE83"/>
    <mergeCell ref="AF83:AJ83"/>
    <mergeCell ref="AK83:AO83"/>
    <mergeCell ref="AP83:AV83"/>
    <mergeCell ref="AW83:BA83"/>
    <mergeCell ref="I84:X84"/>
    <mergeCell ref="Y84:AE84"/>
    <mergeCell ref="AF84:AJ84"/>
    <mergeCell ref="AK84:AO84"/>
    <mergeCell ref="AP84:AV84"/>
    <mergeCell ref="AW84:BA84"/>
    <mergeCell ref="I81:X81"/>
    <mergeCell ref="Y81:AE81"/>
    <mergeCell ref="AF81:AJ81"/>
    <mergeCell ref="AK81:AO81"/>
    <mergeCell ref="AP81:AV81"/>
    <mergeCell ref="AW81:BA81"/>
    <mergeCell ref="I82:X82"/>
    <mergeCell ref="Y82:AE82"/>
    <mergeCell ref="AF82:AJ82"/>
    <mergeCell ref="AK82:AO82"/>
    <mergeCell ref="AP82:AV82"/>
    <mergeCell ref="AW82:BA82"/>
    <mergeCell ref="I79:X79"/>
    <mergeCell ref="Y79:AE79"/>
    <mergeCell ref="AF79:AJ79"/>
    <mergeCell ref="AK79:AO79"/>
    <mergeCell ref="AP79:AV79"/>
    <mergeCell ref="AW79:BA79"/>
    <mergeCell ref="I80:X80"/>
    <mergeCell ref="Y80:AE80"/>
    <mergeCell ref="AF80:AJ80"/>
    <mergeCell ref="AK80:AO80"/>
    <mergeCell ref="AP80:AV80"/>
    <mergeCell ref="AW80:BA80"/>
    <mergeCell ref="I77:X77"/>
    <mergeCell ref="Y77:AE77"/>
    <mergeCell ref="AF77:AJ77"/>
    <mergeCell ref="AK77:AO77"/>
    <mergeCell ref="AP77:AV77"/>
    <mergeCell ref="AW77:BA77"/>
    <mergeCell ref="I78:X78"/>
    <mergeCell ref="Y78:AE78"/>
    <mergeCell ref="AF78:AJ78"/>
    <mergeCell ref="AK78:AO78"/>
    <mergeCell ref="AP78:AV78"/>
    <mergeCell ref="AW78:BA78"/>
    <mergeCell ref="I75:X75"/>
    <mergeCell ref="Y75:AE75"/>
    <mergeCell ref="AF75:AJ75"/>
    <mergeCell ref="AK75:AO75"/>
    <mergeCell ref="AP75:AV75"/>
    <mergeCell ref="AW75:BA75"/>
    <mergeCell ref="I76:X76"/>
    <mergeCell ref="Y76:AE76"/>
    <mergeCell ref="AF76:AJ76"/>
    <mergeCell ref="AK76:AO76"/>
    <mergeCell ref="AP76:AV76"/>
    <mergeCell ref="AW76:BA76"/>
    <mergeCell ref="I73:X73"/>
    <mergeCell ref="Y73:AE73"/>
    <mergeCell ref="AF73:AJ73"/>
    <mergeCell ref="AK73:AO73"/>
    <mergeCell ref="AP73:AV73"/>
    <mergeCell ref="AW73:BA73"/>
    <mergeCell ref="I74:X74"/>
    <mergeCell ref="Y74:AE74"/>
    <mergeCell ref="AF74:AJ74"/>
    <mergeCell ref="AK74:AO74"/>
    <mergeCell ref="AP74:AV74"/>
    <mergeCell ref="AW74:BA74"/>
    <mergeCell ref="I71:X71"/>
    <mergeCell ref="Y71:AE71"/>
    <mergeCell ref="AF71:AJ71"/>
    <mergeCell ref="AK71:AO71"/>
    <mergeCell ref="AP71:AV71"/>
    <mergeCell ref="AW71:BA71"/>
    <mergeCell ref="I72:X72"/>
    <mergeCell ref="Y72:AE72"/>
    <mergeCell ref="AF72:AJ72"/>
    <mergeCell ref="AK72:AO72"/>
    <mergeCell ref="AP72:AV72"/>
    <mergeCell ref="AW72:BA72"/>
    <mergeCell ref="I69:X69"/>
    <mergeCell ref="Y69:AE69"/>
    <mergeCell ref="AF69:AJ69"/>
    <mergeCell ref="AK69:AO69"/>
    <mergeCell ref="AP69:AV69"/>
    <mergeCell ref="AW69:BA69"/>
    <mergeCell ref="I70:X70"/>
    <mergeCell ref="Y70:AE70"/>
    <mergeCell ref="AF70:AJ70"/>
    <mergeCell ref="AK70:AO70"/>
    <mergeCell ref="AP70:AV70"/>
    <mergeCell ref="AW70:BA70"/>
    <mergeCell ref="I67:X67"/>
    <mergeCell ref="Y67:AE67"/>
    <mergeCell ref="AF67:AJ67"/>
    <mergeCell ref="AK67:AO67"/>
    <mergeCell ref="AP67:AV67"/>
    <mergeCell ref="AW67:BA67"/>
    <mergeCell ref="I68:X68"/>
    <mergeCell ref="Y68:AE68"/>
    <mergeCell ref="AF68:AJ68"/>
    <mergeCell ref="AK68:AO68"/>
    <mergeCell ref="AP68:AV68"/>
    <mergeCell ref="AW68:BA68"/>
    <mergeCell ref="I65:X65"/>
    <mergeCell ref="Y65:AE65"/>
    <mergeCell ref="AF65:AJ65"/>
    <mergeCell ref="AK65:AO65"/>
    <mergeCell ref="AP65:AV65"/>
    <mergeCell ref="AW65:BA65"/>
    <mergeCell ref="I66:X66"/>
    <mergeCell ref="Y66:AE66"/>
    <mergeCell ref="AF66:AJ66"/>
    <mergeCell ref="AK66:AO66"/>
    <mergeCell ref="AP66:AV66"/>
    <mergeCell ref="AW66:BA66"/>
    <mergeCell ref="I63:X63"/>
    <mergeCell ref="Y63:AE63"/>
    <mergeCell ref="AF63:AJ63"/>
    <mergeCell ref="AK63:AO63"/>
    <mergeCell ref="AP63:AV63"/>
    <mergeCell ref="AW63:BA63"/>
    <mergeCell ref="I64:X64"/>
    <mergeCell ref="Y64:AE64"/>
    <mergeCell ref="AF64:AJ64"/>
    <mergeCell ref="AK64:AO64"/>
    <mergeCell ref="AP64:AV64"/>
    <mergeCell ref="AW64:BA64"/>
    <mergeCell ref="A52:BF52"/>
    <mergeCell ref="AL53:BF53"/>
    <mergeCell ref="P55:BC55"/>
    <mergeCell ref="B57:Y57"/>
    <mergeCell ref="C58:BC59"/>
    <mergeCell ref="I61:X61"/>
    <mergeCell ref="Y61:AE61"/>
    <mergeCell ref="AF61:AJ61"/>
    <mergeCell ref="AK61:AO61"/>
    <mergeCell ref="AP61:AV61"/>
    <mergeCell ref="AW61:BA61"/>
    <mergeCell ref="U46:AG46"/>
    <mergeCell ref="AI46:AP46"/>
    <mergeCell ref="AQ46:AX46"/>
    <mergeCell ref="AY46:BE46"/>
    <mergeCell ref="A48:BF48"/>
    <mergeCell ref="X50:AG50"/>
    <mergeCell ref="AI50:AP50"/>
    <mergeCell ref="AQ50:AX50"/>
    <mergeCell ref="AY50:BE50"/>
    <mergeCell ref="B40:K40"/>
    <mergeCell ref="L40:Q40"/>
    <mergeCell ref="S40:V40"/>
    <mergeCell ref="W40:AB40"/>
    <mergeCell ref="AC40:AH40"/>
    <mergeCell ref="AI40:AP40"/>
    <mergeCell ref="AQ40:AX40"/>
    <mergeCell ref="AY40:BE40"/>
    <mergeCell ref="Z42:AG42"/>
    <mergeCell ref="AI42:AP43"/>
    <mergeCell ref="AQ42:AX43"/>
    <mergeCell ref="AY42:BE42"/>
    <mergeCell ref="A43:AH44"/>
    <mergeCell ref="AY43:BF44"/>
    <mergeCell ref="AI44:AX44"/>
    <mergeCell ref="Z35:AG35"/>
    <mergeCell ref="AI35:AP36"/>
    <mergeCell ref="AQ35:AX36"/>
    <mergeCell ref="AY35:BE35"/>
    <mergeCell ref="A36:AH37"/>
    <mergeCell ref="AY36:BF37"/>
    <mergeCell ref="AI37:AX37"/>
    <mergeCell ref="B33:K33"/>
    <mergeCell ref="K39:AL39"/>
    <mergeCell ref="B32:K32"/>
    <mergeCell ref="L32:Q32"/>
    <mergeCell ref="S32:V32"/>
    <mergeCell ref="W32:AB32"/>
    <mergeCell ref="AC32:AH32"/>
    <mergeCell ref="AI32:AP32"/>
    <mergeCell ref="AQ32:AX32"/>
    <mergeCell ref="AY32:BE32"/>
    <mergeCell ref="L33:Q33"/>
    <mergeCell ref="S33:V33"/>
    <mergeCell ref="W33:AB33"/>
    <mergeCell ref="AC33:AH33"/>
    <mergeCell ref="AI33:AP33"/>
    <mergeCell ref="AQ33:AX33"/>
    <mergeCell ref="AY33:BE33"/>
    <mergeCell ref="Z26:AG26"/>
    <mergeCell ref="AI26:AP27"/>
    <mergeCell ref="AQ26:AX27"/>
    <mergeCell ref="AY26:BE26"/>
    <mergeCell ref="A27:AH28"/>
    <mergeCell ref="AY27:BF28"/>
    <mergeCell ref="AI28:AX28"/>
    <mergeCell ref="K30:AL30"/>
    <mergeCell ref="B31:K31"/>
    <mergeCell ref="L31:Q31"/>
    <mergeCell ref="S31:V31"/>
    <mergeCell ref="W31:AB31"/>
    <mergeCell ref="AC31:AH31"/>
    <mergeCell ref="AI31:AP31"/>
    <mergeCell ref="AY31:BE31"/>
    <mergeCell ref="AQ31:AX31"/>
    <mergeCell ref="Z19:AG19"/>
    <mergeCell ref="AI19:AP20"/>
    <mergeCell ref="AQ19:AX20"/>
    <mergeCell ref="AY19:BE19"/>
    <mergeCell ref="A20:AH21"/>
    <mergeCell ref="AY20:BF21"/>
    <mergeCell ref="AI21:AX21"/>
    <mergeCell ref="K23:AL23"/>
    <mergeCell ref="B24:K24"/>
    <mergeCell ref="L24:Q24"/>
    <mergeCell ref="S24:V24"/>
    <mergeCell ref="W24:AB24"/>
    <mergeCell ref="AC24:AH24"/>
    <mergeCell ref="AI24:AP24"/>
    <mergeCell ref="AQ24:AX24"/>
    <mergeCell ref="AY24:BE24"/>
    <mergeCell ref="J14:AY14"/>
    <mergeCell ref="K16:AL16"/>
    <mergeCell ref="B17:K17"/>
    <mergeCell ref="L17:Q17"/>
    <mergeCell ref="S17:V17"/>
    <mergeCell ref="W17:AB17"/>
    <mergeCell ref="AC17:AH17"/>
    <mergeCell ref="AI17:AP17"/>
    <mergeCell ref="AQ17:AX17"/>
    <mergeCell ref="AY17:BE17"/>
    <mergeCell ref="F1:N2"/>
    <mergeCell ref="Q2:BD3"/>
    <mergeCell ref="F3:N5"/>
    <mergeCell ref="O5:AA7"/>
    <mergeCell ref="G6:N7"/>
    <mergeCell ref="AU7:BC7"/>
    <mergeCell ref="F8:BD9"/>
    <mergeCell ref="AU10:BC10"/>
    <mergeCell ref="B12:K12"/>
    <mergeCell ref="L12:Q12"/>
    <mergeCell ref="S12:V12"/>
    <mergeCell ref="W12:AB12"/>
    <mergeCell ref="AC12:AH12"/>
    <mergeCell ref="AI12:AP12"/>
    <mergeCell ref="AQ12:AX12"/>
    <mergeCell ref="AY12:BE12"/>
  </mergeCells>
  <pageMargins left="0.25277777777777777" right="0.25277777777777777" top="0.25277777777777777" bottom="0.25277777777777777" header="0.3" footer="0.3"/>
  <pageSetup paperSize="9" orientation="portrait" r:id="rId1"/>
  <rowBreaks count="3" manualBreakCount="3">
    <brk id="54" max="16383" man="1"/>
    <brk id="94" max="16383" man="1"/>
    <brk id="1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A491-4119-4B3A-8F9C-64DA73F1E0C6}">
  <dimension ref="A2:K13"/>
  <sheetViews>
    <sheetView workbookViewId="0">
      <selection activeCell="K12" sqref="K12"/>
    </sheetView>
  </sheetViews>
  <sheetFormatPr baseColWidth="10" defaultRowHeight="15.75" x14ac:dyDescent="0.25"/>
  <cols>
    <col min="1" max="1" width="11.42578125" style="187"/>
    <col min="2" max="2" width="13.140625" style="187" bestFit="1" customWidth="1"/>
    <col min="3" max="3" width="15.5703125" style="187" customWidth="1"/>
    <col min="4" max="9" width="11.42578125" style="187"/>
    <col min="10" max="10" width="13.140625" style="187" bestFit="1" customWidth="1"/>
    <col min="11" max="11" width="12" style="187" bestFit="1" customWidth="1"/>
    <col min="12" max="16384" width="11.42578125" style="187"/>
  </cols>
  <sheetData>
    <row r="2" spans="1:11" x14ac:dyDescent="0.25">
      <c r="B2" s="186">
        <v>15739.06</v>
      </c>
      <c r="C2" s="187" t="s">
        <v>92</v>
      </c>
    </row>
    <row r="3" spans="1:11" x14ac:dyDescent="0.25">
      <c r="B3" s="186">
        <v>14603.83</v>
      </c>
      <c r="C3" s="187" t="s">
        <v>93</v>
      </c>
    </row>
    <row r="4" spans="1:11" x14ac:dyDescent="0.25">
      <c r="B4" s="186">
        <v>1875</v>
      </c>
      <c r="C4" s="187" t="s">
        <v>91</v>
      </c>
    </row>
    <row r="5" spans="1:11" x14ac:dyDescent="0.25">
      <c r="B5" s="186">
        <v>445</v>
      </c>
      <c r="C5" s="187" t="s">
        <v>94</v>
      </c>
    </row>
    <row r="6" spans="1:11" x14ac:dyDescent="0.25">
      <c r="B6" s="186">
        <f>SUM(B2:B5)</f>
        <v>32662.89</v>
      </c>
    </row>
    <row r="10" spans="1:11" s="188" customFormat="1" x14ac:dyDescent="0.25">
      <c r="B10" s="188" t="s">
        <v>103</v>
      </c>
      <c r="C10" s="188" t="s">
        <v>104</v>
      </c>
      <c r="E10" s="188" t="s">
        <v>102</v>
      </c>
      <c r="G10" s="188" t="s">
        <v>98</v>
      </c>
      <c r="H10" s="188" t="s">
        <v>99</v>
      </c>
      <c r="I10" s="188" t="s">
        <v>97</v>
      </c>
      <c r="J10" s="188" t="s">
        <v>106</v>
      </c>
      <c r="K10" s="188" t="s">
        <v>105</v>
      </c>
    </row>
    <row r="11" spans="1:11" x14ac:dyDescent="0.25">
      <c r="A11" s="187" t="s">
        <v>100</v>
      </c>
      <c r="B11" s="187">
        <v>15</v>
      </c>
      <c r="C11" s="188" t="s">
        <v>95</v>
      </c>
      <c r="E11" s="187">
        <v>60</v>
      </c>
      <c r="G11" s="189">
        <f>1.725*1.65</f>
        <v>2.8462499999999999</v>
      </c>
      <c r="H11" s="187">
        <f>E11*G11</f>
        <v>170.77500000000001</v>
      </c>
      <c r="I11" s="187">
        <f>H11/H13</f>
        <v>0.82634730538922163</v>
      </c>
      <c r="J11" s="190">
        <f>B6*I11</f>
        <v>26990.891137724553</v>
      </c>
      <c r="K11" s="190">
        <f>J11/B11</f>
        <v>1799.3927425149702</v>
      </c>
    </row>
    <row r="12" spans="1:11" x14ac:dyDescent="0.25">
      <c r="A12" s="187" t="s">
        <v>101</v>
      </c>
      <c r="B12" s="187">
        <v>15</v>
      </c>
      <c r="C12" s="188" t="s">
        <v>96</v>
      </c>
      <c r="E12" s="187">
        <v>15</v>
      </c>
      <c r="G12" s="189">
        <f>1.45*1.65</f>
        <v>2.3924999999999996</v>
      </c>
      <c r="H12" s="187">
        <f>G12*E12</f>
        <v>35.887499999999996</v>
      </c>
      <c r="I12" s="187">
        <f>H12/H13</f>
        <v>0.17365269461077842</v>
      </c>
      <c r="J12" s="190">
        <f>B6*I12</f>
        <v>5671.9988622754481</v>
      </c>
      <c r="K12" s="190">
        <f>J12/B12</f>
        <v>378.1332574850299</v>
      </c>
    </row>
    <row r="13" spans="1:11" x14ac:dyDescent="0.25">
      <c r="E13" s="187">
        <v>75</v>
      </c>
      <c r="H13" s="187">
        <f>SUM(H11:H12)</f>
        <v>206.66249999999999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 Ribas</dc:creator>
  <cp:lastModifiedBy>Jose Manuel Gomez Ribas</cp:lastModifiedBy>
  <dcterms:created xsi:type="dcterms:W3CDTF">2025-03-14T10:36:13Z</dcterms:created>
  <dcterms:modified xsi:type="dcterms:W3CDTF">2025-03-14T11:45:21Z</dcterms:modified>
</cp:coreProperties>
</file>