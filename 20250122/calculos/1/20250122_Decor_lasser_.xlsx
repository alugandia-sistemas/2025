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22\calculos\1\"/>
    </mc:Choice>
  </mc:AlternateContent>
  <xr:revisionPtr revIDLastSave="0" documentId="13_ncr:1_{7344D264-6F86-4D1C-A967-7B1ED7133334}" xr6:coauthVersionLast="47" xr6:coauthVersionMax="47" xr10:uidLastSave="{00000000-0000-0000-0000-000000000000}"/>
  <bookViews>
    <workbookView xWindow="14430" yWindow="0" windowWidth="14475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l="1"/>
  <c r="G3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<sst xmlns="http://schemas.openxmlformats.org/spreadsheetml/2006/main" count="5403" uniqueCount="1454">
  <si>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</si>
  <si>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</si>
  <si>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</si>
  <si>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</si>
  <si>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</si>
  <si>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</si>
  <si>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</si>
  <si>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</si>
  <si>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</si>
  <si>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</si>
  <si>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</si>
  <si>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</si>
  <si>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</si>
  <si>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</si>
  <si>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</si>
  <si>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</si>
  <si>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</si>
  <si>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</si>
  <si>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</si>
  <si>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</si>
  <si>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</si>
  <si>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</si>
  <si>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</si>
  <si>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</si>
  <si>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</si>
  <si>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</si>
  <si>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</si>
  <si>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</si>
  <si>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</si>
  <si>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</si>
  <si>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</si>
  <si>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</si>
  <si>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</si>
  <si>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</si>
  <si>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</si>
  <si>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</si>
  <si>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</si>
  <si>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</si>
  <si>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</si>
  <si>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</si>
  <si>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</si>
  <si>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</si>
  <si>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</si>
  <si>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</si>
  <si>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</si>
  <si>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</si>
  <si>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</si>
  <si>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</si>
  <si>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</si>
  <si>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</si>
  <si>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</si>
  <si>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</si>
  <si>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</si>
  <si>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</si>
  <si>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</si>
  <si>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</si>
  <si>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</si>
  <si>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</si>
  <si>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</si>
  <si>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</si>
  <si>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</si>
  <si>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</si>
  <si>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</si>
  <si>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</si>
  <si>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</si>
  <si>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</si>
  <si>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</si>
  <si>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</si>
  <si>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</si>
  <si>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</si>
  <si>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</si>
  <si>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</si>
  <si>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</si>
  <si>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</si>
  <si>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</si>
  <si>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</si>
  <si>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</si>
  <si>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</si>
  <si>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</si>
  <si>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</si>
  <si>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</si>
  <si>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</si>
  <si>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</si>
  <si>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</si>
  <si>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</si>
  <si>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</si>
  <si>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</si>
  <si>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</si>
  <si>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</si>
  <si>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</si>
  <si>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</si>
  <si>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</si>
  <si>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</si>
  <si>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</si>
  <si>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</si>
  <si>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</si>
  <si>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</si>
  <si>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</si>
  <si>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</si>
  <si>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</si>
  <si>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</si>
  <si>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</si>
  <si>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</si>
  <si>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</si>
  <si>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</si>
  <si>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</si>
  <si>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</si>
  <si>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</si>
  <si>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</si>
  <si>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</si>
  <si>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</si>
  <si>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</si>
  <si>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</si>
  <si>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</si>
  <si>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</si>
  <si>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</si>
  <si>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</si>
  <si>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</si>
  <si>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</si>
  <si>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</si>
  <si>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</si>
  <si>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</si>
  <si>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</si>
  <si>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</si>
  <si>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</si>
  <si>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</si>
  <si>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</si>
  <si>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</si>
  <si>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</si>
  <si>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</si>
  <si>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</si>
  <si>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</si>
  <si>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</si>
  <si>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</si>
  <si>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</si>
  <si>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</si>
  <si>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</si>
  <si>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</si>
  <si>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</si>
  <si>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</si>
  <si>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</si>
  <si>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</si>
  <si>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</si>
  <si>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</si>
  <si>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</si>
  <si>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</si>
  <si>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</si>
  <si>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</si>
  <si>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</si>
  <si>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</si>
  <si>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</si>
  <si>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</si>
  <si>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</si>
  <si>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</si>
  <si>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</si>
  <si>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</si>
  <si>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</si>
  <si>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</si>
  <si>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</si>
  <si>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</si>
  <si>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</si>
  <si>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</si>
  <si>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</si>
  <si>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</si>
  <si>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</si>
  <si>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</si>
  <si>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</si>
  <si>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</si>
  <si>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</si>
  <si>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</si>
  <si>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</si>
  <si>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</si>
  <si>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</si>
  <si>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</si>
  <si>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</si>
  <si>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</si>
  <si>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</si>
  <si>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</si>
  <si>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</si>
  <si>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</si>
  <si>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</si>
  <si>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</si>
  <si>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</si>
  <si>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</si>
  <si>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</si>
  <si>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</si>
  <si>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</si>
  <si>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</si>
  <si>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</si>
  <si>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</si>
  <si>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</si>
  <si>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</si>
  <si>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</si>
  <si>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</si>
  <si>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</si>
  <si>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</si>
  <si>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</si>
  <si>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</si>
  <si>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</si>
  <si>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</si>
  <si>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</si>
  <si>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</si>
  <si>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</si>
  <si>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</si>
  <si>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</si>
  <si>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</si>
  <si>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</si>
  <si>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</si>
  <si>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</si>
  <si>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</si>
  <si>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</si>
  <si>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</si>
  <si>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</si>
  <si>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</si>
  <si>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</si>
  <si>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</si>
  <si>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</si>
  <si>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</si>
  <si>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</si>
  <si>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</si>
  <si>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</si>
  <si>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</si>
  <si>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</si>
  <si>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</si>
  <si>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</si>
  <si>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</si>
  <si>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</si>
  <si>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</si>
  <si>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</si>
  <si>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</si>
  <si>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</si>
  <si>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</si>
  <si>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</si>
  <si>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</si>
  <si>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</si>
  <si>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</si>
  <si>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</si>
  <si>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</si>
  <si>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</si>
  <si>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</si>
  <si>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</si>
  <si>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</si>
  <si>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</si>
  <si>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</si>
  <si>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</si>
  <si>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</si>
  <si>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</si>
  <si>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</si>
  <si>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</si>
  <si>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</si>
  <si>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</si>
  <si>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</si>
  <si>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</si>
  <si>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</si>
  <si>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</si>
  <si>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</si>
  <si>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</si>
  <si>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</si>
  <si>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</si>
  <si>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</si>
  <si>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</si>
  <si>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</si>
  <si>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</si>
  <si>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</si>
  <si>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</si>
  <si>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</si>
  <si>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</si>
  <si>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</si>
  <si>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</si>
  <si>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</si>
  <si>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</si>
  <si>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</si>
  <si>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</si>
  <si>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</si>
  <si>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</si>
  <si>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</si>
  <si>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</si>
  <si>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</si>
  <si>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</si>
  <si>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</si>
  <si>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</si>
  <si>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</si>
  <si>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</si>
  <si>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</si>
  <si>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</si>
  <si>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</si>
  <si>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</si>
  <si>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</si>
  <si>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</si>
  <si>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</si>
  <si>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</si>
  <si>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</si>
  <si>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</si>
  <si>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</si>
  <si>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</si>
  <si>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</si>
  <si>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</si>
  <si>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</si>
  <si>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</si>
  <si>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</si>
  <si>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</si>
  <si>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</si>
  <si>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</si>
  <si>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</si>
  <si>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</si>
  <si>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</si>
  <si>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</si>
  <si>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</si>
  <si>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</si>
  <si>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</si>
  <si>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</si>
  <si>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</si>
  <si>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</si>
  <si>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</si>
  <si>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</si>
  <si>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</si>
  <si>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</si>
  <si>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</si>
  <si>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</si>
  <si>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</si>
  <si>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</si>
  <si>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</si>
  <si>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</si>
  <si>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</si>
  <si>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</si>
  <si>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</si>
  <si>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</si>
  <si>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</si>
  <si>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</si>
  <si>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</si>
  <si>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</si>
  <si>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</si>
  <si>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</si>
  <si>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</si>
  <si>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</si>
  <si>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</si>
  <si>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</si>
  <si>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</si>
  <si>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</si>
  <si>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</si>
  <si>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</si>
  <si>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</si>
  <si>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</si>
  <si>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</si>
  <si>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</si>
  <si>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</si>
  <si>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</si>
  <si>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</si>
  <si>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</si>
  <si>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</si>
  <si>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</si>
  <si>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</si>
  <si>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</si>
  <si>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</si>
  <si>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</si>
  <si>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</si>
  <si>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</si>
  <si>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</si>
  <si>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</si>
  <si>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</si>
  <si>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</si>
  <si>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</si>
  <si>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</si>
  <si>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</si>
  <si>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</si>
  <si>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</si>
  <si>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</si>
  <si>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</si>
  <si>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</si>
  <si>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</si>
  <si>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</si>
  <si>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</si>
  <si>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</si>
  <si>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</si>
  <si>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</si>
  <si>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</si>
  <si>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</si>
  <si>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</si>
  <si>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</si>
  <si>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</si>
  <si>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</si>
  <si>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</si>
  <si>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</si>
  <si>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</si>
  <si>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</si>
  <si>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</si>
  <si>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</si>
  <si>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</si>
  <si>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</si>
  <si>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</si>
  <si>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</si>
  <si>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</si>
  <si>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</si>
  <si>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</si>
  <si>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</si>
  <si>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</si>
  <si>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</si>
  <si>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</si>
  <si>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</si>
  <si>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</si>
  <si>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</si>
  <si>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</si>
  <si>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</si>
  <si>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</si>
  <si>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</si>
  <si>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</si>
  <si>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</si>
  <si>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</si>
  <si>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</si>
  <si>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</si>
  <si>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</si>
  <si>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</si>
  <si>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</si>
  <si>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</si>
  <si>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</si>
  <si>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</si>
  <si>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</si>
  <si>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</si>
  <si>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</si>
  <si>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</si>
  <si>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</si>
  <si>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</si>
  <si>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</si>
  <si>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</si>
  <si>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</si>
  <si>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</si>
  <si>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</si>
  <si>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</si>
  <si>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</si>
  <si>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</si>
  <si>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</si>
  <si>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</si>
  <si>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</si>
  <si>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</si>
  <si>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</si>
  <si>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</si>
  <si>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</si>
  <si>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</si>
  <si>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</si>
  <si>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</si>
  <si>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</si>
  <si>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</si>
  <si>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</si>
  <si>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</si>
  <si>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</si>
  <si>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</si>
  <si>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</si>
  <si>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</si>
  <si>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</si>
  <si>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</si>
  <si>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</si>
  <si>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</si>
  <si>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</si>
  <si>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</si>
  <si>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</si>
  <si>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</si>
  <si>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</si>
  <si>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</si>
  <si>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</si>
  <si>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</si>
  <si>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</si>
  <si>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</si>
  <si>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</si>
  <si>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</si>
  <si>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</si>
  <si>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</si>
  <si>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</si>
  <si>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</si>
  <si>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</si>
  <si>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</si>
  <si>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</si>
  <si>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</si>
  <si>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</si>
  <si>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</si>
  <si>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</si>
  <si>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</si>
  <si>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</si>
  <si>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</si>
  <si>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</si>
  <si>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</si>
  <si>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</si>
  <si>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</si>
  <si>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</si>
  <si>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</si>
  <si>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</si>
  <si>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</si>
  <si>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</si>
  <si>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</si>
  <si>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</si>
  <si>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</si>
  <si>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</si>
  <si>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</si>
  <si>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</si>
  <si>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</si>
  <si>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</si>
  <si>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</si>
  <si>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</si>
  <si>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</si>
  <si>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</si>
  <si>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</si>
  <si>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</si>
  <si>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</si>
  <si>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</si>
  <si>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</si>
  <si>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</si>
  <si>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</si>
  <si>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</si>
  <si>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</si>
  <si>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</si>
  <si>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</si>
  <si>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</si>
  <si>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</si>
  <si>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</si>
  <si>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</si>
  <si>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</si>
  <si>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</si>
  <si>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</si>
  <si>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</si>
  <si>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</si>
  <si>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</si>
  <si>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</si>
  <si>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</si>
  <si>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</si>
  <si>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</si>
  <si>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</si>
  <si>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</si>
  <si>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</si>
  <si>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</si>
  <si>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</si>
  <si>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</si>
  <si>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</si>
  <si>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</si>
  <si>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</si>
  <si>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</si>
  <si>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</si>
  <si>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</si>
  <si>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</si>
  <si>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</si>
  <si>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</si>
  <si>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</si>
  <si>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</si>
  <si>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</si>
  <si>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</si>
  <si>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</si>
  <si>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</si>
  <si>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</si>
  <si>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</si>
  <si>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</si>
  <si>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</si>
  <si>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</si>
  <si>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</si>
  <si>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</si>
  <si>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</si>
  <si>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</si>
  <si>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</si>
  <si>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</si>
  <si>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</si>
  <si>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</si>
  <si>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</si>
  <si>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</si>
  <si>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</si>
  <si>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</si>
  <si>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</si>
  <si>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</si>
  <si>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</si>
  <si>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</si>
  <si>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</si>
  <si>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</si>
  <si>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</si>
  <si>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</si>
  <si>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</si>
  <si>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</si>
  <si>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</si>
  <si>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</si>
  <si>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</si>
  <si>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</si>
  <si>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</si>
  <si>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</si>
  <si>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</si>
  <si>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</si>
  <si>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</si>
  <si>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</si>
  <si>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</si>
  <si>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</si>
  <si>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</si>
  <si>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</si>
  <si>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</si>
  <si>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</si>
  <si>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</si>
  <si>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</si>
  <si>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</si>
  <si>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</si>
  <si>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</si>
  <si>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</si>
  <si>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</si>
  <si>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</si>
  <si>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</si>
  <si>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</si>
  <si>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</si>
  <si>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</si>
  <si>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</si>
  <si>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</si>
  <si>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</si>
  <si>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</si>
  <si>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</si>
  <si>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</si>
  <si>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</si>
  <si>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</si>
  <si>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</si>
  <si>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</si>
  <si>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</si>
  <si>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</si>
  <si>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</si>
  <si>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</si>
  <si>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</si>
  <si>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</si>
  <si>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</si>
  <si>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</si>
  <si>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</si>
  <si>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</si>
  <si>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</si>
  <si>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</si>
  <si>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</si>
  <si>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</si>
  <si>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</si>
  <si>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</si>
  <si>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</si>
  <si>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</si>
  <si>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</si>
  <si>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</si>
  <si>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</si>
  <si>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</si>
  <si>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</si>
  <si>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</si>
  <si>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</si>
  <si>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</si>
  <si>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</si>
  <si>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</si>
  <si>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</si>
  <si>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</si>
  <si>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</si>
  <si>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</si>
  <si>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</si>
  <si>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</si>
  <si>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</si>
  <si>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</si>
  <si>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</si>
  <si>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</si>
  <si>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</si>
  <si>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</si>
  <si>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</si>
  <si>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</si>
  <si>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</si>
  <si>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</si>
  <si>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</si>
  <si>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</si>
  <si>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</si>
  <si>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</si>
  <si>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</si>
  <si>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</si>
  <si>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</si>
  <si>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</si>
  <si>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</si>
  <si>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</si>
  <si>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</si>
  <si>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</si>
  <si>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</si>
  <si>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</si>
  <si>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</si>
  <si>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</si>
  <si>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</si>
  <si>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</si>
  <si>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</si>
  <si>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</si>
  <si>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</si>
  <si>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</si>
  <si>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</si>
  <si>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</si>
  <si>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</si>
  <si>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</si>
  <si>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</si>
  <si>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</si>
  <si>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</si>
  <si>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</si>
  <si>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</si>
  <si>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</si>
  <si>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</si>
  <si>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</si>
  <si>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</si>
  <si>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</si>
  <si>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</si>
  <si>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</si>
  <si>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</si>
  <si>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</si>
  <si>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</si>
  <si>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</si>
  <si>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</si>
  <si>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</si>
  <si>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</si>
  <si>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</si>
  <si>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</si>
  <si>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</si>
  <si>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</si>
  <si>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</si>
  <si>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</si>
  <si>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</si>
  <si>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</si>
  <si>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</si>
  <si>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</si>
  <si>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</si>
  <si>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</si>
  <si>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</si>
  <si>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</si>
  <si>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</si>
  <si>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</si>
  <si>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</si>
  <si>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</si>
  <si>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</si>
  <si>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</si>
  <si>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</si>
  <si>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</si>
  <si>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</si>
  <si>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</si>
  <si>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</si>
  <si>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</si>
  <si>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</si>
  <si>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</si>
  <si>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</si>
  <si>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</si>
  <si>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</si>
  <si>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</si>
  <si>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</si>
  <si>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</si>
  <si>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</si>
  <si>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</si>
  <si>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</si>
  <si>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</si>
  <si>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</si>
  <si>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</si>
  <si>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</si>
  <si>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</si>
  <si>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</si>
  <si>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</si>
  <si>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</si>
  <si>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</si>
  <si>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</si>
  <si>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</si>
  <si>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</si>
  <si>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</si>
  <si>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</si>
  <si>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</si>
  <si>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</si>
  <si>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</si>
  <si>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</si>
  <si>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</si>
  <si>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</si>
  <si>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</si>
  <si>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</si>
  <si>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</si>
  <si>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</si>
  <si>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</si>
  <si>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</si>
  <si>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</si>
  <si>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</si>
  <si>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</si>
  <si>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</si>
  <si>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</si>
  <si>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</si>
  <si>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</si>
  <si>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</si>
  <si>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</si>
  <si>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</si>
  <si>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</si>
  <si>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</si>
  <si>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</si>
  <si>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</si>
  <si>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</si>
  <si>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</si>
  <si>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</si>
  <si>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</si>
  <si>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</si>
  <si>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</si>
  <si>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</si>
  <si>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</si>
  <si>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</si>
  <si>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</si>
  <si>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</si>
  <si>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</si>
  <si>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</si>
  <si>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</si>
  <si>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</si>
  <si>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</si>
  <si>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</si>
  <si>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</si>
  <si>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</si>
  <si>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</si>
  <si>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</si>
  <si>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</si>
  <si>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</si>
  <si>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</si>
  <si>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</si>
  <si>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</si>
  <si>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</si>
  <si>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</si>
  <si>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</si>
  <si>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</si>
  <si>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</si>
  <si>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</si>
  <si>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</si>
  <si>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</si>
  <si>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</si>
  <si>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</si>
  <si>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</si>
  <si>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</si>
  <si>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</si>
  <si>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</si>
  <si>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</si>
  <si>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</si>
  <si>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</si>
  <si>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</si>
  <si>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</si>
  <si>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</si>
  <si>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</si>
  <si>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</si>
  <si>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</si>
  <si>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</si>
  <si>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</si>
  <si>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</si>
  <si>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</si>
  <si>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</si>
  <si>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</si>
  <si>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</si>
  <si>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</si>
  <si>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</si>
  <si>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</si>
  <si>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</si>
  <si>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</si>
  <si>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</si>
  <si>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</si>
  <si>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</si>
  <si>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</si>
  <si>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</si>
  <si>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</si>
  <si>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</si>
  <si>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</si>
  <si>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</si>
  <si>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</si>
  <si>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</si>
  <si>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</si>
  <si>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</si>
  <si>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</si>
  <si>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</si>
  <si>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</si>
  <si>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</si>
  <si>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</si>
  <si>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</si>
  <si>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</si>
  <si>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</si>
  <si>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</si>
  <si>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</si>
  <si>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</si>
  <si>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</si>
  <si>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</si>
  <si>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</si>
  <si>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</si>
  <si>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</si>
  <si>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</si>
  <si>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</si>
  <si>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</si>
  <si>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</si>
  <si>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</si>
  <si>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</si>
  <si>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</si>
  <si>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</si>
  <si>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</si>
  <si>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</si>
  <si>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</si>
  <si>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</si>
  <si>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</si>
  <si>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</si>
  <si>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</si>
  <si>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</si>
  <si>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</si>
  <si>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</si>
  <si>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</si>
  <si>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</si>
  <si>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</si>
  <si>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</si>
  <si>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</si>
  <si>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</si>
  <si>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</si>
  <si>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</si>
  <si>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</si>
  <si>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</si>
  <si>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</si>
  <si>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</si>
  <si>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</si>
  <si>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</si>
  <si>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</si>
  <si>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</si>
  <si>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</si>
  <si>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</si>
  <si>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</si>
  <si>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</si>
  <si>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</si>
  <si>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</si>
  <si>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</si>
  <si>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</si>
  <si>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</si>
  <si>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</si>
  <si>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</si>
  <si>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</si>
  <si>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</si>
  <si>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</si>
  <si>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</si>
  <si>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</si>
  <si>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</si>
  <si>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</si>
  <si>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</si>
  <si>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</si>
  <si>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</si>
  <si>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</si>
  <si>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</si>
  <si>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</si>
  <si>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</si>
  <si>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</si>
  <si>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</si>
  <si>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</si>
  <si>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</si>
  <si>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</si>
  <si>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</si>
  <si>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</si>
  <si>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</si>
  <si>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</si>
  <si>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</si>
  <si>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</si>
  <si>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</si>
  <si>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</si>
  <si>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</si>
  <si>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</si>
  <si>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</si>
  <si>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</si>
  <si>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</si>
  <si>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</si>
  <si>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</si>
  <si>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</si>
  <si>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</si>
  <si>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</si>
  <si>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</si>
  <si>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</si>
  <si>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</si>
  <si>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</si>
  <si>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</si>
  <si>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</si>
  <si>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</si>
  <si>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</si>
  <si>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</si>
  <si>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</si>
  <si>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</si>
  <si>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</si>
  <si>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</si>
  <si>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</si>
  <si>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</si>
  <si>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</si>
  <si>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</si>
  <si>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</si>
  <si>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</si>
  <si>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</si>
  <si>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</si>
  <si>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</si>
  <si>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</si>
  <si>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</si>
  <si>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</si>
  <si>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</si>
  <si>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</si>
  <si>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</si>
  <si>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</si>
  <si>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</si>
  <si>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</si>
  <si>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</si>
  <si>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</si>
  <si>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</si>
  <si>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</si>
  <si>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</si>
  <si>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</si>
  <si>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</si>
  <si>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</si>
  <si>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</si>
  <si>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</si>
  <si>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</si>
  <si>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</si>
  <si>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</si>
  <si>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</si>
  <si>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</si>
  <si>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</si>
  <si>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</si>
  <si>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</si>
  <si>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</si>
  <si>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</si>
  <si>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</si>
  <si>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</si>
  <si>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</si>
  <si>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</si>
  <si>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</si>
  <si>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</si>
  <si>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</si>
  <si>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</si>
  <si>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</si>
  <si>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</si>
  <si>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</si>
  <si>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</si>
  <si>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</si>
  <si>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</si>
  <si>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</si>
  <si>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</si>
  <si>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</si>
  <si>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</si>
  <si>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</si>
  <si>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</si>
  <si>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</si>
  <si>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</si>
  <si>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</si>
  <si>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</si>
  <si>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</si>
  <si>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</si>
  <si>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</si>
  <si>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</si>
  <si>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</si>
  <si>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</si>
  <si>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</si>
  <si>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</si>
  <si>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</si>
  <si>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</si>
  <si>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</si>
  <si>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</si>
  <si>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</si>
  <si>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</si>
  <si>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</si>
  <si>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</si>
  <si>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</si>
  <si>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</si>
  <si>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</si>
  <si>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</si>
  <si>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</si>
  <si>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</si>
  <si>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</si>
  <si>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</si>
  <si>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</si>
  <si>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</si>
  <si>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</si>
  <si>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</si>
  <si>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</si>
  <si>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</si>
  <si>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</si>
  <si>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</si>
  <si>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</si>
  <si>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</si>
  <si>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</si>
  <si>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</si>
  <si>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</si>
  <si>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</si>
  <si>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</si>
  <si>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</si>
  <si>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</si>
  <si>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</si>
  <si>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</si>
  <si>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</si>
  <si>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</si>
  <si>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</si>
  <si>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</si>
  <si>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</si>
  <si>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</si>
  <si>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</si>
  <si>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</si>
  <si>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</si>
  <si>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</si>
  <si>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</si>
  <si>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</si>
  <si>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</si>
  <si>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</si>
  <si>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</si>
  <si>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</si>
  <si>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</si>
  <si>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</si>
  <si>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</si>
  <si>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</si>
  <si>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</si>
  <si>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</si>
  <si>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</si>
  <si>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</si>
  <si>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</si>
  <si>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</si>
  <si>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</si>
  <si>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</si>
  <si>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</si>
  <si>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</si>
  <si>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</si>
  <si>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</si>
  <si>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</si>
  <si>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</si>
  <si>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</si>
  <si>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</si>
  <si>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</si>
  <si>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</si>
  <si>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</si>
  <si>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</si>
  <si>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</si>
  <si>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</si>
  <si>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</si>
  <si>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</si>
  <si>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</si>
  <si>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</si>
  <si>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</si>
  <si>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</si>
  <si>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</si>
  <si>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</si>
  <si>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</si>
  <si>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</si>
  <si>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</si>
  <si>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</si>
  <si>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</si>
  <si>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</si>
  <si>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</si>
  <si>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</si>
  <si>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</si>
  <si>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</si>
  <si>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</si>
  <si>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</si>
  <si>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</si>
  <si>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</si>
  <si>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</si>
  <si>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</si>
  <si>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</si>
  <si>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</si>
  <si>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</si>
  <si>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</si>
  <si>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</si>
  <si>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</si>
  <si>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</si>
  <si>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</si>
  <si>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</si>
  <si>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</si>
  <si>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</si>
  <si>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</si>
  <si>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</si>
  <si>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</si>
  <si>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</si>
  <si>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</si>
  <si>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</si>
  <si>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</si>
  <si>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</si>
  <si>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</si>
  <si>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</si>
  <si>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</si>
  <si>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</si>
  <si>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</si>
  <si>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</si>
  <si>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</si>
  <si>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</si>
  <si>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</si>
  <si>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</si>
  <si>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</si>
  <si>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</si>
  <si>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</si>
  <si>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</si>
  <si>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</si>
  <si>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</si>
  <si>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</si>
  <si>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</si>
  <si>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</si>
  <si>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</si>
  <si>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</si>
  <si>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</si>
  <si>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</si>
  <si>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</si>
  <si>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</si>
  <si>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</si>
  <si>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</si>
  <si>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</si>
  <si>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</si>
  <si>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</si>
  <si>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</si>
  <si>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</si>
  <si>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</si>
  <si>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</si>
  <si>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</si>
  <si>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</si>
  <si>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</si>
  <si>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</si>
  <si>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</si>
  <si>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</si>
  <si>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</si>
  <si>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</si>
  <si>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</si>
  <si>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</si>
  <si>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</si>
  <si>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</si>
  <si>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</si>
  <si>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</si>
  <si>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</si>
  <si>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</si>
  <si>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</si>
  <si>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</si>
  <si>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</si>
  <si>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</si>
  <si>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</si>
  <si>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</si>
  <si>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</si>
  <si>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</si>
  <si>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</si>
  <si>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</si>
  <si>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</si>
  <si>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</si>
  <si>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</si>
  <si>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</si>
  <si>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</si>
  <si>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</si>
  <si>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</si>
  <si>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</si>
  <si>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</si>
  <si>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</si>
  <si>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</si>
  <si>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</si>
  <si>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</si>
  <si>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</si>
  <si>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</si>
  <si>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</si>
  <si>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</si>
  <si>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</si>
  <si>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</si>
  <si>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</si>
  <si>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</si>
  <si>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</si>
  <si>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</si>
  <si>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</si>
  <si>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</si>
  <si>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</si>
  <si>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</si>
  <si>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</si>
  <si>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</si>
  <si>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</si>
  <si>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</si>
  <si>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</si>
  <si>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</si>
  <si>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</si>
  <si>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</si>
  <si>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</si>
  <si>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</si>
  <si>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</si>
  <si>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</si>
  <si>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</si>
  <si>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</si>
  <si>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</si>
  <si>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</si>
  <si>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</si>
  <si>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</si>
  <si>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</si>
  <si>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</si>
  <si>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</si>
  <si>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</si>
  <si>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</si>
  <si>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</si>
  <si>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</si>
  <si>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</si>
  <si>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</si>
  <si>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</si>
  <si>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</si>
  <si>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</si>
  <si>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</si>
  <si>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</si>
  <si>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</si>
  <si>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</si>
  <si>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</si>
  <si>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</si>
  <si>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</si>
  <si>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</si>
  <si>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</si>
  <si>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</si>
  <si>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</si>
  <si>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</si>
  <si>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</si>
  <si>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</si>
  <si>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</si>
  <si>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</si>
  <si>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</si>
  <si>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</si>
  <si>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</si>
  <si>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</si>
  <si>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</si>
  <si>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</si>
  <si>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</si>
  <si>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</si>
  <si>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</si>
  <si>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</si>
  <si>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</si>
  <si>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</si>
  <si>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</si>
  <si>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</si>
  <si>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</si>
  <si>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</si>
  <si>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</si>
  <si>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</si>
  <si>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</si>
  <si>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</si>
  <si>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</si>
  <si>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</si>
  <si>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</si>
  <si>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</si>
  <si>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</si>
  <si>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</si>
  <si>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</si>
  <si>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</si>
  <si>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</si>
  <si>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</si>
  <si>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</si>
  <si>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</si>
  <si>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</si>
  <si>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</si>
  <si>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</si>
  <si>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</si>
  <si>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</si>
  <si>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</si>
  <si>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</si>
  <si>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</si>
  <si>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</si>
  <si>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</si>
  <si>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</si>
  <si>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</si>
  <si>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</si>
  <si>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</si>
  <si>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</si>
  <si>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</si>
  <si>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</si>
  <si>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</si>
  <si>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</si>
  <si>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</si>
  <si>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</si>
  <si>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</si>
  <si>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</si>
  <si>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</si>
  <si>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</si>
  <si>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</si>
  <si>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</si>
  <si>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</si>
  <si>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</si>
  <si>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</si>
  <si>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</si>
  <si>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</si>
  <si>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</si>
  <si>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</si>
  <si>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</si>
  <si>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</si>
  <si>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</si>
  <si>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</si>
  <si>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</si>
  <si>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</si>
  <si>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</si>
  <si>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</si>
  <si>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</si>
  <si>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</si>
  <si>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</si>
  <si>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</si>
  <si>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</si>
  <si>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</si>
  <si>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</si>
  <si>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</si>
  <si>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</si>
  <si>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</si>
  <si>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</si>
  <si>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</si>
  <si>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</si>
  <si>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</si>
  <si>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</si>
  <si>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</si>
  <si>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</si>
  <si>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</si>
  <si>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</si>
  <si>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</si>
  <si>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</si>
  <si>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</si>
  <si>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</si>
  <si>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</si>
  <si>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</si>
  <si>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</si>
  <si>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</si>
  <si>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</si>
  <si>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</si>
  <si>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</si>
  <si>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</si>
  <si>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</si>
  <si>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</si>
  <si>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</si>
  <si>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</si>
  <si>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</si>
  <si>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</si>
  <si>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</si>
  <si>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</si>
  <si>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</si>
  <si>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</si>
  <si>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</si>
  <si>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</si>
  <si>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</si>
  <si>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</si>
  <si>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</si>
  <si>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</si>
  <si>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</si>
  <si>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</si>
  <si>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</si>
  <si>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</si>
  <si>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</si>
  <si>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</si>
  <si>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</si>
  <si>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</si>
  <si>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</si>
  <si>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</si>
  <si>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</si>
  <si>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</si>
  <si>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</si>
  <si>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</si>
  <si>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</si>
  <si>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</si>
  <si>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</si>
  <si>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</si>
  <si>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</si>
  <si>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</si>
  <si>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</si>
  <si>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</si>
  <si>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</si>
  <si>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</si>
  <si>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</si>
  <si>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</si>
  <si>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</si>
  <si>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</si>
  <si>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</si>
  <si>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</si>
  <si>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</si>
  <si>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</si>
  <si>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</si>
  <si>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</si>
  <si>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</si>
  <si>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</si>
  <si>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</si>
  <si>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</si>
  <si>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</si>
  <si>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</si>
  <si>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</si>
  <si>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</si>
  <si>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</si>
  <si>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</si>
  <si>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</si>
  <si>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</si>
  <si>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Duritia Bany</t>
  </si>
  <si>
    <t>lasser</t>
  </si>
  <si>
    <t>SPECIAL DURITIA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</si>
</sst>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8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theme="5"/>
      <name val="Calibri"/>
      <family val="2"/>
    </font>
    <font>
      <sz val="11"/>
      <color theme="5"/>
      <name val="Calibri"/>
      <family val="2"/>
    </font>
    <font>
      <b/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17" fillId="2" borderId="5" xfId="0" applyFont="1" applyFill="1" applyBorder="1" applyAlignment="1">
      <alignment vertical="center"/>
    </xf>
    <xf numFmtId="166" fontId="14" fillId="2" borderId="5" xfId="0" applyNumberFormat="1" applyFont="1" applyFill="1" applyBorder="1" applyAlignment="1">
      <alignment horizontal="right" vertical="center"/>
    </xf>
    <xf numFmtId="165" fontId="17" fillId="2" borderId="5" xfId="0" applyNumberFormat="1" applyFont="1" applyFill="1" applyBorder="1" applyAlignment="1">
      <alignment horizontal="right" vertical="center"/>
    </xf>
    <xf numFmtId="9" fontId="14" fillId="0" borderId="0" xfId="0" applyNumberFormat="1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90" zoomScaleNormal="90" workbookViewId="0">
      <selection activeCell="G13" sqref="G13:G15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6" t="s">
        <v>1</v>
      </c>
      <c r="F3" s="86"/>
      <c r="G3" s="86"/>
      <c r="H3" s="87"/>
      <c r="I3" s="87"/>
      <c r="J3" s="87"/>
      <c r="K3" s="87"/>
      <c r="L3" s="87"/>
    </row>
    <row r="5" spans="1:12" ht="18.75" x14ac:dyDescent="0.25">
      <c r="B5" s="88" t="s">
        <v>2</v>
      </c>
      <c r="C5" s="8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20250122</v>
      </c>
      <c r="G7" s="8">
        <f ca="1">TODAY()</f>
        <v>45818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293</v>
      </c>
      <c r="C13" s="84" t="str">
        <f>IFERROR(VLOOKUP($B13,Tarifa_all_20240711!$A$2:$G$660,2,FALSE()),"-")</f>
        <v>CASC.DOBLE GUIA DESM.LAC.BLANCO MATE 9003-4 MTS</v>
      </c>
      <c r="D13" s="84"/>
      <c r="E13" s="17">
        <v>1</v>
      </c>
      <c r="F13" s="18">
        <f>IFERROR(VLOOKUP($B13,Tarifa_all_20240711!$A$2:$G$660,5,FALSE()),"-")</f>
        <v>230.86500000000001</v>
      </c>
      <c r="G13" s="18">
        <f t="shared" ref="G13:G30" si="0">IFERROR(E13*F13,"-")</f>
        <v>230.86500000000001</v>
      </c>
      <c r="H13" s="1"/>
    </row>
    <row r="14" spans="1:12" x14ac:dyDescent="0.25">
      <c r="A14" t="s">
        <v>15</v>
      </c>
      <c r="B14" s="16" t="s">
        <v>277</v>
      </c>
      <c r="C14" s="84" t="str">
        <f>IFERROR(VLOOKUP($B14,Tarifa_all_20240711!$A$2:$G$660,2,FALSE()),"-")</f>
        <v>GUIA SKY PLUS DESMONT.LAC.BLANCO MATE 9003-4 MTS</v>
      </c>
      <c r="D14" s="84"/>
      <c r="E14" s="17">
        <v>2</v>
      </c>
      <c r="F14" s="18">
        <f>IFERROR(VLOOKUP($B14,Tarifa_all_20240711!$A$2:$G$660,5,FALSE()),"-")</f>
        <v>87.105000000000004</v>
      </c>
      <c r="G14" s="18">
        <f t="shared" si="0"/>
        <v>174.21</v>
      </c>
      <c r="H14" s="1"/>
    </row>
    <row r="15" spans="1:12" x14ac:dyDescent="0.25">
      <c r="A15" t="s">
        <v>16</v>
      </c>
      <c r="B15" s="16" t="s">
        <v>297</v>
      </c>
      <c r="C15" s="84" t="str">
        <f>IFERROR(VLOOKUP($B15,Tarifa_all_20240711!$A$2:$G$660,2,FALSE()),"-")</f>
        <v>KIT ANCLAJE TECHO PARA GUIA PLADUR PLUS DEMONTABLE</v>
      </c>
      <c r="D15" s="84"/>
      <c r="E15" s="17">
        <v>8</v>
      </c>
      <c r="F15" s="18">
        <f>IFERROR(VLOOKUP($B15,Tarifa_all_20240711!$A$2:$G$660,5,FALSE()),"-")</f>
        <v>11.737500000000001</v>
      </c>
      <c r="G15" s="18">
        <f t="shared" si="0"/>
        <v>93.9</v>
      </c>
      <c r="H15" s="1"/>
    </row>
    <row r="16" spans="1:12" x14ac:dyDescent="0.25">
      <c r="A16" t="s">
        <v>17</v>
      </c>
      <c r="B16" s="16" t="s">
        <v>568</v>
      </c>
      <c r="C16" s="84" t="str">
        <f>IFERROR(VLOOKUP($B16,Tarifa_all_20240711!$A$2:$G$660,2,FALSE()),"-")</f>
        <v>KIT AMORTIGUADOR SKY GUIA DESMONT. BIDIRECCIONAL 80KG</v>
      </c>
      <c r="D16" s="84"/>
      <c r="E16" s="17">
        <v>2</v>
      </c>
      <c r="F16" s="18">
        <f>IFERROR(VLOOKUP($B16,Tarifa_all_20240711!$A$2:$G$660,5,FALSE()),"-")</f>
        <v>31.8675</v>
      </c>
      <c r="G16" s="18">
        <f t="shared" si="0"/>
        <v>63.734999999999999</v>
      </c>
      <c r="H16" s="1"/>
    </row>
    <row r="17" spans="1:8" x14ac:dyDescent="0.25">
      <c r="A17" t="s">
        <v>18</v>
      </c>
      <c r="B17" s="16" t="s">
        <v>129</v>
      </c>
      <c r="C17" s="84" t="str">
        <f>IFERROR(VLOOKUP($B17,Tarifa_all_20240711!$A$2:$G$660,2,FALSE()),"-")</f>
        <v>KIT PUERTA PA CORREDERA LAC.BLANCO MATE 9003</v>
      </c>
      <c r="D17" s="84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337</v>
      </c>
      <c r="C18" s="84" t="str">
        <f>IFERROR(VLOOKUP($B18,Tarifa_all_20240711!$A$2:$G$660,2,FALSE()),"-")</f>
        <v>CARRO SKY MADERA 120KG</v>
      </c>
      <c r="D18" s="84"/>
      <c r="E18" s="17">
        <v>2</v>
      </c>
      <c r="F18" s="18">
        <f>IFERROR(VLOOKUP($B18,Tarifa_all_20240711!$A$2:$G$660,5,FALSE()),"-")</f>
        <v>29.954999999999998</v>
      </c>
      <c r="G18" s="18">
        <f t="shared" si="0"/>
        <v>59.91</v>
      </c>
      <c r="H18" s="1"/>
    </row>
    <row r="19" spans="1:8" x14ac:dyDescent="0.25">
      <c r="A19" t="s">
        <v>20</v>
      </c>
      <c r="B19" s="16" t="s">
        <v>375</v>
      </c>
      <c r="C19" s="84" t="str">
        <f>IFERROR(VLOOKUP($B19,Tarifa_all_20240711!$A$2:$G$660,2,FALSE()),"-")</f>
        <v>TIRADOR RECT.ADH CAVE LAC.BLANCO MATE 9003: 2 UDS</v>
      </c>
      <c r="D19" s="84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322</v>
      </c>
      <c r="C20" s="84" t="str">
        <f>IFERROR(VLOOKUP($B20,Tarifa_all_20240711!$A$2:$G$660,2,FALSE()),"-")</f>
        <v>GUIADOR FIJO PA LAC.BLANCO MATE 9003</v>
      </c>
      <c r="D20" s="84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76" t="s">
        <v>140</v>
      </c>
      <c r="C21" s="85" t="str">
        <f>IFERROR(VLOOKUP($B21,Tarifa_all_20240711!$A$2:$G$660,2,FALSE()),"-")</f>
        <v>PERFIL EMBELL.HORIZ. ADH LAC.BLANCO MATE 9003</v>
      </c>
      <c r="D21" s="85"/>
      <c r="E21" s="77">
        <v>8</v>
      </c>
      <c r="F21" s="78">
        <f>IFERROR(VLOOKUP($B21,Tarifa_all_20240711!$A$2:$G$660,5,FALSE()),"-")</f>
        <v>21.794999999999998</v>
      </c>
      <c r="G21" s="78">
        <f t="shared" si="0"/>
        <v>174.35999999999999</v>
      </c>
      <c r="H21" s="1"/>
    </row>
    <row r="22" spans="1:8" x14ac:dyDescent="0.25">
      <c r="B22" s="16"/>
      <c r="C22" s="84" t="str">
        <f>IFERROR(VLOOKUP($B22,Tarifa_all_20240711!$A$2:$G$660,2,FALSE()),"-")</f>
        <v>-</v>
      </c>
      <c r="D22" s="84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84" t="str">
        <f>IFERROR(VLOOKUP($B23,Tarifa_all_20240711!$A$2:$G$660,2,FALSE()),"-")</f>
        <v>-</v>
      </c>
      <c r="D23" s="84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84" t="str">
        <f>IFERROR(VLOOKUP($B24,Tarifa_all_20240711!$A$2:$G$660,2,FALSE()),"-")</f>
        <v>-</v>
      </c>
      <c r="D24" s="84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84" t="str">
        <f>IFERROR(VLOOKUP($B25,Tarifa_all_20240711!$A$2:$G$660,2,FALSE()),"-")</f>
        <v>-</v>
      </c>
      <c r="D25" s="84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4" t="str">
        <f>IFERROR(VLOOKUP($B26,Tarifa_all_20240711!$A$2:$G$660,2,FALSE()),"-")</f>
        <v>-</v>
      </c>
      <c r="D26" s="84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4" t="str">
        <f>IFERROR(VLOOKUP($B27,Tarifa_all_20240711!$A$2:$G$660,2,FALSE()),"-")</f>
        <v>-</v>
      </c>
      <c r="D27" s="84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4" t="str">
        <f>IFERROR(VLOOKUP($B28,Tarifa_all_20240711!$A$2:$G$660,2,FALSE()),"-")</f>
        <v>-</v>
      </c>
      <c r="D28" s="84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4" t="str">
        <f>IFERROR(VLOOKUP($B29,Tarifa_all_20240711!$A$2:$G$660,2,FALSE()),"-")</f>
        <v>-</v>
      </c>
      <c r="D29" s="84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4" t="str">
        <f>IFERROR(VLOOKUP($B30,Tarifa_all_20240711!$A$2:$G$660,2,FALSE()),"-")</f>
        <v>-</v>
      </c>
      <c r="D30" s="84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1363.7550000000001</v>
      </c>
    </row>
    <row r="32" spans="1:8" x14ac:dyDescent="0.25">
      <c r="B32" s="79" t="s">
        <v>1453</v>
      </c>
      <c r="C32" s="79"/>
      <c r="D32" s="79"/>
      <c r="E32" s="79"/>
      <c r="F32" s="80"/>
      <c r="G32" s="81">
        <f>G31*(1+H32)</f>
        <v>1431.9427500000002</v>
      </c>
      <c r="H32" s="82">
        <v>0.05</v>
      </c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3"/>
      <c r="E52" s="83"/>
      <c r="F52" s="83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68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6" t="s">
        <v>78</v>
      </c>
      <c r="F2" s="86"/>
      <c r="G2" s="86"/>
    </row>
    <row r="3" spans="1:7" ht="18" customHeight="1" x14ac:dyDescent="0.35">
      <c r="E3" s="86" t="s">
        <v>1</v>
      </c>
      <c r="F3" s="86"/>
      <c r="G3" s="8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3" t="s">
        <v>79</v>
      </c>
      <c r="B6" s="93"/>
      <c r="C6" s="93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4" t="str">
        <f>'DESPIECE (MATANALYSIS)'!C8</f>
        <v>Duritia Bany</v>
      </c>
      <c r="C9" s="94"/>
      <c r="D9" s="94"/>
      <c r="F9" s="3" t="s">
        <v>81</v>
      </c>
      <c r="G9" s="44">
        <f ca="1">TODAY()</f>
        <v>45818</v>
      </c>
    </row>
    <row r="10" spans="1:7" x14ac:dyDescent="0.25">
      <c r="A10" s="3" t="s">
        <v>82</v>
      </c>
      <c r="B10" s="11" t="str">
        <f>'DESPIECE (MATANALYSIS)'!C9</f>
        <v>lasser</v>
      </c>
      <c r="C10" s="45"/>
      <c r="D10" s="45"/>
      <c r="E10" s="46"/>
      <c r="F10" s="47" t="s">
        <v>83</v>
      </c>
      <c r="G10" s="7">
        <f>'DESPIECE (MATANALYSIS)'!C7</f>
        <v>20250122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9"/>
      <c r="B46" s="89"/>
      <c r="C46" s="71"/>
      <c r="D46" s="71"/>
      <c r="E46" s="71"/>
      <c r="F46" s="72"/>
      <c r="G46" s="73"/>
    </row>
    <row r="47" spans="1:7" ht="22.7" customHeight="1" x14ac:dyDescent="0.25">
      <c r="A47" s="90" t="s">
        <v>99</v>
      </c>
      <c r="B47" s="90"/>
      <c r="C47" s="59"/>
      <c r="D47" s="59"/>
      <c r="E47" s="59"/>
      <c r="F47" s="91">
        <f>'DESPIECE (MATANALYSIS)'!G31</f>
        <v>1363.7550000000001</v>
      </c>
      <c r="G47" s="91"/>
    </row>
    <row r="48" spans="1:7" s="1" customFormat="1" ht="22.7" customHeight="1" x14ac:dyDescent="0.25">
      <c r="A48" s="92" t="s">
        <v>100</v>
      </c>
      <c r="B48" s="92"/>
      <c r="C48" s="92"/>
      <c r="D48" s="92"/>
      <c r="E48" s="92"/>
      <c r="F48" s="92"/>
      <c r="G48" s="92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2025-06-10T14:49:07Z</dcterms:modified>
  <dc:language>es-ES</dc:language>
</cp:coreProperties>
</file>