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G:\Mi unidad\ALU\PROYECTOS\2025\20250091\calculos\1\"/>
    </mc:Choice>
  </mc:AlternateContent>
  <xr:revisionPtr revIDLastSave="0" documentId="13_ncr:1_{D700B249-0D99-4A66-BD37-BE116F85EEF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" i="1" l="1"/>
  <c r="V19" i="1"/>
  <c r="V11" i="1"/>
  <c r="Q13" i="1"/>
  <c r="P11" i="1"/>
  <c r="D11" i="1"/>
  <c r="J11" i="1"/>
  <c r="D19" i="1"/>
  <c r="P19" i="1"/>
  <c r="J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manuel gomez</author>
  </authors>
  <commentList>
    <comment ref="F14" authorId="0" shapeId="0" xr:uid="{7A4F0FCC-0ED1-43F1-9B2E-8DD7D55024FC}">
      <text>
        <r>
          <rPr>
            <b/>
            <sz val="9"/>
            <color indexed="81"/>
            <rFont val="Tahoma"/>
            <family val="2"/>
          </rPr>
          <t>jose manuel gomez:</t>
        </r>
        <r>
          <rPr>
            <sz val="9"/>
            <color indexed="81"/>
            <rFont val="Tahoma"/>
            <family val="2"/>
          </rPr>
          <t xml:space="preserve">
H2: creado A MANO, referencia NO EXISTE.
H1: creado A MANO, referencia EXISTE.</t>
        </r>
      </text>
    </comment>
  </commentList>
</comments>
</file>

<file path=xl/sharedStrings.xml><?xml version="1.0" encoding="utf-8"?>
<sst xmlns="http://schemas.openxmlformats.org/spreadsheetml/2006/main" count="138" uniqueCount="34">
  <si>
    <t>Perfiles</t>
  </si>
  <si>
    <t>Hoja perim.</t>
  </si>
  <si>
    <t>Hoja cruce</t>
  </si>
  <si>
    <t>Unión 4H</t>
  </si>
  <si>
    <t>Felpudo</t>
  </si>
  <si>
    <t>Acces.</t>
  </si>
  <si>
    <t>Embutir</t>
  </si>
  <si>
    <t>32730SA</t>
  </si>
  <si>
    <t>32740SA</t>
  </si>
  <si>
    <t>32741SA</t>
  </si>
  <si>
    <t>32743SA</t>
  </si>
  <si>
    <t>32731SA</t>
  </si>
  <si>
    <t>Multip. Peq. 600 mm.</t>
  </si>
  <si>
    <t>Multip. Med. 1000 mm</t>
  </si>
  <si>
    <t>32732SA</t>
  </si>
  <si>
    <t>Multip. Grand. 1600 mm</t>
  </si>
  <si>
    <t>Marco 3C</t>
  </si>
  <si>
    <t>L en mm</t>
  </si>
  <si>
    <t>H en mm.</t>
  </si>
  <si>
    <t>L en mm.</t>
  </si>
  <si>
    <t>2H2C - Esquema A</t>
  </si>
  <si>
    <t>4H2C - Esquema D</t>
  </si>
  <si>
    <t>6H3C - Esquema F</t>
  </si>
  <si>
    <t>Marco 2C</t>
  </si>
  <si>
    <t>NO</t>
  </si>
  <si>
    <t>WinPerfil</t>
  </si>
  <si>
    <t>H2</t>
  </si>
  <si>
    <t>H1</t>
  </si>
  <si>
    <t>ELIMINAR</t>
  </si>
  <si>
    <t>4H4C - Esquema G (NO EXISTE)</t>
  </si>
  <si>
    <t>Marco 4C</t>
  </si>
  <si>
    <t>PLG199</t>
  </si>
  <si>
    <t>Medidas</t>
  </si>
  <si>
    <t>DOMO 80 minimalista. Plantillas WinPerfil &lt;&gt; Mundo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</si>
</sst>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0" borderId="0" xfId="0" applyFont="1" applyAlignment="1">
      <alignment horizontal="righ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/>
    </xf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"/>
  <sheetViews>
    <sheetView tabSelected="1" topLeftCell="A3" zoomScale="115" zoomScaleNormal="115" workbookViewId="0">
      <selection activeCell="E15" sqref="E15"/>
    </sheetView>
  </sheetViews>
  <sheetFormatPr baseColWidth="10" defaultColWidth="9.140625" defaultRowHeight="15" x14ac:dyDescent="0.25"/>
  <cols>
    <col min="1" max="1" width="2.7109375" style="22" customWidth="1"/>
    <col min="2" max="2" width="10.7109375" style="16" customWidth="1"/>
    <col min="7" max="7" width="2.7109375" style="22" customWidth="1"/>
    <col min="8" max="8" width="10.7109375" style="16" customWidth="1"/>
    <col min="9" max="9" width="9.140625" style="4"/>
    <col min="10" max="10" width="9.42578125" bestFit="1" customWidth="1"/>
    <col min="13" max="13" width="2.7109375" style="22" customWidth="1"/>
    <col min="14" max="14" width="10.7109375" style="16" customWidth="1"/>
    <col min="15" max="15" width="9.140625" style="4"/>
    <col min="16" max="16" width="9.42578125" bestFit="1" customWidth="1"/>
    <col min="19" max="19" width="2.7109375" style="22" customWidth="1"/>
    <col min="20" max="20" width="10.7109375" style="16" customWidth="1"/>
    <col min="21" max="21" width="9.140625" style="4"/>
    <col min="22" max="22" width="9.42578125" bestFit="1" customWidth="1"/>
  </cols>
  <sheetData>
    <row r="1" spans="1:24" ht="18.75" x14ac:dyDescent="0.3">
      <c r="A1" s="24"/>
      <c r="B1" s="27" t="s">
        <v>33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4" x14ac:dyDescent="0.25">
      <c r="A2" s="24"/>
      <c r="B2" s="25"/>
      <c r="C2" s="24"/>
      <c r="D2" s="24"/>
      <c r="E2" s="24"/>
      <c r="F2" s="24"/>
      <c r="G2" s="24"/>
      <c r="H2" s="25"/>
      <c r="I2" s="26"/>
      <c r="J2" s="24"/>
      <c r="K2" s="24"/>
      <c r="L2" s="24"/>
      <c r="M2" s="24"/>
      <c r="N2" s="25"/>
      <c r="O2" s="26"/>
      <c r="P2" s="24"/>
      <c r="Q2" s="24"/>
      <c r="R2" s="24"/>
      <c r="S2" s="24"/>
      <c r="T2" s="25"/>
      <c r="U2" s="26"/>
      <c r="V2" s="24"/>
      <c r="W2" s="24"/>
      <c r="X2" s="24"/>
    </row>
    <row r="3" spans="1:24" ht="64.5" customHeight="1" x14ac:dyDescent="0.25">
      <c r="B3" s="15" t="s">
        <v>20</v>
      </c>
      <c r="C3" s="3" t="s">
        <v>19</v>
      </c>
      <c r="D3" s="3" t="s">
        <v>18</v>
      </c>
      <c r="E3" s="10" t="s">
        <v>25</v>
      </c>
      <c r="F3" s="2"/>
      <c r="G3" s="23"/>
      <c r="H3" s="15" t="s">
        <v>21</v>
      </c>
      <c r="I3" s="3" t="s">
        <v>19</v>
      </c>
      <c r="J3" s="3" t="s">
        <v>18</v>
      </c>
      <c r="K3" s="10" t="s">
        <v>25</v>
      </c>
      <c r="N3" s="15" t="s">
        <v>22</v>
      </c>
      <c r="O3" s="3" t="s">
        <v>17</v>
      </c>
      <c r="P3" s="3" t="s">
        <v>18</v>
      </c>
      <c r="Q3" s="9" t="s">
        <v>25</v>
      </c>
      <c r="T3" s="20" t="s">
        <v>29</v>
      </c>
      <c r="U3" s="3" t="s">
        <v>17</v>
      </c>
      <c r="V3" s="3" t="s">
        <v>18</v>
      </c>
      <c r="W3" s="9" t="s">
        <v>25</v>
      </c>
    </row>
    <row r="4" spans="1:24" x14ac:dyDescent="0.25">
      <c r="B4" s="16" t="s">
        <v>32</v>
      </c>
      <c r="C4" s="7">
        <v>900</v>
      </c>
      <c r="D4" s="7">
        <v>2060</v>
      </c>
      <c r="E4" s="9"/>
      <c r="H4" s="16" t="s">
        <v>32</v>
      </c>
      <c r="I4" s="6">
        <v>4360</v>
      </c>
      <c r="J4" s="7">
        <v>1470</v>
      </c>
      <c r="K4" s="9"/>
      <c r="N4" s="16" t="s">
        <v>32</v>
      </c>
      <c r="O4" s="6">
        <v>5500</v>
      </c>
      <c r="P4" s="7">
        <v>1470</v>
      </c>
      <c r="Q4" s="9"/>
      <c r="T4" s="16" t="s">
        <v>32</v>
      </c>
      <c r="U4" s="6">
        <v>4400</v>
      </c>
      <c r="V4" s="7">
        <v>2060</v>
      </c>
      <c r="W4" s="9"/>
    </row>
    <row r="5" spans="1:24" ht="15.75" x14ac:dyDescent="0.25">
      <c r="B5" s="17" t="s">
        <v>0</v>
      </c>
      <c r="E5" s="9"/>
      <c r="H5" s="17" t="s">
        <v>0</v>
      </c>
      <c r="K5" s="9"/>
      <c r="N5" s="17" t="s">
        <v>0</v>
      </c>
      <c r="Q5" s="9"/>
      <c r="T5" s="17" t="s">
        <v>0</v>
      </c>
      <c r="W5" s="9"/>
    </row>
    <row r="6" spans="1:24" x14ac:dyDescent="0.25">
      <c r="B6" s="16" t="s">
        <v>23</v>
      </c>
      <c r="C6">
        <v>3329</v>
      </c>
      <c r="E6" s="9"/>
      <c r="H6" s="16" t="s">
        <v>23</v>
      </c>
      <c r="I6">
        <v>3329</v>
      </c>
      <c r="K6" s="9"/>
      <c r="N6" s="16" t="s">
        <v>16</v>
      </c>
      <c r="O6">
        <v>3344</v>
      </c>
      <c r="Q6" s="9"/>
      <c r="T6" s="21" t="s">
        <v>30</v>
      </c>
      <c r="U6" s="12" t="s">
        <v>31</v>
      </c>
      <c r="W6" s="9"/>
    </row>
    <row r="7" spans="1:24" x14ac:dyDescent="0.25">
      <c r="B7" s="16" t="s">
        <v>1</v>
      </c>
      <c r="C7">
        <v>3308</v>
      </c>
      <c r="E7" s="9"/>
      <c r="H7" s="16" t="s">
        <v>1</v>
      </c>
      <c r="I7">
        <v>3308</v>
      </c>
      <c r="K7" s="9"/>
      <c r="N7" s="16" t="s">
        <v>1</v>
      </c>
      <c r="O7">
        <v>3308</v>
      </c>
      <c r="Q7" s="9"/>
      <c r="T7" s="16" t="s">
        <v>1</v>
      </c>
      <c r="U7">
        <v>3308</v>
      </c>
      <c r="W7" s="9"/>
    </row>
    <row r="8" spans="1:24" x14ac:dyDescent="0.25">
      <c r="B8" s="16" t="s">
        <v>2</v>
      </c>
      <c r="C8">
        <v>3312</v>
      </c>
      <c r="E8" s="9"/>
      <c r="H8" s="16" t="s">
        <v>2</v>
      </c>
      <c r="I8">
        <v>3312</v>
      </c>
      <c r="K8" s="9"/>
      <c r="N8" s="16" t="s">
        <v>2</v>
      </c>
      <c r="O8">
        <v>3312</v>
      </c>
      <c r="Q8" s="9"/>
      <c r="T8" s="16" t="s">
        <v>2</v>
      </c>
      <c r="U8">
        <v>3312</v>
      </c>
      <c r="W8" s="9"/>
    </row>
    <row r="9" spans="1:24" x14ac:dyDescent="0.25">
      <c r="B9" s="16" t="s">
        <v>3</v>
      </c>
      <c r="C9">
        <v>3326</v>
      </c>
      <c r="E9" s="9"/>
      <c r="H9" s="16" t="s">
        <v>3</v>
      </c>
      <c r="I9">
        <v>3326</v>
      </c>
      <c r="K9" s="9"/>
      <c r="N9" s="16" t="s">
        <v>3</v>
      </c>
      <c r="O9">
        <v>3326</v>
      </c>
      <c r="Q9" s="9"/>
      <c r="T9" s="16" t="s">
        <v>3</v>
      </c>
      <c r="U9" s="4" t="s">
        <v>24</v>
      </c>
      <c r="W9" s="9"/>
    </row>
    <row r="10" spans="1:24" ht="15.75" x14ac:dyDescent="0.25">
      <c r="B10" s="17" t="s">
        <v>5</v>
      </c>
      <c r="E10" s="9"/>
      <c r="H10" s="17" t="s">
        <v>5</v>
      </c>
      <c r="K10" s="9"/>
      <c r="N10" s="17" t="s">
        <v>5</v>
      </c>
      <c r="Q10" s="9"/>
      <c r="T10" s="17" t="s">
        <v>5</v>
      </c>
      <c r="W10" s="9"/>
    </row>
    <row r="11" spans="1:24" x14ac:dyDescent="0.25">
      <c r="B11" s="16" t="s">
        <v>4</v>
      </c>
      <c r="C11" s="4">
        <v>30709</v>
      </c>
      <c r="D11">
        <f>(4*C4+6*D4)/1000</f>
        <v>15.96</v>
      </c>
      <c r="E11" s="9">
        <v>15.6</v>
      </c>
      <c r="I11" s="4">
        <v>30709</v>
      </c>
      <c r="J11">
        <f>(4*I4+6*J4)/1000</f>
        <v>26.26</v>
      </c>
      <c r="K11" s="9">
        <v>31</v>
      </c>
      <c r="O11" s="4">
        <v>30709</v>
      </c>
      <c r="P11">
        <f>(4*O4+14*P4)/1000</f>
        <v>42.58</v>
      </c>
      <c r="Q11" s="9">
        <v>41</v>
      </c>
      <c r="U11" s="4">
        <v>30709</v>
      </c>
      <c r="V11">
        <f>(4*U4+6*V4)/1000</f>
        <v>29.96</v>
      </c>
      <c r="W11" s="9"/>
    </row>
    <row r="12" spans="1:24" x14ac:dyDescent="0.25">
      <c r="C12" s="4">
        <v>30190</v>
      </c>
      <c r="D12">
        <v>8</v>
      </c>
      <c r="E12" s="9">
        <v>16</v>
      </c>
      <c r="I12" s="4">
        <v>30190</v>
      </c>
      <c r="J12">
        <v>8</v>
      </c>
      <c r="K12" s="9">
        <v>8</v>
      </c>
      <c r="O12" s="4">
        <v>30190</v>
      </c>
      <c r="P12">
        <v>16</v>
      </c>
      <c r="Q12" s="9">
        <v>24</v>
      </c>
      <c r="U12" s="4">
        <v>30190</v>
      </c>
      <c r="V12">
        <v>8</v>
      </c>
      <c r="W12" s="9">
        <v>8</v>
      </c>
    </row>
    <row r="13" spans="1:24" x14ac:dyDescent="0.25">
      <c r="C13" s="4">
        <v>30624</v>
      </c>
      <c r="D13">
        <v>8</v>
      </c>
      <c r="E13" s="9">
        <v>12</v>
      </c>
      <c r="I13" s="4">
        <v>30624</v>
      </c>
      <c r="J13">
        <v>8</v>
      </c>
      <c r="K13" s="9">
        <v>8</v>
      </c>
      <c r="O13" s="4">
        <v>30624</v>
      </c>
      <c r="P13">
        <v>16</v>
      </c>
      <c r="Q13" s="9">
        <f>12+4</f>
        <v>16</v>
      </c>
      <c r="U13" s="4">
        <v>30624</v>
      </c>
      <c r="V13">
        <v>8</v>
      </c>
      <c r="W13" s="9">
        <f>4+4</f>
        <v>8</v>
      </c>
      <c r="X13" t="s">
        <v>27</v>
      </c>
    </row>
    <row r="14" spans="1:24" x14ac:dyDescent="0.25">
      <c r="C14" s="4">
        <v>30629</v>
      </c>
      <c r="D14">
        <v>4</v>
      </c>
      <c r="E14" s="9">
        <v>4</v>
      </c>
      <c r="F14" t="s">
        <v>26</v>
      </c>
      <c r="I14" s="4">
        <v>30629</v>
      </c>
      <c r="J14">
        <v>8</v>
      </c>
      <c r="K14" s="9">
        <v>8</v>
      </c>
      <c r="L14" t="s">
        <v>26</v>
      </c>
      <c r="O14" s="4">
        <v>30629</v>
      </c>
      <c r="P14">
        <v>16</v>
      </c>
      <c r="Q14" s="9">
        <v>16</v>
      </c>
      <c r="R14" t="s">
        <v>26</v>
      </c>
      <c r="U14" s="4">
        <v>30629</v>
      </c>
      <c r="V14">
        <v>8</v>
      </c>
      <c r="W14" s="9">
        <v>8</v>
      </c>
      <c r="X14" t="s">
        <v>26</v>
      </c>
    </row>
    <row r="15" spans="1:24" x14ac:dyDescent="0.25">
      <c r="C15" s="4">
        <v>30123</v>
      </c>
      <c r="D15">
        <v>2</v>
      </c>
      <c r="E15" s="9">
        <v>2</v>
      </c>
      <c r="I15" s="4">
        <v>30123</v>
      </c>
      <c r="J15">
        <v>2</v>
      </c>
      <c r="K15" s="9">
        <v>4</v>
      </c>
      <c r="O15" s="4">
        <v>30123</v>
      </c>
      <c r="P15">
        <v>8</v>
      </c>
      <c r="Q15" s="9">
        <v>8</v>
      </c>
      <c r="U15" s="4">
        <v>30123</v>
      </c>
      <c r="V15">
        <v>6</v>
      </c>
      <c r="W15" s="9">
        <v>6</v>
      </c>
      <c r="X15" t="s">
        <v>27</v>
      </c>
    </row>
    <row r="16" spans="1:24" x14ac:dyDescent="0.25">
      <c r="C16" s="4">
        <v>30247</v>
      </c>
      <c r="D16" s="8" t="s">
        <v>24</v>
      </c>
      <c r="E16" s="14"/>
      <c r="I16" s="4">
        <v>30247</v>
      </c>
      <c r="J16">
        <v>1</v>
      </c>
      <c r="K16" s="9">
        <v>1</v>
      </c>
      <c r="L16" t="s">
        <v>26</v>
      </c>
      <c r="O16" s="4">
        <v>30247</v>
      </c>
      <c r="P16">
        <v>1</v>
      </c>
      <c r="Q16" s="9">
        <v>1</v>
      </c>
      <c r="R16" t="s">
        <v>26</v>
      </c>
      <c r="U16" s="4">
        <v>30247</v>
      </c>
      <c r="V16" s="5" t="s">
        <v>24</v>
      </c>
      <c r="W16" s="14" t="s">
        <v>24</v>
      </c>
      <c r="X16" t="s">
        <v>26</v>
      </c>
    </row>
    <row r="17" spans="2:24" x14ac:dyDescent="0.25">
      <c r="C17" s="4">
        <v>30309</v>
      </c>
      <c r="D17">
        <v>2</v>
      </c>
      <c r="E17" s="9">
        <v>2</v>
      </c>
      <c r="F17" t="s">
        <v>27</v>
      </c>
      <c r="I17" s="4">
        <v>30309</v>
      </c>
      <c r="J17">
        <v>2</v>
      </c>
      <c r="K17" s="9">
        <v>2</v>
      </c>
      <c r="L17" t="s">
        <v>27</v>
      </c>
      <c r="O17" s="4">
        <v>30309</v>
      </c>
      <c r="P17">
        <v>3</v>
      </c>
      <c r="Q17" s="9">
        <v>3</v>
      </c>
      <c r="R17" t="s">
        <v>27</v>
      </c>
      <c r="U17" s="4">
        <v>30309</v>
      </c>
      <c r="V17">
        <v>4</v>
      </c>
      <c r="W17" s="9">
        <v>4</v>
      </c>
      <c r="X17" t="s">
        <v>27</v>
      </c>
    </row>
    <row r="18" spans="2:24" x14ac:dyDescent="0.25">
      <c r="C18" s="4">
        <v>30246</v>
      </c>
      <c r="D18">
        <v>2</v>
      </c>
      <c r="E18" s="9">
        <v>2</v>
      </c>
      <c r="F18" t="s">
        <v>26</v>
      </c>
      <c r="I18" s="4">
        <v>30246</v>
      </c>
      <c r="J18">
        <v>2</v>
      </c>
      <c r="K18" s="9">
        <v>2</v>
      </c>
      <c r="L18" t="s">
        <v>26</v>
      </c>
      <c r="O18" s="4">
        <v>30246</v>
      </c>
      <c r="P18">
        <v>8</v>
      </c>
      <c r="Q18" s="9">
        <v>8</v>
      </c>
      <c r="R18" t="s">
        <v>26</v>
      </c>
      <c r="U18" s="4">
        <v>30246</v>
      </c>
      <c r="V18">
        <v>3</v>
      </c>
      <c r="W18" s="9">
        <v>3</v>
      </c>
      <c r="X18" t="s">
        <v>26</v>
      </c>
    </row>
    <row r="19" spans="2:24" x14ac:dyDescent="0.25">
      <c r="C19" s="4">
        <v>30371</v>
      </c>
      <c r="D19">
        <f>(C4/500)+1</f>
        <v>2.8</v>
      </c>
      <c r="E19" s="9">
        <v>3</v>
      </c>
      <c r="F19" t="s">
        <v>27</v>
      </c>
      <c r="I19" s="4">
        <v>30371</v>
      </c>
      <c r="J19">
        <f>(I4/500)+1</f>
        <v>9.7200000000000006</v>
      </c>
      <c r="K19" s="9">
        <v>12</v>
      </c>
      <c r="L19" t="s">
        <v>27</v>
      </c>
      <c r="O19" s="4">
        <v>30371</v>
      </c>
      <c r="P19">
        <f>(O4/500)+1</f>
        <v>12</v>
      </c>
      <c r="Q19" s="9">
        <v>12</v>
      </c>
      <c r="R19" t="s">
        <v>27</v>
      </c>
      <c r="U19" s="4">
        <v>30371</v>
      </c>
      <c r="V19">
        <f>(U4/500)+1</f>
        <v>9.8000000000000007</v>
      </c>
      <c r="W19" s="9">
        <v>11</v>
      </c>
      <c r="X19" t="s">
        <v>27</v>
      </c>
    </row>
    <row r="20" spans="2:24" x14ac:dyDescent="0.25">
      <c r="E20" s="9"/>
      <c r="K20" s="9"/>
      <c r="O20" s="12">
        <v>30180</v>
      </c>
      <c r="P20" s="13">
        <v>0</v>
      </c>
      <c r="Q20" s="13" t="s">
        <v>28</v>
      </c>
      <c r="U20" s="12">
        <v>30180</v>
      </c>
      <c r="V20" s="13">
        <v>0</v>
      </c>
      <c r="W20" s="13" t="s">
        <v>28</v>
      </c>
    </row>
    <row r="21" spans="2:24" x14ac:dyDescent="0.25">
      <c r="C21" s="4">
        <v>30664</v>
      </c>
      <c r="D21" s="1">
        <v>4</v>
      </c>
      <c r="E21" s="11">
        <v>4</v>
      </c>
      <c r="I21" s="4">
        <v>30664</v>
      </c>
      <c r="J21" s="1">
        <v>8</v>
      </c>
      <c r="K21" s="11">
        <v>8</v>
      </c>
      <c r="O21" s="4">
        <v>30664</v>
      </c>
      <c r="P21" s="1">
        <v>12</v>
      </c>
      <c r="Q21" s="11">
        <v>12</v>
      </c>
      <c r="U21" s="4">
        <v>30664</v>
      </c>
      <c r="V21" s="1">
        <v>8</v>
      </c>
      <c r="W21" s="11">
        <v>8</v>
      </c>
    </row>
    <row r="22" spans="2:24" x14ac:dyDescent="0.25">
      <c r="C22" s="4">
        <v>30663</v>
      </c>
      <c r="D22" s="1"/>
      <c r="E22" s="11"/>
      <c r="I22" s="4">
        <v>30663</v>
      </c>
      <c r="J22" s="1"/>
      <c r="K22" s="11"/>
      <c r="O22" s="4">
        <v>30663</v>
      </c>
      <c r="P22" s="1"/>
      <c r="Q22" s="11"/>
      <c r="U22" s="4">
        <v>30663</v>
      </c>
      <c r="V22" s="1"/>
      <c r="W22" s="11"/>
    </row>
    <row r="23" spans="2:24" x14ac:dyDescent="0.25">
      <c r="B23" s="18" t="s">
        <v>6</v>
      </c>
      <c r="C23" s="4">
        <v>30542</v>
      </c>
      <c r="D23">
        <v>2</v>
      </c>
      <c r="E23" s="9">
        <v>4</v>
      </c>
      <c r="H23" s="18" t="s">
        <v>6</v>
      </c>
      <c r="I23" s="4">
        <v>30542</v>
      </c>
      <c r="J23">
        <v>3</v>
      </c>
      <c r="K23" s="9">
        <v>3</v>
      </c>
      <c r="N23" s="18" t="s">
        <v>6</v>
      </c>
      <c r="O23" s="4">
        <v>30542</v>
      </c>
      <c r="P23">
        <v>3</v>
      </c>
      <c r="Q23" s="9">
        <v>3</v>
      </c>
      <c r="T23" s="18" t="s">
        <v>6</v>
      </c>
      <c r="U23" s="4">
        <v>30542</v>
      </c>
      <c r="V23">
        <v>2</v>
      </c>
      <c r="W23" s="9">
        <v>3</v>
      </c>
    </row>
    <row r="24" spans="2:24" x14ac:dyDescent="0.25">
      <c r="B24" s="18"/>
      <c r="C24" s="4">
        <v>30677</v>
      </c>
      <c r="D24">
        <v>2</v>
      </c>
      <c r="E24" s="9">
        <v>2</v>
      </c>
      <c r="H24" s="18"/>
      <c r="I24" s="4">
        <v>30677</v>
      </c>
      <c r="J24">
        <v>3</v>
      </c>
      <c r="K24" s="9">
        <v>3</v>
      </c>
      <c r="N24" s="18"/>
      <c r="O24" s="4">
        <v>30677</v>
      </c>
      <c r="P24">
        <v>3</v>
      </c>
      <c r="Q24" s="9">
        <v>3</v>
      </c>
      <c r="T24" s="18"/>
      <c r="U24" s="4">
        <v>30677</v>
      </c>
      <c r="V24">
        <v>2</v>
      </c>
      <c r="W24" s="9">
        <v>3</v>
      </c>
    </row>
    <row r="25" spans="2:24" x14ac:dyDescent="0.25">
      <c r="B25" s="18"/>
      <c r="C25" s="4">
        <v>30678</v>
      </c>
      <c r="D25">
        <v>2</v>
      </c>
      <c r="E25" s="9">
        <v>2</v>
      </c>
      <c r="H25" s="18"/>
      <c r="I25" s="4">
        <v>30678</v>
      </c>
      <c r="J25">
        <v>3</v>
      </c>
      <c r="K25" s="9">
        <v>3</v>
      </c>
      <c r="N25" s="18"/>
      <c r="O25" s="4">
        <v>30678</v>
      </c>
      <c r="P25">
        <v>3</v>
      </c>
      <c r="Q25" s="9">
        <v>3</v>
      </c>
      <c r="T25" s="18"/>
      <c r="U25" s="4">
        <v>30678</v>
      </c>
      <c r="V25">
        <v>2</v>
      </c>
      <c r="W25" s="9">
        <v>3</v>
      </c>
    </row>
    <row r="26" spans="2:24" x14ac:dyDescent="0.25">
      <c r="B26" s="19" t="s">
        <v>12</v>
      </c>
      <c r="C26" s="5" t="s">
        <v>7</v>
      </c>
      <c r="D26">
        <v>2</v>
      </c>
      <c r="E26" s="9"/>
      <c r="H26" s="19" t="s">
        <v>12</v>
      </c>
      <c r="I26" s="5" t="s">
        <v>7</v>
      </c>
      <c r="J26">
        <v>3</v>
      </c>
      <c r="K26" s="9"/>
      <c r="N26" s="19" t="s">
        <v>12</v>
      </c>
      <c r="O26" s="5" t="s">
        <v>7</v>
      </c>
      <c r="P26">
        <v>3</v>
      </c>
      <c r="Q26" s="9"/>
      <c r="T26" s="19" t="s">
        <v>12</v>
      </c>
      <c r="U26" s="5" t="s">
        <v>7</v>
      </c>
      <c r="V26">
        <v>3</v>
      </c>
      <c r="W26" s="9"/>
    </row>
    <row r="27" spans="2:24" x14ac:dyDescent="0.25">
      <c r="B27" s="19"/>
      <c r="C27" s="4" t="s">
        <v>8</v>
      </c>
      <c r="D27">
        <v>4</v>
      </c>
      <c r="E27" s="9"/>
      <c r="H27" s="19"/>
      <c r="I27" s="4" t="s">
        <v>8</v>
      </c>
      <c r="J27">
        <v>6</v>
      </c>
      <c r="K27" s="9"/>
      <c r="N27" s="19"/>
      <c r="O27" s="4" t="s">
        <v>8</v>
      </c>
      <c r="P27">
        <v>6</v>
      </c>
      <c r="Q27" s="9"/>
      <c r="T27" s="19"/>
      <c r="U27" s="4" t="s">
        <v>8</v>
      </c>
      <c r="V27">
        <v>6</v>
      </c>
      <c r="W27" s="9"/>
    </row>
    <row r="28" spans="2:24" x14ac:dyDescent="0.25">
      <c r="B28" s="19"/>
      <c r="C28" s="4" t="s">
        <v>9</v>
      </c>
      <c r="D28">
        <v>4</v>
      </c>
      <c r="E28" s="9"/>
      <c r="H28" s="19"/>
      <c r="I28" s="4" t="s">
        <v>9</v>
      </c>
      <c r="J28">
        <v>6</v>
      </c>
      <c r="K28" s="9"/>
      <c r="N28" s="19"/>
      <c r="O28" s="4" t="s">
        <v>9</v>
      </c>
      <c r="P28">
        <v>6</v>
      </c>
      <c r="Q28" s="9"/>
      <c r="T28" s="19"/>
      <c r="U28" s="4" t="s">
        <v>9</v>
      </c>
      <c r="V28">
        <v>6</v>
      </c>
      <c r="W28" s="9"/>
    </row>
    <row r="29" spans="2:24" x14ac:dyDescent="0.25">
      <c r="B29" s="19"/>
      <c r="C29" s="4" t="s">
        <v>10</v>
      </c>
      <c r="D29">
        <v>8</v>
      </c>
      <c r="E29" s="9"/>
      <c r="H29" s="19"/>
      <c r="I29" s="4" t="s">
        <v>10</v>
      </c>
      <c r="J29">
        <v>12</v>
      </c>
      <c r="K29" s="9"/>
      <c r="N29" s="19"/>
      <c r="O29" s="4" t="s">
        <v>10</v>
      </c>
      <c r="P29">
        <v>12</v>
      </c>
      <c r="Q29" s="9"/>
      <c r="T29" s="19"/>
      <c r="U29" s="4" t="s">
        <v>10</v>
      </c>
      <c r="V29">
        <v>12</v>
      </c>
      <c r="W29" s="9"/>
    </row>
    <row r="30" spans="2:24" x14ac:dyDescent="0.25">
      <c r="B30" s="19" t="s">
        <v>13</v>
      </c>
      <c r="C30" s="5" t="s">
        <v>11</v>
      </c>
      <c r="D30">
        <v>2</v>
      </c>
      <c r="E30" s="9"/>
      <c r="H30" s="19" t="s">
        <v>13</v>
      </c>
      <c r="I30" s="5" t="s">
        <v>11</v>
      </c>
      <c r="J30">
        <v>3</v>
      </c>
      <c r="K30" s="9"/>
      <c r="N30" s="19" t="s">
        <v>13</v>
      </c>
      <c r="O30" s="5" t="s">
        <v>11</v>
      </c>
      <c r="P30">
        <v>3</v>
      </c>
      <c r="Q30" s="9"/>
      <c r="T30" s="19" t="s">
        <v>13</v>
      </c>
      <c r="U30" s="5" t="s">
        <v>11</v>
      </c>
      <c r="V30">
        <v>3</v>
      </c>
      <c r="W30" s="9"/>
    </row>
    <row r="31" spans="2:24" x14ac:dyDescent="0.25">
      <c r="B31" s="19"/>
      <c r="C31" s="4" t="s">
        <v>8</v>
      </c>
      <c r="D31">
        <v>4</v>
      </c>
      <c r="E31" s="9"/>
      <c r="H31" s="19"/>
      <c r="I31" s="4" t="s">
        <v>8</v>
      </c>
      <c r="J31">
        <v>6</v>
      </c>
      <c r="K31" s="9"/>
      <c r="N31" s="19"/>
      <c r="O31" s="4" t="s">
        <v>8</v>
      </c>
      <c r="P31">
        <v>6</v>
      </c>
      <c r="Q31" s="9"/>
      <c r="T31" s="19"/>
      <c r="U31" s="4" t="s">
        <v>8</v>
      </c>
      <c r="V31">
        <v>6</v>
      </c>
      <c r="W31" s="9"/>
    </row>
    <row r="32" spans="2:24" x14ac:dyDescent="0.25">
      <c r="B32" s="19"/>
      <c r="C32" s="4" t="s">
        <v>9</v>
      </c>
      <c r="D32">
        <v>4</v>
      </c>
      <c r="E32" s="9"/>
      <c r="H32" s="19"/>
      <c r="I32" s="4" t="s">
        <v>9</v>
      </c>
      <c r="J32">
        <v>6</v>
      </c>
      <c r="K32" s="9"/>
      <c r="N32" s="19"/>
      <c r="O32" s="4" t="s">
        <v>9</v>
      </c>
      <c r="P32">
        <v>6</v>
      </c>
      <c r="Q32" s="9"/>
      <c r="T32" s="19"/>
      <c r="U32" s="4" t="s">
        <v>9</v>
      </c>
      <c r="V32">
        <v>6</v>
      </c>
      <c r="W32" s="9"/>
    </row>
    <row r="33" spans="2:23" x14ac:dyDescent="0.25">
      <c r="B33" s="19"/>
      <c r="C33" s="4" t="s">
        <v>10</v>
      </c>
      <c r="D33">
        <v>12</v>
      </c>
      <c r="E33" s="9"/>
      <c r="H33" s="19"/>
      <c r="I33" s="4" t="s">
        <v>10</v>
      </c>
      <c r="J33">
        <v>18</v>
      </c>
      <c r="K33" s="9"/>
      <c r="N33" s="19"/>
      <c r="O33" s="4" t="s">
        <v>10</v>
      </c>
      <c r="P33">
        <v>18</v>
      </c>
      <c r="Q33" s="9"/>
      <c r="T33" s="19"/>
      <c r="U33" s="4" t="s">
        <v>10</v>
      </c>
      <c r="V33">
        <v>18</v>
      </c>
      <c r="W33" s="9"/>
    </row>
    <row r="34" spans="2:23" x14ac:dyDescent="0.25">
      <c r="B34" s="19" t="s">
        <v>15</v>
      </c>
      <c r="C34" s="5" t="s">
        <v>14</v>
      </c>
      <c r="D34">
        <v>2</v>
      </c>
      <c r="E34" s="9"/>
      <c r="H34" s="19" t="s">
        <v>15</v>
      </c>
      <c r="I34" s="5" t="s">
        <v>14</v>
      </c>
      <c r="J34">
        <v>3</v>
      </c>
      <c r="K34" s="9"/>
      <c r="N34" s="19" t="s">
        <v>15</v>
      </c>
      <c r="O34" s="5" t="s">
        <v>14</v>
      </c>
      <c r="P34">
        <v>3</v>
      </c>
      <c r="Q34" s="9"/>
      <c r="T34" s="19" t="s">
        <v>15</v>
      </c>
      <c r="U34" s="5" t="s">
        <v>14</v>
      </c>
      <c r="V34">
        <v>3</v>
      </c>
      <c r="W34" s="9"/>
    </row>
    <row r="35" spans="2:23" x14ac:dyDescent="0.25">
      <c r="B35" s="19"/>
      <c r="C35" s="4" t="s">
        <v>8</v>
      </c>
      <c r="D35">
        <v>8</v>
      </c>
      <c r="E35" s="9"/>
      <c r="H35" s="19"/>
      <c r="I35" s="4" t="s">
        <v>8</v>
      </c>
      <c r="J35">
        <v>12</v>
      </c>
      <c r="K35" s="9"/>
      <c r="N35" s="19"/>
      <c r="O35" s="4" t="s">
        <v>8</v>
      </c>
      <c r="P35">
        <v>6</v>
      </c>
      <c r="Q35" s="9"/>
      <c r="T35" s="19"/>
      <c r="U35" s="4" t="s">
        <v>8</v>
      </c>
      <c r="V35">
        <v>6</v>
      </c>
      <c r="W35" s="9"/>
    </row>
    <row r="36" spans="2:23" x14ac:dyDescent="0.25">
      <c r="B36" s="19"/>
      <c r="C36" s="4" t="s">
        <v>9</v>
      </c>
      <c r="D36">
        <v>8</v>
      </c>
      <c r="E36" s="9"/>
      <c r="H36" s="19"/>
      <c r="I36" s="4" t="s">
        <v>9</v>
      </c>
      <c r="J36">
        <v>12</v>
      </c>
      <c r="K36" s="9"/>
      <c r="N36" s="19"/>
      <c r="O36" s="4" t="s">
        <v>9</v>
      </c>
      <c r="P36">
        <v>6</v>
      </c>
      <c r="Q36" s="9"/>
      <c r="T36" s="19"/>
      <c r="U36" s="4" t="s">
        <v>9</v>
      </c>
      <c r="V36">
        <v>6</v>
      </c>
      <c r="W36" s="9"/>
    </row>
    <row r="37" spans="2:23" x14ac:dyDescent="0.25">
      <c r="B37" s="19"/>
      <c r="C37" s="4" t="s">
        <v>10</v>
      </c>
      <c r="D37">
        <v>12</v>
      </c>
      <c r="E37" s="9"/>
      <c r="H37" s="19"/>
      <c r="I37" s="4" t="s">
        <v>10</v>
      </c>
      <c r="J37">
        <v>18</v>
      </c>
      <c r="K37" s="9"/>
      <c r="N37" s="19"/>
      <c r="O37" s="4" t="s">
        <v>10</v>
      </c>
      <c r="P37">
        <v>18</v>
      </c>
      <c r="Q37" s="9"/>
      <c r="T37" s="19"/>
      <c r="U37" s="4" t="s">
        <v>10</v>
      </c>
      <c r="V37">
        <v>18</v>
      </c>
      <c r="W37" s="9"/>
    </row>
  </sheetData>
  <mergeCells count="24">
    <mergeCell ref="T30:T33"/>
    <mergeCell ref="T34:T37"/>
    <mergeCell ref="Q21:Q22"/>
    <mergeCell ref="E21:E22"/>
    <mergeCell ref="V21:V22"/>
    <mergeCell ref="W21:W22"/>
    <mergeCell ref="T23:T25"/>
    <mergeCell ref="T26:T29"/>
    <mergeCell ref="B23:B25"/>
    <mergeCell ref="B26:B29"/>
    <mergeCell ref="B30:B33"/>
    <mergeCell ref="B34:B37"/>
    <mergeCell ref="D21:D22"/>
    <mergeCell ref="K21:K22"/>
    <mergeCell ref="J21:J22"/>
    <mergeCell ref="H23:H25"/>
    <mergeCell ref="H26:H29"/>
    <mergeCell ref="H30:H33"/>
    <mergeCell ref="H34:H37"/>
    <mergeCell ref="P21:P22"/>
    <mergeCell ref="N23:N25"/>
    <mergeCell ref="N26:N29"/>
    <mergeCell ref="N30:N33"/>
    <mergeCell ref="N34:N3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gomez</dc:creator>
  <cp:lastModifiedBy>Jose Manuel Gomez Ribas</cp:lastModifiedBy>
  <dcterms:created xsi:type="dcterms:W3CDTF">2015-06-05T18:19:34Z</dcterms:created>
  <dcterms:modified xsi:type="dcterms:W3CDTF">2025-04-30T08:41:00Z</dcterms:modified>
</cp:coreProperties>
</file>