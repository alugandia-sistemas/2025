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12\calculos\1\"/>
    </mc:Choice>
  </mc:AlternateContent>
  <xr:revisionPtr revIDLastSave="0" documentId="13_ncr:1_{D0BB0D7D-D6BA-425F-9B8F-D860879DC13A}" xr6:coauthVersionLast="47" xr6:coauthVersionMax="47" xr10:uidLastSave="{00000000-0000-0000-0000-000000000000}"/>
  <bookViews>
    <workbookView xWindow="-22335" yWindow="480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<sst xmlns="http://schemas.openxmlformats.org/spreadsheetml/2006/main" count="5407" uniqueCount="1453">
  <si>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</si>
  <si>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</si>
  <si>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</si>
  <si>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</si>
  <si>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</si>
  <si>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</si>
  <si>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</si>
  <si>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</si>
  <si>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</si>
  <si>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</si>
  <si>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</si>
  <si>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</si>
  <si>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</si>
  <si>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</si>
  <si>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</si>
  <si>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</si>
  <si>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</si>
  <si>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</si>
  <si>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</si>
  <si>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</si>
  <si>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</si>
  <si>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</si>
  <si>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</si>
  <si>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</si>
  <si>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</si>
  <si>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</si>
  <si>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</si>
  <si>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</si>
  <si>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</si>
  <si>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</si>
  <si>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</si>
  <si>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</si>
  <si>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</si>
  <si>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</si>
  <si>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</si>
  <si>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</si>
  <si>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</si>
  <si>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</si>
  <si>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</si>
  <si>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</si>
  <si>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</si>
  <si>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</si>
  <si>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</si>
  <si>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</si>
  <si>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</si>
  <si>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</si>
  <si>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</si>
  <si>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</si>
  <si>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</si>
  <si>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</si>
  <si>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</si>
  <si>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</si>
  <si>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</si>
  <si>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</si>
  <si>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</si>
  <si>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</si>
  <si>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</si>
  <si>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</si>
  <si>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</si>
  <si>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</si>
  <si>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</si>
  <si>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</si>
  <si>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</si>
  <si>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</si>
  <si>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</si>
  <si>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</si>
  <si>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</si>
  <si>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</si>
  <si>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</si>
  <si>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</si>
  <si>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</si>
  <si>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</si>
  <si>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</si>
  <si>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</si>
  <si>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</si>
  <si>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</si>
  <si>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</si>
  <si>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</si>
  <si>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</si>
  <si>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</si>
  <si>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</si>
  <si>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</si>
  <si>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</si>
  <si>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</si>
  <si>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</si>
  <si>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</si>
  <si>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</si>
  <si>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</si>
  <si>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</si>
  <si>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</si>
  <si>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</si>
  <si>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</si>
  <si>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</si>
  <si>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</si>
  <si>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</si>
  <si>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</si>
  <si>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</si>
  <si>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</si>
  <si>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</si>
  <si>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</si>
  <si>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</si>
  <si>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</si>
  <si>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</si>
  <si>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</si>
  <si>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</si>
  <si>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</si>
  <si>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</si>
  <si>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</si>
  <si>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</si>
  <si>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</si>
  <si>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</si>
  <si>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</si>
  <si>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</si>
  <si>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</si>
  <si>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</si>
  <si>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</si>
  <si>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</si>
  <si>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</si>
  <si>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</si>
  <si>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</si>
  <si>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</si>
  <si>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</si>
  <si>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</si>
  <si>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</si>
  <si>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</si>
  <si>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</si>
  <si>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</si>
  <si>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</si>
  <si>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</si>
  <si>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</si>
  <si>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</si>
  <si>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</si>
  <si>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</si>
  <si>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</si>
  <si>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</si>
  <si>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</si>
  <si>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</si>
  <si>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</si>
  <si>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</si>
  <si>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</si>
  <si>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</si>
  <si>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</si>
  <si>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</si>
  <si>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</si>
  <si>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</si>
  <si>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</si>
  <si>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</si>
  <si>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</si>
  <si>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</si>
  <si>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</si>
  <si>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</si>
  <si>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</si>
  <si>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</si>
  <si>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</si>
  <si>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</si>
  <si>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</si>
  <si>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</si>
  <si>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</si>
  <si>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</si>
  <si>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</si>
  <si>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</si>
  <si>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</si>
  <si>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</si>
  <si>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</si>
  <si>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</si>
  <si>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</si>
  <si>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</si>
  <si>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</si>
  <si>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</si>
  <si>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</si>
  <si>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</si>
  <si>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</si>
  <si>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</si>
  <si>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</si>
  <si>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</si>
  <si>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</si>
  <si>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</si>
  <si>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</si>
  <si>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</si>
  <si>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</si>
  <si>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</si>
  <si>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</si>
  <si>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</si>
  <si>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</si>
  <si>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</si>
  <si>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</si>
  <si>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</si>
  <si>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</si>
  <si>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</si>
  <si>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</si>
  <si>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</si>
  <si>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</si>
  <si>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</si>
  <si>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</si>
  <si>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</si>
  <si>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</si>
  <si>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</si>
  <si>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</si>
  <si>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</si>
  <si>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</si>
  <si>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</si>
  <si>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</si>
  <si>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</si>
  <si>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</si>
  <si>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</si>
  <si>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</si>
  <si>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</si>
  <si>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</si>
  <si>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</si>
  <si>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</si>
  <si>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</si>
  <si>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</si>
  <si>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</si>
  <si>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</si>
  <si>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</si>
  <si>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</si>
  <si>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</si>
  <si>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</si>
  <si>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</si>
  <si>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</si>
  <si>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</si>
  <si>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</si>
  <si>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</si>
  <si>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</si>
  <si>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</si>
  <si>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</si>
  <si>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</si>
  <si>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</si>
  <si>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</si>
  <si>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</si>
  <si>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</si>
  <si>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</si>
  <si>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</si>
  <si>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</si>
  <si>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</si>
  <si>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</si>
  <si>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</si>
  <si>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</si>
  <si>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</si>
  <si>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</si>
  <si>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</si>
  <si>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</si>
  <si>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</si>
  <si>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</si>
  <si>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</si>
  <si>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</si>
  <si>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</si>
  <si>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</si>
  <si>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</si>
  <si>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</si>
  <si>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</si>
  <si>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</si>
  <si>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</si>
  <si>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</si>
  <si>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</si>
  <si>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</si>
  <si>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</si>
  <si>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</si>
  <si>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</si>
  <si>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</si>
  <si>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</si>
  <si>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</si>
  <si>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</si>
  <si>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</si>
  <si>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</si>
  <si>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</si>
  <si>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</si>
  <si>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</si>
  <si>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</si>
  <si>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</si>
  <si>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</si>
  <si>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</si>
  <si>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</si>
  <si>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</si>
  <si>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</si>
  <si>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</si>
  <si>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</si>
  <si>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</si>
  <si>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</si>
  <si>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</si>
  <si>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</si>
  <si>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</si>
  <si>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</si>
  <si>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</si>
  <si>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</si>
  <si>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</si>
  <si>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</si>
  <si>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</si>
  <si>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</si>
  <si>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</si>
  <si>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</si>
  <si>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</si>
  <si>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</si>
  <si>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</si>
  <si>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</si>
  <si>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</si>
  <si>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</si>
  <si>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</si>
  <si>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</si>
  <si>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</si>
  <si>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</si>
  <si>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</si>
  <si>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</si>
  <si>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</si>
  <si>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</si>
  <si>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</si>
  <si>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</si>
  <si>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</si>
  <si>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</si>
  <si>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</si>
  <si>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</si>
  <si>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</si>
  <si>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</si>
  <si>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</si>
  <si>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</si>
  <si>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</si>
  <si>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</si>
  <si>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</si>
  <si>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</si>
  <si>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</si>
  <si>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</si>
  <si>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</si>
  <si>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</si>
  <si>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</si>
  <si>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</si>
  <si>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</si>
  <si>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</si>
  <si>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</si>
  <si>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</si>
  <si>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</si>
  <si>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</si>
  <si>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</si>
  <si>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</si>
  <si>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</si>
  <si>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</si>
  <si>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</si>
  <si>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</si>
  <si>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</si>
  <si>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</si>
  <si>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</si>
  <si>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</si>
  <si>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</si>
  <si>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</si>
  <si>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</si>
  <si>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</si>
  <si>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</si>
  <si>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</si>
  <si>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</si>
  <si>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</si>
  <si>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</si>
  <si>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</si>
  <si>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</si>
  <si>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</si>
  <si>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</si>
  <si>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</si>
  <si>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</si>
  <si>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</si>
  <si>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</si>
  <si>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</si>
  <si>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</si>
  <si>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</si>
  <si>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</si>
  <si>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</si>
  <si>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</si>
  <si>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</si>
  <si>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</si>
  <si>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</si>
  <si>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</si>
  <si>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</si>
  <si>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</si>
  <si>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</si>
  <si>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</si>
  <si>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</si>
  <si>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</si>
  <si>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</si>
  <si>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</si>
  <si>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</si>
  <si>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</si>
  <si>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</si>
  <si>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</si>
  <si>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</si>
  <si>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</si>
  <si>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</si>
  <si>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</si>
  <si>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</si>
  <si>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</si>
  <si>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</si>
  <si>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</si>
  <si>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</si>
  <si>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</si>
  <si>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</si>
  <si>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</si>
  <si>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</si>
  <si>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</si>
  <si>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</si>
  <si>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</si>
  <si>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</si>
  <si>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</si>
  <si>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</si>
  <si>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</si>
  <si>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</si>
  <si>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</si>
  <si>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</si>
  <si>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</si>
  <si>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</si>
  <si>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</si>
  <si>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</si>
  <si>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</si>
  <si>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</si>
  <si>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</si>
  <si>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</si>
  <si>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</si>
  <si>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</si>
  <si>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</si>
  <si>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</si>
  <si>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</si>
  <si>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</si>
  <si>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</si>
  <si>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</si>
  <si>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</si>
  <si>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</si>
  <si>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</si>
  <si>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</si>
  <si>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</si>
  <si>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</si>
  <si>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</si>
  <si>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</si>
  <si>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</si>
  <si>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</si>
  <si>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</si>
  <si>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</si>
  <si>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</si>
  <si>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</si>
  <si>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</si>
  <si>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</si>
  <si>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</si>
  <si>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</si>
  <si>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</si>
  <si>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</si>
  <si>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</si>
  <si>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</si>
  <si>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</si>
  <si>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</si>
  <si>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</si>
  <si>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</si>
  <si>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</si>
  <si>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</si>
  <si>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</si>
  <si>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</si>
  <si>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</si>
  <si>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</si>
  <si>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</si>
  <si>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</si>
  <si>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</si>
  <si>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</si>
  <si>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</si>
  <si>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</si>
  <si>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</si>
  <si>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</si>
  <si>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</si>
  <si>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</si>
  <si>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</si>
  <si>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</si>
  <si>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</si>
  <si>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</si>
  <si>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</si>
  <si>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</si>
  <si>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</si>
  <si>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</si>
  <si>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</si>
  <si>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</si>
  <si>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</si>
  <si>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</si>
  <si>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</si>
  <si>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</si>
  <si>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</si>
  <si>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</si>
  <si>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</si>
  <si>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</si>
  <si>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</si>
  <si>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</si>
  <si>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</si>
  <si>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</si>
  <si>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</si>
  <si>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</si>
  <si>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</si>
  <si>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</si>
  <si>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</si>
  <si>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</si>
  <si>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</si>
  <si>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</si>
  <si>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</si>
  <si>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</si>
  <si>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</si>
  <si>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</si>
  <si>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</si>
  <si>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</si>
  <si>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</si>
  <si>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</si>
  <si>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</si>
  <si>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</si>
  <si>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</si>
  <si>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</si>
  <si>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</si>
  <si>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</si>
  <si>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</si>
  <si>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</si>
  <si>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</si>
  <si>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</si>
  <si>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</si>
  <si>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</si>
  <si>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</si>
  <si>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</si>
  <si>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</si>
  <si>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</si>
  <si>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</si>
  <si>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</si>
  <si>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</si>
  <si>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</si>
  <si>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</si>
  <si>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</si>
  <si>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</si>
  <si>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</si>
  <si>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</si>
  <si>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</si>
  <si>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</si>
  <si>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</si>
  <si>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</si>
  <si>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</si>
  <si>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</si>
  <si>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</si>
  <si>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</si>
  <si>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</si>
  <si>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</si>
  <si>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</si>
  <si>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</si>
  <si>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</si>
  <si>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</si>
  <si>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</si>
  <si>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</si>
  <si>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</si>
  <si>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</si>
  <si>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</si>
  <si>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</si>
  <si>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</si>
  <si>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</si>
  <si>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</si>
  <si>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</si>
  <si>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</si>
  <si>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</si>
  <si>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</si>
  <si>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</si>
  <si>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</si>
  <si>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</si>
  <si>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</si>
  <si>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</si>
  <si>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</si>
  <si>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</si>
  <si>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</si>
  <si>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</si>
  <si>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</si>
  <si>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</si>
  <si>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</si>
  <si>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</si>
  <si>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</si>
  <si>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</si>
  <si>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</si>
  <si>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</si>
  <si>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</si>
  <si>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</si>
  <si>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</si>
  <si>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</si>
  <si>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</si>
  <si>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</si>
  <si>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</si>
  <si>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</si>
  <si>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</si>
  <si>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</si>
  <si>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</si>
  <si>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</si>
  <si>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</si>
  <si>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</si>
  <si>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</si>
  <si>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</si>
  <si>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</si>
  <si>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</si>
  <si>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</si>
  <si>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</si>
  <si>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</si>
  <si>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</si>
  <si>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</si>
  <si>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</si>
  <si>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</si>
  <si>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</si>
  <si>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</si>
  <si>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</si>
  <si>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</si>
  <si>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</si>
  <si>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</si>
  <si>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</si>
  <si>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</si>
  <si>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</si>
  <si>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</si>
  <si>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</si>
  <si>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</si>
  <si>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</si>
  <si>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</si>
  <si>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</si>
  <si>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</si>
  <si>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</si>
  <si>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</si>
  <si>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</si>
  <si>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</si>
  <si>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</si>
  <si>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</si>
  <si>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</si>
  <si>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</si>
  <si>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</si>
  <si>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</si>
  <si>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</si>
  <si>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</si>
  <si>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</si>
  <si>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</si>
  <si>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</si>
  <si>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</si>
  <si>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</si>
  <si>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</si>
  <si>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</si>
  <si>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</si>
  <si>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</si>
  <si>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</si>
  <si>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</si>
  <si>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</si>
  <si>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</si>
  <si>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</si>
  <si>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</si>
  <si>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</si>
  <si>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</si>
  <si>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</si>
  <si>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</si>
  <si>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</si>
  <si>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</si>
  <si>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</si>
  <si>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</si>
  <si>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</si>
  <si>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</si>
  <si>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</si>
  <si>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</si>
  <si>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</si>
  <si>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</si>
  <si>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</si>
  <si>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</si>
  <si>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</si>
  <si>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</si>
  <si>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</si>
  <si>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</si>
  <si>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</si>
  <si>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</si>
  <si>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</si>
  <si>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</si>
  <si>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</si>
  <si>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</si>
  <si>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</si>
  <si>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</si>
  <si>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</si>
  <si>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</si>
  <si>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</si>
  <si>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</si>
  <si>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</si>
  <si>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</si>
  <si>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</si>
  <si>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</si>
  <si>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</si>
  <si>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</si>
  <si>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</si>
  <si>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</si>
  <si>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</si>
  <si>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</si>
  <si>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</si>
  <si>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</si>
  <si>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</si>
  <si>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</si>
  <si>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</si>
  <si>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</si>
  <si>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</si>
  <si>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</si>
  <si>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</si>
  <si>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</si>
  <si>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</si>
  <si>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</si>
  <si>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</si>
  <si>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</si>
  <si>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</si>
  <si>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</si>
  <si>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</si>
  <si>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</si>
  <si>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</si>
  <si>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</si>
  <si>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</si>
  <si>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</si>
  <si>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</si>
  <si>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</si>
  <si>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</si>
  <si>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</si>
  <si>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</si>
  <si>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</si>
  <si>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</si>
  <si>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</si>
  <si>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</si>
  <si>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</si>
  <si>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</si>
  <si>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</si>
  <si>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</si>
  <si>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</si>
  <si>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</si>
  <si>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</si>
  <si>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</si>
  <si>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</si>
  <si>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</si>
  <si>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</si>
  <si>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</si>
  <si>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</si>
  <si>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</si>
  <si>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</si>
  <si>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</si>
  <si>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</si>
  <si>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</si>
  <si>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</si>
  <si>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</si>
  <si>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</si>
  <si>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</si>
  <si>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</si>
  <si>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</si>
  <si>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</si>
  <si>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</si>
  <si>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</si>
  <si>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</si>
  <si>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</si>
  <si>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</si>
  <si>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</si>
  <si>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</si>
  <si>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</si>
  <si>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</si>
  <si>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</si>
  <si>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</si>
  <si>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</si>
  <si>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</si>
  <si>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</si>
  <si>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</si>
  <si>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</si>
  <si>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</si>
  <si>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</si>
  <si>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</si>
  <si>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</si>
  <si>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</si>
  <si>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</si>
  <si>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</si>
  <si>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</si>
  <si>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</si>
  <si>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</si>
  <si>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</si>
  <si>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</si>
  <si>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</si>
  <si>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</si>
  <si>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</si>
  <si>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</si>
  <si>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</si>
  <si>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</si>
  <si>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</si>
  <si>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</si>
  <si>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</si>
  <si>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</si>
  <si>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</si>
  <si>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</si>
  <si>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</si>
  <si>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</si>
  <si>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</si>
  <si>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</si>
  <si>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</si>
  <si>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</si>
  <si>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</si>
  <si>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</si>
  <si>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</si>
  <si>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</si>
  <si>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</si>
  <si>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</si>
  <si>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</si>
  <si>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</si>
  <si>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</si>
  <si>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</si>
  <si>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</si>
  <si>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</si>
  <si>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</si>
  <si>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</si>
  <si>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</si>
  <si>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</si>
  <si>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</si>
  <si>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</si>
  <si>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</si>
  <si>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</si>
  <si>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</si>
  <si>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</si>
  <si>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</si>
  <si>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</si>
  <si>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</si>
  <si>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</si>
  <si>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</si>
  <si>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</si>
  <si>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</si>
  <si>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</si>
  <si>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</si>
  <si>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</si>
  <si>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</si>
  <si>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</si>
  <si>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</si>
  <si>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</si>
  <si>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</si>
  <si>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</si>
  <si>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</si>
  <si>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</si>
  <si>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</si>
  <si>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</si>
  <si>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</si>
  <si>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</si>
  <si>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</si>
  <si>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</si>
  <si>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</si>
  <si>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</si>
  <si>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</si>
  <si>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</si>
  <si>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</si>
  <si>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</si>
  <si>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</si>
  <si>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</si>
  <si>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</si>
  <si>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</si>
  <si>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</si>
  <si>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</si>
  <si>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</si>
  <si>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</si>
  <si>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</si>
  <si>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</si>
  <si>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</si>
  <si>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</si>
  <si>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</si>
  <si>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</si>
  <si>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</si>
  <si>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</si>
  <si>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</si>
  <si>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</si>
  <si>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</si>
  <si>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</si>
  <si>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</si>
  <si>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</si>
  <si>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</si>
  <si>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</si>
  <si>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</si>
  <si>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</si>
  <si>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</si>
  <si>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</si>
  <si>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</si>
  <si>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</si>
  <si>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</si>
  <si>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</si>
  <si>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</si>
  <si>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</si>
  <si>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</si>
  <si>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</si>
  <si>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</si>
  <si>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</si>
  <si>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</si>
  <si>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</si>
  <si>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</si>
  <si>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</si>
  <si>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</si>
  <si>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</si>
  <si>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</si>
  <si>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</si>
  <si>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</si>
  <si>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</si>
  <si>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</si>
  <si>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</si>
  <si>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</si>
  <si>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</si>
  <si>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</si>
  <si>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</si>
  <si>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</si>
  <si>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</si>
  <si>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</si>
  <si>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</si>
  <si>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</si>
  <si>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</si>
  <si>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</si>
  <si>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</si>
  <si>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</si>
  <si>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</si>
  <si>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</si>
  <si>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</si>
  <si>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</si>
  <si>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</si>
  <si>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</si>
  <si>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</si>
  <si>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</si>
  <si>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</si>
  <si>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</si>
  <si>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</si>
  <si>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</si>
  <si>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</si>
  <si>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</si>
  <si>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</si>
  <si>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</si>
  <si>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</si>
  <si>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</si>
  <si>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</si>
  <si>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</si>
  <si>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</si>
  <si>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</si>
  <si>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</si>
  <si>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</si>
  <si>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</si>
  <si>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</si>
  <si>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</si>
  <si>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</si>
  <si>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</si>
  <si>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</si>
  <si>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</si>
  <si>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</si>
  <si>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</si>
  <si>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</si>
  <si>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</si>
  <si>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</si>
  <si>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</si>
  <si>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</si>
  <si>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</si>
  <si>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</si>
  <si>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</si>
  <si>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</si>
  <si>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</si>
  <si>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</si>
  <si>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</si>
  <si>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</si>
  <si>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</si>
  <si>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</si>
  <si>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</si>
  <si>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</si>
  <si>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</si>
  <si>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</si>
  <si>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</si>
  <si>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</si>
  <si>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</si>
  <si>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</si>
  <si>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</si>
  <si>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</si>
  <si>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</si>
  <si>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</si>
  <si>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</si>
  <si>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</si>
  <si>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</si>
  <si>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</si>
  <si>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</si>
  <si>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</si>
  <si>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</si>
  <si>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</si>
  <si>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</si>
  <si>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</si>
  <si>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</si>
  <si>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</si>
  <si>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</si>
  <si>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</si>
  <si>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</si>
  <si>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</si>
  <si>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</si>
  <si>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</si>
  <si>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</si>
  <si>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</si>
  <si>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</si>
  <si>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</si>
  <si>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</si>
  <si>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</si>
  <si>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</si>
  <si>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</si>
  <si>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</si>
  <si>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</si>
  <si>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</si>
  <si>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</si>
  <si>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</si>
  <si>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</si>
  <si>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</si>
  <si>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</si>
  <si>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</si>
  <si>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</si>
  <si>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</si>
  <si>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</si>
  <si>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</si>
  <si>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</si>
  <si>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</si>
  <si>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</si>
  <si>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</si>
  <si>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</si>
  <si>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</si>
  <si>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</si>
  <si>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</si>
  <si>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</si>
  <si>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</si>
  <si>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</si>
  <si>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</si>
  <si>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</si>
  <si>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</si>
  <si>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</si>
  <si>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</si>
  <si>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</si>
  <si>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</si>
  <si>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</si>
  <si>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</si>
  <si>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</si>
  <si>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</si>
  <si>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</si>
  <si>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</si>
  <si>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</si>
  <si>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</si>
  <si>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</si>
  <si>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</si>
  <si>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</si>
  <si>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</si>
  <si>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</si>
  <si>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</si>
  <si>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</si>
  <si>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</si>
  <si>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</si>
  <si>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</si>
  <si>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</si>
  <si>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</si>
  <si>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</si>
  <si>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</si>
  <si>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</si>
  <si>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</si>
  <si>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</si>
  <si>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</si>
  <si>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</si>
  <si>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</si>
  <si>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</si>
  <si>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</si>
  <si>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</si>
  <si>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</si>
  <si>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</si>
  <si>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</si>
  <si>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</si>
  <si>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</si>
  <si>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</si>
  <si>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</si>
  <si>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</si>
  <si>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</si>
  <si>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</si>
  <si>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</si>
  <si>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</si>
  <si>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</si>
  <si>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</si>
  <si>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</si>
  <si>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</si>
  <si>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</si>
  <si>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</si>
  <si>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</si>
  <si>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</si>
  <si>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</si>
  <si>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</si>
  <si>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</si>
  <si>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</si>
  <si>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</si>
  <si>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</si>
  <si>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</si>
  <si>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</si>
  <si>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</si>
  <si>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</si>
  <si>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</si>
  <si>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</si>
  <si>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</si>
  <si>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</si>
  <si>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</si>
  <si>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</si>
  <si>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</si>
  <si>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</si>
  <si>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</si>
  <si>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</si>
  <si>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</si>
  <si>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</si>
  <si>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</si>
  <si>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</si>
  <si>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</si>
  <si>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</si>
  <si>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</si>
  <si>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</si>
  <si>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</si>
  <si>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</si>
  <si>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</si>
  <si>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</si>
  <si>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</si>
  <si>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</si>
  <si>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</si>
  <si>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</si>
  <si>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</si>
  <si>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</si>
  <si>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</si>
  <si>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</si>
  <si>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</si>
  <si>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</si>
  <si>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</si>
  <si>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</si>
  <si>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</si>
  <si>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</si>
  <si>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</si>
  <si>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</si>
  <si>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</si>
  <si>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</si>
  <si>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</si>
  <si>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</si>
  <si>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</si>
  <si>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</si>
  <si>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</si>
  <si>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</si>
  <si>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</si>
  <si>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</si>
  <si>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</si>
  <si>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</si>
  <si>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</si>
  <si>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</si>
  <si>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</si>
  <si>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</si>
  <si>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</si>
  <si>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</si>
  <si>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</si>
  <si>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</si>
  <si>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</si>
  <si>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</si>
  <si>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</si>
  <si>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</si>
  <si>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</si>
  <si>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</si>
  <si>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</si>
  <si>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</si>
  <si>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</si>
  <si>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</si>
  <si>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</si>
  <si>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</si>
  <si>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</si>
  <si>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</si>
  <si>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</si>
  <si>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</si>
  <si>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</si>
  <si>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</si>
  <si>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</si>
  <si>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</si>
  <si>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</si>
  <si>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</si>
  <si>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</si>
  <si>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</si>
  <si>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</si>
  <si>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</si>
  <si>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</si>
  <si>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</si>
  <si>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</si>
  <si>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</si>
  <si>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</si>
  <si>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</si>
  <si>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</si>
  <si>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</si>
  <si>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</si>
  <si>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</si>
  <si>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</si>
  <si>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</si>
  <si>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</si>
  <si>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</si>
  <si>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</si>
  <si>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</si>
  <si>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</si>
  <si>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</si>
  <si>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</si>
  <si>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</si>
  <si>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</si>
  <si>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</si>
  <si>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</si>
  <si>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</si>
  <si>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</si>
  <si>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</si>
  <si>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</si>
  <si>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</si>
  <si>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</si>
  <si>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</si>
  <si>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</si>
  <si>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</si>
  <si>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</si>
  <si>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</si>
  <si>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</si>
  <si>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</si>
  <si>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</si>
  <si>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</si>
  <si>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</si>
  <si>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</si>
  <si>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</si>
  <si>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</si>
  <si>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</si>
  <si>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</si>
  <si>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</si>
  <si>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</si>
  <si>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</si>
  <si>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</si>
  <si>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</si>
  <si>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</si>
  <si>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</si>
  <si>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</si>
  <si>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</si>
  <si>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</si>
  <si>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</si>
  <si>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</si>
  <si>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</si>
  <si>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</si>
  <si>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</si>
  <si>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</si>
  <si>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</si>
  <si>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</si>
  <si>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</si>
  <si>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</si>
  <si>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</si>
  <si>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</si>
  <si>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</si>
  <si>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</si>
  <si>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</si>
  <si>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</si>
  <si>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</si>
  <si>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</si>
  <si>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</si>
  <si>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</si>
  <si>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</si>
  <si>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</si>
  <si>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</si>
  <si>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</si>
  <si>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</si>
  <si>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</si>
  <si>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</si>
  <si>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</si>
  <si>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</si>
  <si>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</si>
  <si>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</si>
  <si>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</si>
  <si>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</si>
  <si>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</si>
  <si>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</si>
  <si>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</si>
  <si>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</si>
  <si>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</si>
  <si>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</si>
  <si>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</si>
  <si>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</si>
  <si>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</si>
  <si>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</si>
  <si>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</si>
  <si>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</si>
  <si>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</si>
  <si>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</si>
  <si>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</si>
  <si>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</si>
  <si>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</si>
  <si>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</si>
  <si>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</si>
  <si>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</si>
  <si>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</si>
  <si>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</si>
  <si>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</si>
  <si>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</si>
  <si>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</si>
  <si>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</si>
  <si>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</si>
  <si>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</si>
  <si>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</si>
  <si>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</si>
  <si>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</si>
  <si>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</si>
  <si>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</si>
  <si>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</si>
  <si>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</si>
  <si>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</si>
  <si>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</si>
  <si>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</si>
  <si>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</si>
  <si>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</si>
  <si>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</si>
  <si>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</si>
  <si>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</si>
  <si>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</si>
  <si>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</si>
  <si>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</si>
  <si>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</si>
  <si>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</si>
  <si>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</si>
  <si>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</si>
  <si>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</si>
  <si>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</si>
  <si>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</si>
  <si>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</si>
  <si>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</si>
  <si>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</si>
  <si>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</si>
  <si>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</si>
  <si>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</si>
  <si>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</si>
  <si>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</si>
  <si>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</si>
  <si>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</si>
  <si>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</si>
  <si>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</si>
  <si>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</si>
  <si>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</si>
  <si>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</si>
  <si>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</si>
  <si>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</si>
  <si>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</si>
  <si>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</si>
  <si>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</si>
  <si>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</si>
  <si>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</si>
  <si>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</si>
  <si>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</si>
  <si>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</si>
  <si>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</si>
  <si>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</si>
  <si>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</si>
  <si>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</si>
  <si>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</si>
  <si>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</si>
  <si>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</si>
  <si>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</si>
  <si>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</si>
  <si>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</si>
  <si>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</si>
  <si>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</si>
  <si>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</si>
  <si>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</si>
  <si>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</si>
  <si>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</si>
  <si>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</si>
  <si>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</si>
  <si>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</si>
  <si>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</si>
  <si>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</si>
  <si>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</si>
  <si>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</si>
  <si>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</si>
  <si>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</si>
  <si>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</si>
  <si>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</si>
  <si>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</si>
  <si>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</si>
  <si>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</si>
  <si>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</si>
  <si>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</si>
  <si>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</si>
  <si>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</si>
  <si>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</si>
  <si>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</si>
  <si>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</si>
  <si>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</si>
  <si>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</si>
  <si>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</si>
  <si>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</si>
  <si>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</si>
  <si>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</si>
  <si>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</si>
  <si>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</si>
  <si>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</si>
  <si>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</si>
  <si>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</si>
  <si>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</si>
  <si>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</si>
  <si>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</si>
  <si>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</si>
  <si>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</si>
  <si>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</si>
  <si>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</si>
  <si>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</si>
  <si>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</si>
  <si>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</si>
  <si>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</si>
  <si>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</si>
  <si>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</si>
  <si>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</si>
  <si>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</si>
  <si>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</si>
  <si>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</si>
  <si>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</si>
  <si>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</si>
  <si>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</si>
  <si>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</si>
  <si>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</si>
  <si>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</si>
  <si>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</si>
  <si>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</si>
  <si>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</si>
  <si>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</si>
  <si>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</si>
  <si>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</si>
  <si>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</si>
  <si>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</si>
  <si>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</si>
  <si>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</si>
  <si>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</si>
  <si>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</si>
  <si>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</si>
  <si>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</si>
  <si>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</si>
  <si>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</si>
  <si>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</si>
  <si>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</si>
  <si>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</si>
  <si>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</si>
  <si>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</si>
  <si>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</si>
  <si>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</si>
  <si>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</si>
  <si>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</si>
  <si>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</si>
  <si>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</si>
  <si>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</si>
  <si>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</si>
  <si>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</si>
  <si>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</si>
  <si>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</si>
  <si>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</si>
  <si>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</si>
  <si>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</si>
  <si>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</si>
  <si>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</si>
  <si>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</si>
  <si>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</si>
  <si>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</si>
  <si>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</si>
  <si>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</si>
  <si>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</si>
  <si>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</si>
  <si>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</si>
  <si>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</si>
  <si>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</si>
  <si>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</si>
  <si>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</si>
  <si>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</si>
  <si>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</si>
  <si>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</si>
  <si>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</si>
  <si>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</si>
  <si>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</si>
  <si>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</si>
  <si>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</si>
  <si>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</si>
  <si>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Decor corredera 2H y fijos lat.</t>
  </si>
  <si>
    <t>Suministros Maeses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</si>
</sst>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F28" sqref="F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20250212</v>
      </c>
      <c r="G7" s="8">
        <f ca="1">TODAY()</f>
        <v>45959</v>
      </c>
    </row>
    <row r="8" spans="1:12" x14ac:dyDescent="0.25">
      <c r="B8" s="9" t="s">
        <v>6</v>
      </c>
      <c r="C8" s="10" t="s">
        <v>1452</v>
      </c>
    </row>
    <row r="9" spans="1:12" x14ac:dyDescent="0.25">
      <c r="B9" s="3" t="s">
        <v>7</v>
      </c>
      <c r="C9" s="10" t="s">
        <v>1451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171</v>
      </c>
      <c r="C13" s="79" t="str">
        <f>IFERROR(VLOOKUP($B13,Tarifa_all_20240711!$A$2:$G$660,2,FALSE()),"-")</f>
        <v>GUIA SUP TECHO PLUS LAC.NEGRO MATE-3 MTS</v>
      </c>
      <c r="D13" s="79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1443</v>
      </c>
      <c r="C14" s="79" t="str">
        <f>IFERROR(VLOOKUP($B14,Tarifa_all_20240711!$A$2:$G$660,2,FALSE()),"-")</f>
        <v>TAPETA LAT. GUIA TECHO NEGRO</v>
      </c>
      <c r="D14" s="79"/>
      <c r="E14" s="17">
        <v>1</v>
      </c>
      <c r="F14" s="18">
        <f>IFERROR(VLOOKUP($B14,Tarifa_all_20240711!$A$2:$G$660,5,FALSE()),"-")</f>
        <v>10.484999999999999</v>
      </c>
      <c r="G14" s="18">
        <f t="shared" si="0"/>
        <v>10.484999999999999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339</v>
      </c>
      <c r="C16" s="79" t="str">
        <f>IFERROR(VLOOKUP($B16,Tarifa_all_20240711!$A$2:$G$660,2,FALSE()),"-")</f>
        <v>KIT AMORTIGUADOR SKY 60KG FORMATO CORTO</v>
      </c>
      <c r="D16" s="79"/>
      <c r="E16" s="17">
        <v>2</v>
      </c>
      <c r="F16" s="18">
        <f>IFERROR(VLOOKUP($B16,Tarifa_all_20240711!$A$2:$G$660,5,FALSE()),"-")</f>
        <v>21.952500000000001</v>
      </c>
      <c r="G16" s="18">
        <f t="shared" si="0"/>
        <v>43.905000000000001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1164</v>
      </c>
      <c r="C19" s="79" t="str">
        <f>IFERROR(VLOOKUP($B19,Tarifa_all_20240711!$A$2:$G$660,2,FALSE()),"-")</f>
        <v>TIRADOR RECT.HOLE LAC.NEGRO TEXTURADO: 2 UDS</v>
      </c>
      <c r="D19" s="79"/>
      <c r="E19" s="17">
        <v>2</v>
      </c>
      <c r="F19" s="18">
        <f>IFERROR(VLOOKUP($B19,Tarifa_all_20240711!$A$2:$G$660,5,FALSE()),"-")</f>
        <v>53.542500000000004</v>
      </c>
      <c r="G19" s="18">
        <f t="shared" si="0"/>
        <v>107.08500000000001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79" t="str">
        <f>IFERROR(VLOOKUP($B21,Tarifa_all_20240711!$A$2:$G$660,2,FALSE()),"-")</f>
        <v>PERFIL EMBELL.HORIZ. ADH LAC.NEGRO TEXTURADO</v>
      </c>
      <c r="D21" s="79"/>
      <c r="E21" s="17">
        <v>6</v>
      </c>
      <c r="F21" s="18">
        <f>IFERROR(VLOOKUP($B21,Tarifa_all_20240711!$A$2:$G$660,5,FALSE()),"-")</f>
        <v>21.794999999999998</v>
      </c>
      <c r="G21" s="18">
        <f t="shared" si="0"/>
        <v>130.76999999999998</v>
      </c>
      <c r="H21" s="1"/>
    </row>
    <row r="22" spans="1:8" x14ac:dyDescent="0.25">
      <c r="B22" s="16" t="s">
        <v>461</v>
      </c>
      <c r="C22" s="79" t="str">
        <f>IFERROR(VLOOKUP($B22,Tarifa_all_20240711!$A$2:$G$660,2,FALSE()),"-")</f>
        <v>MARCO FIJOS 35MM D-DECOR FIJO NEGRO TEXT 6,5 MTS</v>
      </c>
      <c r="D22" s="79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441</v>
      </c>
      <c r="C23" s="79" t="str">
        <f>IFERROR(VLOOKUP($B23,Tarifa_all_20240711!$A$2:$G$660,2,FALSE()),"-")</f>
        <v>ANCLAJE TAPA 35MM D-DECOR FIJO NEGRO TEXT 6,5 MTS</v>
      </c>
      <c r="D23" s="79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8" x14ac:dyDescent="0.25">
      <c r="B24" s="16" t="s">
        <v>481</v>
      </c>
      <c r="C24" s="79" t="str">
        <f>IFERROR(VLOOKUP($B24,Tarifa_all_20240711!$A$2:$G$660,2,FALSE()),"-")</f>
        <v>TAPA MARCO 35MM D-DECOR FIJO NEGRO TEXT 6,5 MTS</v>
      </c>
      <c r="D24" s="79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8" x14ac:dyDescent="0.25">
      <c r="B25" s="16" t="s">
        <v>451</v>
      </c>
      <c r="C25" s="79" t="str">
        <f>IFERROR(VLOOKUP($B25,Tarifa_all_20240711!$A$2:$G$660,2,FALSE()),"-")</f>
        <v>PERFIL MINIMALISTA D-DECOR FIJO NEGRO TEXT 6,5 MTS</v>
      </c>
      <c r="D25" s="79"/>
      <c r="E25" s="17">
        <v>1</v>
      </c>
      <c r="F25" s="18">
        <f>IFERROR(VLOOKUP($B25,Tarifa_all_20240711!$A$2:$G$660,5,FALSE()),"-")</f>
        <v>79.552499999999995</v>
      </c>
      <c r="G25" s="18">
        <f t="shared" si="0"/>
        <v>79.552499999999995</v>
      </c>
      <c r="H25" s="1"/>
    </row>
    <row r="26" spans="1:8" x14ac:dyDescent="0.25">
      <c r="B26" s="16" t="s">
        <v>298</v>
      </c>
      <c r="C26" s="79" t="str">
        <f>IFERROR(VLOOKUP($B26,Tarifa_all_20240711!$A$2:$G$660,2,FALSE()),"-")</f>
        <v>Tope Domo Decor</v>
      </c>
      <c r="D26" s="79"/>
      <c r="E26" s="17">
        <v>8</v>
      </c>
      <c r="F26" s="18">
        <f>IFERROR(VLOOKUP($B26,Tarifa_all_20240711!$A$2:$G$660,5,FALSE()),"-")</f>
        <v>1.4175</v>
      </c>
      <c r="G26" s="18">
        <f t="shared" si="0"/>
        <v>11.34</v>
      </c>
      <c r="H26" s="1"/>
    </row>
    <row r="27" spans="1:8" x14ac:dyDescent="0.25">
      <c r="B27" s="16" t="s">
        <v>300</v>
      </c>
      <c r="C27" s="79" t="str">
        <f>IFERROR(VLOOKUP($B27,Tarifa_all_20240711!$A$2:$G$660,2,FALSE()),"-")</f>
        <v>PERFIL 3 MTS REDUCTOR PARA VIDRIO 6mm</v>
      </c>
      <c r="D27" s="79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1087.9575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Suministros Maeses</v>
      </c>
      <c r="C9" s="86"/>
      <c r="D9" s="86"/>
      <c r="F9" s="3" t="s">
        <v>81</v>
      </c>
      <c r="G9" s="44">
        <f ca="1">TODAY()</f>
        <v>45959</v>
      </c>
    </row>
    <row r="10" spans="1:7" x14ac:dyDescent="0.25">
      <c r="A10" s="3" t="s">
        <v>82</v>
      </c>
      <c r="B10" s="11" t="str">
        <f>'DESPIECE (MATANALYSIS)'!C9</f>
        <v>Decor corredera 2H y fijos lat.</v>
      </c>
      <c r="C10" s="45"/>
      <c r="D10" s="45"/>
      <c r="E10" s="46"/>
      <c r="F10" s="47" t="s">
        <v>83</v>
      </c>
      <c r="G10" s="7">
        <f>'DESPIECE (MATANALYSIS)'!C7</f>
        <v>20250212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1087.9575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2025-10-29T12:22:19Z</dcterms:modified>
  <dc:language>es-ES</dc:language>
</cp:coreProperties>
</file>