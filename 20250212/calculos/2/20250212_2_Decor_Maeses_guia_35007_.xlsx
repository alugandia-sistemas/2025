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2\calculos\2\"/>
    </mc:Choice>
  </mc:AlternateContent>
  <xr:revisionPtr revIDLastSave="0" documentId="13_ncr:1_{520234E7-8207-4244-85DD-39ED174DF93B}" xr6:coauthVersionLast="47" xr6:coauthVersionMax="47" xr10:uidLastSave="{00000000-0000-0000-0000-000000000000}"/>
  <bookViews>
    <workbookView xWindow="-22335" yWindow="48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<sst xmlns="http://schemas.openxmlformats.org/spreadsheetml/2006/main" count="5401" uniqueCount="1453">
  <si>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</si>
  <si>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</si>
  <si>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</si>
  <si>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</si>
  <si>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</si>
  <si>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</si>
  <si>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</si>
  <si>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</si>
  <si>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</si>
  <si>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</si>
  <si>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</si>
  <si>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</si>
  <si>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</si>
  <si>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</si>
  <si>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</si>
  <si>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</si>
  <si>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</si>
  <si>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</si>
  <si>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</si>
  <si>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</si>
  <si>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</si>
  <si>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</si>
  <si>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</si>
  <si>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</si>
  <si>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</si>
  <si>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</si>
  <si>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</si>
  <si>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</si>
  <si>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</si>
  <si>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</si>
  <si>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</si>
  <si>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</si>
  <si>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</si>
  <si>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</si>
  <si>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</si>
  <si>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</si>
  <si>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</si>
  <si>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</si>
  <si>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</si>
  <si>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</si>
  <si>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</si>
  <si>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</si>
  <si>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</si>
  <si>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</si>
  <si>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</si>
  <si>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</si>
  <si>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</si>
  <si>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</si>
  <si>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</si>
  <si>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</si>
  <si>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</si>
  <si>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</si>
  <si>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</si>
  <si>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</si>
  <si>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</si>
  <si>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</si>
  <si>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</si>
  <si>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</si>
  <si>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</si>
  <si>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</si>
  <si>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</si>
  <si>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</si>
  <si>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</si>
  <si>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</si>
  <si>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</si>
  <si>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</si>
  <si>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</si>
  <si>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</si>
  <si>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</si>
  <si>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</si>
  <si>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</si>
  <si>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</si>
  <si>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</si>
  <si>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</si>
  <si>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</si>
  <si>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</si>
  <si>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</si>
  <si>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</si>
  <si>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</si>
  <si>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</si>
  <si>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</si>
  <si>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</si>
  <si>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</si>
  <si>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</si>
  <si>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</si>
  <si>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</si>
  <si>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</si>
  <si>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</si>
  <si>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</si>
  <si>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</si>
  <si>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</si>
  <si>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</si>
  <si>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</si>
  <si>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</si>
  <si>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</si>
  <si>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</si>
  <si>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</si>
  <si>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</si>
  <si>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</si>
  <si>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</si>
  <si>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</si>
  <si>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</si>
  <si>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</si>
  <si>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</si>
  <si>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</si>
  <si>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</si>
  <si>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</si>
  <si>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</si>
  <si>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</si>
  <si>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</si>
  <si>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</si>
  <si>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</si>
  <si>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</si>
  <si>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</si>
  <si>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</si>
  <si>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</si>
  <si>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</si>
  <si>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</si>
  <si>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</si>
  <si>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</si>
  <si>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</si>
  <si>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</si>
  <si>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</si>
  <si>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</si>
  <si>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</si>
  <si>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</si>
  <si>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</si>
  <si>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</si>
  <si>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</si>
  <si>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</si>
  <si>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</si>
  <si>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</si>
  <si>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</si>
  <si>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</si>
  <si>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</si>
  <si>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</si>
  <si>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</si>
  <si>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</si>
  <si>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</si>
  <si>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</si>
  <si>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</si>
  <si>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</si>
  <si>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</si>
  <si>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</si>
  <si>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</si>
  <si>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</si>
  <si>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</si>
  <si>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</si>
  <si>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</si>
  <si>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</si>
  <si>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</si>
  <si>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</si>
  <si>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</si>
  <si>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</si>
  <si>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</si>
  <si>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</si>
  <si>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</si>
  <si>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</si>
  <si>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</si>
  <si>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</si>
  <si>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</si>
  <si>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</si>
  <si>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</si>
  <si>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</si>
  <si>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</si>
  <si>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</si>
  <si>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</si>
  <si>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</si>
  <si>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</si>
  <si>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</si>
  <si>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</si>
  <si>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</si>
  <si>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</si>
  <si>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</si>
  <si>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</si>
  <si>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</si>
  <si>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</si>
  <si>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</si>
  <si>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</si>
  <si>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</si>
  <si>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</si>
  <si>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</si>
  <si>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</si>
  <si>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</si>
  <si>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</si>
  <si>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</si>
  <si>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</si>
  <si>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</si>
  <si>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</si>
  <si>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</si>
  <si>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</si>
  <si>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</si>
  <si>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</si>
  <si>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</si>
  <si>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</si>
  <si>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</si>
  <si>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</si>
  <si>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</si>
  <si>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</si>
  <si>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</si>
  <si>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</si>
  <si>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</si>
  <si>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</si>
  <si>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</si>
  <si>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</si>
  <si>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</si>
  <si>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</si>
  <si>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</si>
  <si>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</si>
  <si>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</si>
  <si>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</si>
  <si>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</si>
  <si>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</si>
  <si>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</si>
  <si>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</si>
  <si>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</si>
  <si>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</si>
  <si>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</si>
  <si>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</si>
  <si>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</si>
  <si>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</si>
  <si>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</si>
  <si>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</si>
  <si>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</si>
  <si>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</si>
  <si>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</si>
  <si>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</si>
  <si>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</si>
  <si>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</si>
  <si>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</si>
  <si>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</si>
  <si>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</si>
  <si>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</si>
  <si>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</si>
  <si>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</si>
  <si>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</si>
  <si>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</si>
  <si>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</si>
  <si>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</si>
  <si>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</si>
  <si>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</si>
  <si>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</si>
  <si>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</si>
  <si>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</si>
  <si>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</si>
  <si>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</si>
  <si>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</si>
  <si>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</si>
  <si>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</si>
  <si>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</si>
  <si>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</si>
  <si>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</si>
  <si>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</si>
  <si>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</si>
  <si>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</si>
  <si>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</si>
  <si>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</si>
  <si>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</si>
  <si>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</si>
  <si>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</si>
  <si>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</si>
  <si>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</si>
  <si>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</si>
  <si>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</si>
  <si>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</si>
  <si>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</si>
  <si>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</si>
  <si>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</si>
  <si>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</si>
  <si>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</si>
  <si>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</si>
  <si>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</si>
  <si>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</si>
  <si>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</si>
  <si>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</si>
  <si>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</si>
  <si>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</si>
  <si>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</si>
  <si>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</si>
  <si>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</si>
  <si>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</si>
  <si>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</si>
  <si>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</si>
  <si>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</si>
  <si>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</si>
  <si>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</si>
  <si>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</si>
  <si>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</si>
  <si>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</si>
  <si>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</si>
  <si>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</si>
  <si>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</si>
  <si>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</si>
  <si>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</si>
  <si>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</si>
  <si>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</si>
  <si>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</si>
  <si>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</si>
  <si>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</si>
  <si>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</si>
  <si>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</si>
  <si>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</si>
  <si>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</si>
  <si>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</si>
  <si>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</si>
  <si>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</si>
  <si>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</si>
  <si>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</si>
  <si>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</si>
  <si>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</si>
  <si>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</si>
  <si>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</si>
  <si>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</si>
  <si>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</si>
  <si>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</si>
  <si>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</si>
  <si>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</si>
  <si>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</si>
  <si>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</si>
  <si>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</si>
  <si>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</si>
  <si>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</si>
  <si>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</si>
  <si>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</si>
  <si>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</si>
  <si>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</si>
  <si>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</si>
  <si>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</si>
  <si>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</si>
  <si>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</si>
  <si>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</si>
  <si>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</si>
  <si>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</si>
  <si>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</si>
  <si>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</si>
  <si>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</si>
  <si>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</si>
  <si>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</si>
  <si>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</si>
  <si>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</si>
  <si>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</si>
  <si>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</si>
  <si>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</si>
  <si>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</si>
  <si>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</si>
  <si>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</si>
  <si>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</si>
  <si>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</si>
  <si>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</si>
  <si>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</si>
  <si>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</si>
  <si>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</si>
  <si>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</si>
  <si>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</si>
  <si>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</si>
  <si>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</si>
  <si>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</si>
  <si>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</si>
  <si>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</si>
  <si>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</si>
  <si>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</si>
  <si>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</si>
  <si>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</si>
  <si>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</si>
  <si>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</si>
  <si>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</si>
  <si>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</si>
  <si>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</si>
  <si>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</si>
  <si>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</si>
  <si>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</si>
  <si>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</si>
  <si>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</si>
  <si>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</si>
  <si>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</si>
  <si>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</si>
  <si>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</si>
  <si>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</si>
  <si>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</si>
  <si>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</si>
  <si>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</si>
  <si>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</si>
  <si>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</si>
  <si>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</si>
  <si>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</si>
  <si>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</si>
  <si>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</si>
  <si>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</si>
  <si>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</si>
  <si>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</si>
  <si>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</si>
  <si>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</si>
  <si>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</si>
  <si>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</si>
  <si>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</si>
  <si>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</si>
  <si>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</si>
  <si>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</si>
  <si>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</si>
  <si>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</si>
  <si>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</si>
  <si>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</si>
  <si>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</si>
  <si>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</si>
  <si>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</si>
  <si>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</si>
  <si>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</si>
  <si>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</si>
  <si>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</si>
  <si>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</si>
  <si>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</si>
  <si>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</si>
  <si>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</si>
  <si>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</si>
  <si>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</si>
  <si>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</si>
  <si>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</si>
  <si>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</si>
  <si>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</si>
  <si>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</si>
  <si>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</si>
  <si>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</si>
  <si>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</si>
  <si>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</si>
  <si>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</si>
  <si>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</si>
  <si>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</si>
  <si>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</si>
  <si>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</si>
  <si>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</si>
  <si>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</si>
  <si>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</si>
  <si>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</si>
  <si>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</si>
  <si>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</si>
  <si>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</si>
  <si>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</si>
  <si>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</si>
  <si>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</si>
  <si>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</si>
  <si>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</si>
  <si>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</si>
  <si>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</si>
  <si>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</si>
  <si>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</si>
  <si>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</si>
  <si>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</si>
  <si>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</si>
  <si>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</si>
  <si>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</si>
  <si>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</si>
  <si>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</si>
  <si>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</si>
  <si>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</si>
  <si>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</si>
  <si>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</si>
  <si>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</si>
  <si>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</si>
  <si>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</si>
  <si>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</si>
  <si>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</si>
  <si>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</si>
  <si>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</si>
  <si>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</si>
  <si>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</si>
  <si>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</si>
  <si>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</si>
  <si>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</si>
  <si>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</si>
  <si>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</si>
  <si>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</si>
  <si>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</si>
  <si>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</si>
  <si>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</si>
  <si>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</si>
  <si>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</si>
  <si>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</si>
  <si>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</si>
  <si>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</si>
  <si>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</si>
  <si>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</si>
  <si>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</si>
  <si>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</si>
  <si>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</si>
  <si>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</si>
  <si>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</si>
  <si>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</si>
  <si>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</si>
  <si>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</si>
  <si>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</si>
  <si>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</si>
  <si>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</si>
  <si>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</si>
  <si>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</si>
  <si>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</si>
  <si>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</si>
  <si>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</si>
  <si>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</si>
  <si>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</si>
  <si>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</si>
  <si>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</si>
  <si>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</si>
  <si>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</si>
  <si>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</si>
  <si>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</si>
  <si>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</si>
  <si>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</si>
  <si>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</si>
  <si>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</si>
  <si>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</si>
  <si>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</si>
  <si>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</si>
  <si>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</si>
  <si>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</si>
  <si>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</si>
  <si>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</si>
  <si>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</si>
  <si>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</si>
  <si>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</si>
  <si>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</si>
  <si>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</si>
  <si>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</si>
  <si>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</si>
  <si>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</si>
  <si>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</si>
  <si>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</si>
  <si>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</si>
  <si>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</si>
  <si>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</si>
  <si>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</si>
  <si>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</si>
  <si>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</si>
  <si>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</si>
  <si>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</si>
  <si>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</si>
  <si>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</si>
  <si>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</si>
  <si>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</si>
  <si>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</si>
  <si>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</si>
  <si>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</si>
  <si>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</si>
  <si>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</si>
  <si>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</si>
  <si>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</si>
  <si>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</si>
  <si>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</si>
  <si>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</si>
  <si>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</si>
  <si>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</si>
  <si>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</si>
  <si>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</si>
  <si>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</si>
  <si>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</si>
  <si>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</si>
  <si>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</si>
  <si>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</si>
  <si>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</si>
  <si>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</si>
  <si>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</si>
  <si>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</si>
  <si>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</si>
  <si>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</si>
  <si>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</si>
  <si>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</si>
  <si>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</si>
  <si>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</si>
  <si>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</si>
  <si>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</si>
  <si>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</si>
  <si>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</si>
  <si>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</si>
  <si>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</si>
  <si>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</si>
  <si>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</si>
  <si>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</si>
  <si>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</si>
  <si>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</si>
  <si>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</si>
  <si>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</si>
  <si>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</si>
  <si>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</si>
  <si>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</si>
  <si>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</si>
  <si>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</si>
  <si>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</si>
  <si>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</si>
  <si>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</si>
  <si>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</si>
  <si>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</si>
  <si>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</si>
  <si>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</si>
  <si>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</si>
  <si>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</si>
  <si>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</si>
  <si>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</si>
  <si>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</si>
  <si>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</si>
  <si>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</si>
  <si>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</si>
  <si>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</si>
  <si>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</si>
  <si>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</si>
  <si>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</si>
  <si>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</si>
  <si>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</si>
  <si>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</si>
  <si>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</si>
  <si>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</si>
  <si>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</si>
  <si>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</si>
  <si>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</si>
  <si>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</si>
  <si>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</si>
  <si>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</si>
  <si>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</si>
  <si>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</si>
  <si>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</si>
  <si>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</si>
  <si>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</si>
  <si>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</si>
  <si>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</si>
  <si>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</si>
  <si>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</si>
  <si>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</si>
  <si>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</si>
  <si>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</si>
  <si>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</si>
  <si>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</si>
  <si>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</si>
  <si>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</si>
  <si>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</si>
  <si>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</si>
  <si>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</si>
  <si>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</si>
  <si>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</si>
  <si>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</si>
  <si>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</si>
  <si>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</si>
  <si>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</si>
  <si>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</si>
  <si>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</si>
  <si>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</si>
  <si>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</si>
  <si>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</si>
  <si>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</si>
  <si>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</si>
  <si>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</si>
  <si>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</si>
  <si>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</si>
  <si>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</si>
  <si>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</si>
  <si>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</si>
  <si>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</si>
  <si>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</si>
  <si>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</si>
  <si>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</si>
  <si>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</si>
  <si>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</si>
  <si>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</si>
  <si>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</si>
  <si>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</si>
  <si>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</si>
  <si>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</si>
  <si>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</si>
  <si>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</si>
  <si>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</si>
  <si>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</si>
  <si>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</si>
  <si>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</si>
  <si>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</si>
  <si>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</si>
  <si>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</si>
  <si>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</si>
  <si>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</si>
  <si>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</si>
  <si>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</si>
  <si>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</si>
  <si>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</si>
  <si>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</si>
  <si>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</si>
  <si>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</si>
  <si>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</si>
  <si>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</si>
  <si>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</si>
  <si>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</si>
  <si>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</si>
  <si>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</si>
  <si>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</si>
  <si>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</si>
  <si>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</si>
  <si>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</si>
  <si>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</si>
  <si>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</si>
  <si>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</si>
  <si>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</si>
  <si>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</si>
  <si>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</si>
  <si>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</si>
  <si>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</si>
  <si>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</si>
  <si>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</si>
  <si>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</si>
  <si>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</si>
  <si>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</si>
  <si>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</si>
  <si>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</si>
  <si>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</si>
  <si>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</si>
  <si>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</si>
  <si>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</si>
  <si>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</si>
  <si>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</si>
  <si>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</si>
  <si>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</si>
  <si>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</si>
  <si>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</si>
  <si>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</si>
  <si>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</si>
  <si>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</si>
  <si>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</si>
  <si>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</si>
  <si>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</si>
  <si>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</si>
  <si>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</si>
  <si>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</si>
  <si>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</si>
  <si>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</si>
  <si>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</si>
  <si>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</si>
  <si>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</si>
  <si>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</si>
  <si>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</si>
  <si>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</si>
  <si>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</si>
  <si>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</si>
  <si>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</si>
  <si>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</si>
  <si>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</si>
  <si>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</si>
  <si>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</si>
  <si>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</si>
  <si>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</si>
  <si>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</si>
  <si>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</si>
  <si>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</si>
  <si>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</si>
  <si>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</si>
  <si>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</si>
  <si>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</si>
  <si>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</si>
  <si>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</si>
  <si>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</si>
  <si>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</si>
  <si>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</si>
  <si>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</si>
  <si>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</si>
  <si>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</si>
  <si>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</si>
  <si>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</si>
  <si>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</si>
  <si>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</si>
  <si>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</si>
  <si>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</si>
  <si>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</si>
  <si>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</si>
  <si>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</si>
  <si>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</si>
  <si>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</si>
  <si>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</si>
  <si>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</si>
  <si>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</si>
  <si>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</si>
  <si>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</si>
  <si>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</si>
  <si>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</si>
  <si>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</si>
  <si>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</si>
  <si>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</si>
  <si>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</si>
  <si>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</si>
  <si>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</si>
  <si>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</si>
  <si>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</si>
  <si>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</si>
  <si>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</si>
  <si>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</si>
  <si>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</si>
  <si>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</si>
  <si>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</si>
  <si>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</si>
  <si>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</si>
  <si>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</si>
  <si>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</si>
  <si>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</si>
  <si>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</si>
  <si>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</si>
  <si>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</si>
  <si>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</si>
  <si>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</si>
  <si>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</si>
  <si>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</si>
  <si>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</si>
  <si>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</si>
  <si>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</si>
  <si>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</si>
  <si>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</si>
  <si>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</si>
  <si>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</si>
  <si>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</si>
  <si>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</si>
  <si>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</si>
  <si>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</si>
  <si>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</si>
  <si>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</si>
  <si>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</si>
  <si>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</si>
  <si>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</si>
  <si>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</si>
  <si>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</si>
  <si>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</si>
  <si>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</si>
  <si>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</si>
  <si>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</si>
  <si>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</si>
  <si>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</si>
  <si>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</si>
  <si>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</si>
  <si>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</si>
  <si>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</si>
  <si>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</si>
  <si>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</si>
  <si>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</si>
  <si>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</si>
  <si>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</si>
  <si>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</si>
  <si>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</si>
  <si>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</si>
  <si>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</si>
  <si>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</si>
  <si>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</si>
  <si>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</si>
  <si>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</si>
  <si>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</si>
  <si>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</si>
  <si>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</si>
  <si>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</si>
  <si>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</si>
  <si>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</si>
  <si>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</si>
  <si>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</si>
  <si>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</si>
  <si>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</si>
  <si>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</si>
  <si>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</si>
  <si>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</si>
  <si>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</si>
  <si>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</si>
  <si>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</si>
  <si>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</si>
  <si>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</si>
  <si>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</si>
  <si>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</si>
  <si>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</si>
  <si>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</si>
  <si>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</si>
  <si>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</si>
  <si>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</si>
  <si>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</si>
  <si>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</si>
  <si>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</si>
  <si>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</si>
  <si>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</si>
  <si>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</si>
  <si>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</si>
  <si>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</si>
  <si>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</si>
  <si>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</si>
  <si>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</si>
  <si>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</si>
  <si>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</si>
  <si>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</si>
  <si>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</si>
  <si>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</si>
  <si>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</si>
  <si>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</si>
  <si>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</si>
  <si>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</si>
  <si>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</si>
  <si>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</si>
  <si>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</si>
  <si>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</si>
  <si>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</si>
  <si>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</si>
  <si>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</si>
  <si>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</si>
  <si>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</si>
  <si>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</si>
  <si>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</si>
  <si>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</si>
  <si>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</si>
  <si>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</si>
  <si>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</si>
  <si>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</si>
  <si>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</si>
  <si>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</si>
  <si>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</si>
  <si>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</si>
  <si>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</si>
  <si>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</si>
  <si>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</si>
  <si>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</si>
  <si>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</si>
  <si>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</si>
  <si>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</si>
  <si>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</si>
  <si>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</si>
  <si>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</si>
  <si>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</si>
  <si>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</si>
  <si>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</si>
  <si>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</si>
  <si>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</si>
  <si>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</si>
  <si>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</si>
  <si>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</si>
  <si>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</si>
  <si>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</si>
  <si>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</si>
  <si>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</si>
  <si>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</si>
  <si>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</si>
  <si>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</si>
  <si>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</si>
  <si>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</si>
  <si>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</si>
  <si>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</si>
  <si>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</si>
  <si>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</si>
  <si>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</si>
  <si>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</si>
  <si>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</si>
  <si>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</si>
  <si>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</si>
  <si>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</si>
  <si>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</si>
  <si>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</si>
  <si>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</si>
  <si>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</si>
  <si>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</si>
  <si>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</si>
  <si>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</si>
  <si>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</si>
  <si>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</si>
  <si>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</si>
  <si>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</si>
  <si>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</si>
  <si>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</si>
  <si>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</si>
  <si>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</si>
  <si>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</si>
  <si>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</si>
  <si>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</si>
  <si>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</si>
  <si>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</si>
  <si>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</si>
  <si>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</si>
  <si>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</si>
  <si>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</si>
  <si>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</si>
  <si>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</si>
  <si>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</si>
  <si>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</si>
  <si>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</si>
  <si>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</si>
  <si>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</si>
  <si>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</si>
  <si>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</si>
  <si>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</si>
  <si>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</si>
  <si>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</si>
  <si>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</si>
  <si>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</si>
  <si>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</si>
  <si>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</si>
  <si>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</si>
  <si>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</si>
  <si>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</si>
  <si>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</si>
  <si>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</si>
  <si>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</si>
  <si>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</si>
  <si>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</si>
  <si>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</si>
  <si>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</si>
  <si>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</si>
  <si>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</si>
  <si>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</si>
  <si>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</si>
  <si>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</si>
  <si>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</si>
  <si>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</si>
  <si>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</si>
  <si>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</si>
  <si>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</si>
  <si>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</si>
  <si>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</si>
  <si>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</si>
  <si>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</si>
  <si>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</si>
  <si>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</si>
  <si>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</si>
  <si>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</si>
  <si>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</si>
  <si>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</si>
  <si>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</si>
  <si>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</si>
  <si>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</si>
  <si>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</si>
  <si>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</si>
  <si>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</si>
  <si>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</si>
  <si>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</si>
  <si>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</si>
  <si>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</si>
  <si>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</si>
  <si>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</si>
  <si>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</si>
  <si>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</si>
  <si>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</si>
  <si>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</si>
  <si>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</si>
  <si>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</si>
  <si>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</si>
  <si>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</si>
  <si>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</si>
  <si>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</si>
  <si>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</si>
  <si>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</si>
  <si>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</si>
  <si>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</si>
  <si>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</si>
  <si>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</si>
  <si>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</si>
  <si>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</si>
  <si>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</si>
  <si>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</si>
  <si>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</si>
  <si>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</si>
  <si>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</si>
  <si>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</si>
  <si>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</si>
  <si>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</si>
  <si>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</si>
  <si>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</si>
  <si>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</si>
  <si>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</si>
  <si>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</si>
  <si>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</si>
  <si>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</si>
  <si>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</si>
  <si>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</si>
  <si>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</si>
  <si>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</si>
  <si>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</si>
  <si>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</si>
  <si>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</si>
  <si>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</si>
  <si>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</si>
  <si>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</si>
  <si>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</si>
  <si>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</si>
  <si>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</si>
  <si>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</si>
  <si>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</si>
  <si>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</si>
  <si>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</si>
  <si>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</si>
  <si>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</si>
  <si>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</si>
  <si>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</si>
  <si>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</si>
  <si>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</si>
  <si>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</si>
  <si>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</si>
  <si>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</si>
  <si>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</si>
  <si>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</si>
  <si>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</si>
  <si>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</si>
  <si>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</si>
  <si>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</si>
  <si>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</si>
  <si>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</si>
  <si>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</si>
  <si>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</si>
  <si>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</si>
  <si>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</si>
  <si>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</si>
  <si>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</si>
  <si>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</si>
  <si>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</si>
  <si>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</si>
  <si>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</si>
  <si>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</si>
  <si>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</si>
  <si>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</si>
  <si>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</si>
  <si>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</si>
  <si>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</si>
  <si>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</si>
  <si>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</si>
  <si>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</si>
  <si>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</si>
  <si>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</si>
  <si>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</si>
  <si>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</si>
  <si>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</si>
  <si>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</si>
  <si>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</si>
  <si>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</si>
  <si>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</si>
  <si>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</si>
  <si>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</si>
  <si>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</si>
  <si>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</si>
  <si>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</si>
  <si>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</si>
  <si>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</si>
  <si>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</si>
  <si>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</si>
  <si>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</si>
  <si>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</si>
  <si>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</si>
  <si>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</si>
  <si>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</si>
  <si>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</si>
  <si>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</si>
  <si>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</si>
  <si>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</si>
  <si>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</si>
  <si>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</si>
  <si>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</si>
  <si>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</si>
  <si>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</si>
  <si>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</si>
  <si>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</si>
  <si>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</si>
  <si>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</si>
  <si>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</si>
  <si>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</si>
  <si>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</si>
  <si>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</si>
  <si>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</si>
  <si>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</si>
  <si>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</si>
  <si>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</si>
  <si>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</si>
  <si>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</si>
  <si>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</si>
  <si>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</si>
  <si>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</si>
  <si>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</si>
  <si>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</si>
  <si>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</si>
  <si>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</si>
  <si>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</si>
  <si>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</si>
  <si>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</si>
  <si>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</si>
  <si>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</si>
  <si>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</si>
  <si>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</si>
  <si>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</si>
  <si>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</si>
  <si>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</si>
  <si>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</si>
  <si>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</si>
  <si>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</si>
  <si>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</si>
  <si>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</si>
  <si>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</si>
  <si>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</si>
  <si>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</si>
  <si>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</si>
  <si>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</si>
  <si>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</si>
  <si>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</si>
  <si>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</si>
  <si>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</si>
  <si>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</si>
  <si>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</si>
  <si>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</si>
  <si>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</si>
  <si>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</si>
  <si>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</si>
  <si>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</si>
  <si>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</si>
  <si>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</si>
  <si>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</si>
  <si>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</si>
  <si>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</si>
  <si>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</si>
  <si>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</si>
  <si>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</si>
  <si>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</si>
  <si>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</si>
  <si>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</si>
  <si>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</si>
  <si>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</si>
  <si>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</si>
  <si>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</si>
  <si>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</si>
  <si>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</si>
  <si>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</si>
  <si>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</si>
  <si>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</si>
  <si>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</si>
  <si>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</si>
  <si>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</si>
  <si>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</si>
  <si>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</si>
  <si>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</si>
  <si>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</si>
  <si>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</si>
  <si>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</si>
  <si>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</si>
  <si>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</si>
  <si>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</si>
  <si>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</si>
  <si>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</si>
  <si>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</si>
  <si>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</si>
  <si>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</si>
  <si>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</si>
  <si>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</si>
  <si>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</si>
  <si>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</si>
  <si>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</si>
  <si>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</si>
  <si>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</si>
  <si>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</si>
  <si>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</si>
  <si>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</si>
  <si>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</si>
  <si>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</si>
  <si>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</si>
  <si>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</si>
  <si>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</si>
  <si>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</si>
  <si>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</si>
  <si>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</si>
  <si>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</si>
  <si>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</si>
  <si>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</si>
  <si>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</si>
  <si>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</si>
  <si>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</si>
  <si>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</si>
  <si>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</si>
  <si>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</si>
  <si>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</si>
  <si>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</si>
  <si>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</si>
  <si>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</si>
  <si>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</si>
  <si>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</si>
  <si>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</si>
  <si>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</si>
  <si>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</si>
  <si>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</si>
  <si>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</si>
  <si>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</si>
  <si>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</si>
  <si>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</si>
  <si>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</si>
  <si>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</si>
  <si>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</si>
  <si>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</si>
  <si>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</si>
  <si>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</si>
  <si>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</si>
  <si>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</si>
  <si>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</si>
  <si>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</si>
  <si>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</si>
  <si>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</si>
  <si>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</si>
  <si>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</si>
  <si>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</si>
  <si>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</si>
  <si>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</si>
  <si>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</si>
  <si>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</si>
  <si>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</si>
  <si>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</si>
  <si>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</si>
  <si>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</si>
  <si>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</si>
  <si>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</si>
  <si>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</si>
  <si>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</si>
  <si>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</si>
  <si>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</si>
  <si>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</si>
  <si>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</si>
  <si>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</si>
  <si>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</si>
  <si>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</si>
  <si>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</si>
  <si>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</si>
  <si>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</si>
  <si>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</si>
  <si>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</si>
  <si>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</si>
  <si>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</si>
  <si>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</si>
  <si>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</si>
  <si>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</si>
  <si>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</si>
  <si>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</si>
  <si>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</si>
  <si>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</si>
  <si>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</si>
  <si>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</si>
  <si>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</si>
  <si>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</si>
  <si>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</si>
  <si>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</si>
  <si>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</si>
  <si>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</si>
  <si>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</si>
  <si>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</si>
  <si>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</si>
  <si>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</si>
  <si>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</si>
  <si>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</si>
  <si>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</si>
  <si>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</si>
  <si>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</si>
  <si>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</si>
  <si>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</si>
  <si>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</si>
  <si>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</si>
  <si>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</si>
  <si>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</si>
  <si>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</si>
  <si>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</si>
  <si>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</si>
  <si>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</si>
  <si>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</si>
  <si>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</si>
  <si>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</si>
  <si>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</si>
  <si>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</si>
  <si>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</si>
  <si>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</si>
  <si>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</si>
  <si>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</si>
  <si>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</si>
  <si>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</si>
  <si>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</si>
  <si>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</si>
  <si>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</si>
  <si>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</si>
  <si>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</si>
  <si>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</si>
  <si>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</si>
  <si>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</si>
  <si>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</si>
  <si>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</si>
  <si>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</si>
  <si>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</si>
  <si>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</si>
  <si>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</si>
  <si>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</si>
  <si>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</si>
  <si>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</si>
  <si>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</si>
  <si>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</si>
  <si>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</si>
  <si>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</si>
  <si>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</si>
  <si>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</si>
  <si>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</si>
  <si>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</si>
  <si>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</si>
  <si>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</si>
  <si>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</si>
  <si>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</si>
  <si>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</si>
  <si>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</si>
  <si>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</si>
  <si>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</si>
  <si>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</si>
  <si>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</si>
  <si>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</si>
  <si>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</si>
  <si>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</si>
  <si>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</si>
  <si>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</si>
  <si>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</si>
  <si>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</si>
  <si>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</si>
  <si>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</si>
  <si>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</si>
  <si>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</si>
  <si>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</si>
  <si>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</si>
  <si>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</si>
  <si>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</si>
  <si>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</si>
  <si>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</si>
  <si>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</si>
  <si>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</si>
  <si>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</si>
  <si>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</si>
  <si>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</si>
  <si>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</si>
  <si>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</si>
  <si>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</si>
  <si>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</si>
  <si>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</si>
  <si>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</si>
  <si>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</si>
  <si>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</si>
  <si>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</si>
  <si>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</si>
  <si>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</si>
  <si>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</si>
  <si>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</si>
  <si>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</si>
  <si>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</si>
  <si>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</si>
  <si>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</si>
  <si>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</si>
  <si>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</si>
  <si>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</si>
  <si>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</si>
  <si>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</si>
  <si>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</si>
  <si>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</si>
  <si>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</si>
  <si>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</si>
  <si>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</si>
  <si>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</si>
  <si>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</si>
  <si>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</si>
  <si>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</si>
  <si>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</si>
  <si>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</si>
  <si>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Suministros Maeses</t>
  </si>
  <si>
    <t>Decor corredera 2H guía 35007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</si>
</sst>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4" zoomScaleNormal="95" zoomScaleSheetLayoutView="100" workbookViewId="0">
      <selection activeCell="C13" sqref="C13:D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20250212</v>
      </c>
      <c r="G7" s="8">
        <f ca="1">TODAY()</f>
        <v>45959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77" t="str">
        <f>IFERROR(VLOOKUP($B13,Tarifa_all_20240711!$A$2:$G$660,2,FALSE()),"-")</f>
        <v>GUIA SUP TECHO PLUS LAC.NEGRO MATE-3 MTS</v>
      </c>
      <c r="D13" s="77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1</v>
      </c>
      <c r="F14" s="18">
        <f>IFERROR(VLOOKUP($B14,Tarifa_all_20240711!$A$2:$G$660,5,FALSE()),"-")</f>
        <v>10.484999999999999</v>
      </c>
      <c r="G14" s="18">
        <f t="shared" si="0"/>
        <v>10.484999999999999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77" t="str">
        <f>IFERROR(VLOOKUP($B16,Tarifa_all_20240711!$A$2:$G$660,2,FALSE()),"-")</f>
        <v>KIT AMORTIGUADOR SKY 60KG FORMATO CORTO</v>
      </c>
      <c r="D16" s="77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1164</v>
      </c>
      <c r="C19" s="77" t="str">
        <f>IFERROR(VLOOKUP($B19,Tarifa_all_20240711!$A$2:$G$660,2,FALSE()),"-")</f>
        <v>TIRADOR RECT.HOLE LAC.NEGRO TEXTURADO: 2 UDS</v>
      </c>
      <c r="D19" s="77"/>
      <c r="E19" s="17">
        <v>2</v>
      </c>
      <c r="F19" s="18">
        <f>IFERROR(VLOOKUP($B19,Tarifa_all_20240711!$A$2:$G$660,5,FALSE()),"-")</f>
        <v>53.542500000000004</v>
      </c>
      <c r="G19" s="18">
        <f t="shared" si="0"/>
        <v>107.08500000000001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839.23500000000013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Suministros Maeses</v>
      </c>
      <c r="C9" s="86"/>
      <c r="D9" s="86"/>
      <c r="F9" s="3" t="s">
        <v>81</v>
      </c>
      <c r="G9" s="44">
        <f ca="1">TODAY()</f>
        <v>45959</v>
      </c>
    </row>
    <row r="10" spans="1:7" x14ac:dyDescent="0.25">
      <c r="A10" s="3" t="s">
        <v>82</v>
      </c>
      <c r="B10" s="11" t="str">
        <f>'DESPIECE (MATANALYSIS)'!C9</f>
        <v>Decor corredera 2H guía 35007</v>
      </c>
      <c r="C10" s="45"/>
      <c r="D10" s="45"/>
      <c r="E10" s="46"/>
      <c r="F10" s="47" t="s">
        <v>83</v>
      </c>
      <c r="G10" s="7">
        <f>'DESPIECE (MATANALYSIS)'!C7</f>
        <v>20250212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839.23500000000013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2025-10-29T17:32:25Z</dcterms:modified>
  <dc:language>es-ES</dc:language>
</cp:coreProperties>
</file>