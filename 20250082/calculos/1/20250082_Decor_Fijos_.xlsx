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82\calculos\1\"/>
    </mc:Choice>
  </mc:AlternateContent>
  <xr:revisionPtr revIDLastSave="0" documentId="13_ncr:1_{7DEE8FFB-32C0-44E3-9025-18AAB5A472AC}" xr6:coauthVersionLast="47" xr6:coauthVersionMax="47" xr10:uidLastSave="{00000000-0000-0000-0000-000000000000}"/>
  <bookViews>
    <workbookView xWindow="-21930" yWindow="270" windowWidth="20865" windowHeight="144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(MATANALYSIS)'!$B$16:$B$31</definedName>
    <definedName name="_35010NE2">#REF!</definedName>
    <definedName name="_xlnm.Print_Area" localSheetId="1">'DESCRIPCIÓN (VALVENTN)'!$A$1:$G$45</definedName>
    <definedName name="_xlnm.Print_Area" localSheetId="0">'DESPIECE (MATANALYSIS)'!$B$1:$F$38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0" l="1"/>
  <c r="H23" i="10"/>
  <c r="H22" i="10"/>
  <c r="G28" i="10"/>
  <c r="F28" i="10"/>
  <c r="C28" i="10"/>
  <c r="F31" i="10"/>
  <c r="C31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9" i="10"/>
  <c r="G30" i="10"/>
  <c r="G31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2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<sst xmlns="http://schemas.openxmlformats.org/spreadsheetml/2006/main" count="5413" uniqueCount="1455">
  <si>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</si>
  <si>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</si>
  <si>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</si>
  <si>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</si>
  <si>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</si>
  <si>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</si>
  <si>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</si>
  <si>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</si>
  <si>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</si>
  <si>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</si>
  <si>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</si>
  <si>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</si>
  <si>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</si>
  <si>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</si>
  <si>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</si>
  <si>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</si>
  <si>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</si>
  <si>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</si>
  <si>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</si>
  <si>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</si>
  <si>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</si>
  <si>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</si>
  <si>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</si>
  <si>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</si>
  <si>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</si>
  <si>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</si>
  <si>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</si>
  <si>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</si>
  <si>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</si>
  <si>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</si>
  <si>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</si>
  <si>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</si>
  <si>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</si>
  <si>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</si>
  <si>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</si>
  <si>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</si>
  <si>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</si>
  <si>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</si>
  <si>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</si>
  <si>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</si>
  <si>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</si>
  <si>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</si>
  <si>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</si>
  <si>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</si>
  <si>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</si>
  <si>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</si>
  <si>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</si>
  <si>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</si>
  <si>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</si>
  <si>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</si>
  <si>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</si>
  <si>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</si>
  <si>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</si>
  <si>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</si>
  <si>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</si>
  <si>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</si>
  <si>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</si>
  <si>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</si>
  <si>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</si>
  <si>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</si>
  <si>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</si>
  <si>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</si>
  <si>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</si>
  <si>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</si>
  <si>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</si>
  <si>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</si>
  <si>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</si>
  <si>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</si>
  <si>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</si>
  <si>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</si>
  <si>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</si>
  <si>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</si>
  <si>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</si>
  <si>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</si>
  <si>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</si>
  <si>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</si>
  <si>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</si>
  <si>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</si>
  <si>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</si>
  <si>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</si>
  <si>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</si>
  <si>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</si>
  <si>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</si>
  <si>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</si>
  <si>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</si>
  <si>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</si>
  <si>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</si>
  <si>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</si>
  <si>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</si>
  <si>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</si>
  <si>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</si>
  <si>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</si>
  <si>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</si>
  <si>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</si>
  <si>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</si>
  <si>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</si>
  <si>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</si>
  <si>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</si>
  <si>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</si>
  <si>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</si>
  <si>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</si>
  <si>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</si>
  <si>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</si>
  <si>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</si>
  <si>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</si>
  <si>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</si>
  <si>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</si>
  <si>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</si>
  <si>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</si>
  <si>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</si>
  <si>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</si>
  <si>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</si>
  <si>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</si>
  <si>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</si>
  <si>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</si>
  <si>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</si>
  <si>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</si>
  <si>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</si>
  <si>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</si>
  <si>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</si>
  <si>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</si>
  <si>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</si>
  <si>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</si>
  <si>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</si>
  <si>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</si>
  <si>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</si>
  <si>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</si>
  <si>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</si>
  <si>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</si>
  <si>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</si>
  <si>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</si>
  <si>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</si>
  <si>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</si>
  <si>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</si>
  <si>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</si>
  <si>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</si>
  <si>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</si>
  <si>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</si>
  <si>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</si>
  <si>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</si>
  <si>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</si>
  <si>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</si>
  <si>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</si>
  <si>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</si>
  <si>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</si>
  <si>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</si>
  <si>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</si>
  <si>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</si>
  <si>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</si>
  <si>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</si>
  <si>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</si>
  <si>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</si>
  <si>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</si>
  <si>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</si>
  <si>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</si>
  <si>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</si>
  <si>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</si>
  <si>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</si>
  <si>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</si>
  <si>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</si>
  <si>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</si>
  <si>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</si>
  <si>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</si>
  <si>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</si>
  <si>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</si>
  <si>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</si>
  <si>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</si>
  <si>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</si>
  <si>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</si>
  <si>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</si>
  <si>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</si>
  <si>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</si>
  <si>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</si>
  <si>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</si>
  <si>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</si>
  <si>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</si>
  <si>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</si>
  <si>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</si>
  <si>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</si>
  <si>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</si>
  <si>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</si>
  <si>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</si>
  <si>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</si>
  <si>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</si>
  <si>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</si>
  <si>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</si>
  <si>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</si>
  <si>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</si>
  <si>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</si>
  <si>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</si>
  <si>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</si>
  <si>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</si>
  <si>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</si>
  <si>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</si>
  <si>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</si>
  <si>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</si>
  <si>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</si>
  <si>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</si>
  <si>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</si>
  <si>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</si>
  <si>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</si>
  <si>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</si>
  <si>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</si>
  <si>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</si>
  <si>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</si>
  <si>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</si>
  <si>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</si>
  <si>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</si>
  <si>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</si>
  <si>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</si>
  <si>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</si>
  <si>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</si>
  <si>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</si>
  <si>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</si>
  <si>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</si>
  <si>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</si>
  <si>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</si>
  <si>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</si>
  <si>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</si>
  <si>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</si>
  <si>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</si>
  <si>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</si>
  <si>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</si>
  <si>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</si>
  <si>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</si>
  <si>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</si>
  <si>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</si>
  <si>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</si>
  <si>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</si>
  <si>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</si>
  <si>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</si>
  <si>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</si>
  <si>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</si>
  <si>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</si>
  <si>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</si>
  <si>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</si>
  <si>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</si>
  <si>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</si>
  <si>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</si>
  <si>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</si>
  <si>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</si>
  <si>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</si>
  <si>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</si>
  <si>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</si>
  <si>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</si>
  <si>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</si>
  <si>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</si>
  <si>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</si>
  <si>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</si>
  <si>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</si>
  <si>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</si>
  <si>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</si>
  <si>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</si>
  <si>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</si>
  <si>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</si>
  <si>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</si>
  <si>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</si>
  <si>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</si>
  <si>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</si>
  <si>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</si>
  <si>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</si>
  <si>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</si>
  <si>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</si>
  <si>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</si>
  <si>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</si>
  <si>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</si>
  <si>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</si>
  <si>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</si>
  <si>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</si>
  <si>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</si>
  <si>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</si>
  <si>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</si>
  <si>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</si>
  <si>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</si>
  <si>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</si>
  <si>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</si>
  <si>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</si>
  <si>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</si>
  <si>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</si>
  <si>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</si>
  <si>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</si>
  <si>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</si>
  <si>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</si>
  <si>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</si>
  <si>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</si>
  <si>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</si>
  <si>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</si>
  <si>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</si>
  <si>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</si>
  <si>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</si>
  <si>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</si>
  <si>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</si>
  <si>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</si>
  <si>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</si>
  <si>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</si>
  <si>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</si>
  <si>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</si>
  <si>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</si>
  <si>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</si>
  <si>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</si>
  <si>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</si>
  <si>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</si>
  <si>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</si>
  <si>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</si>
  <si>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</si>
  <si>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</si>
  <si>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</si>
  <si>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</si>
  <si>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</si>
  <si>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</si>
  <si>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</si>
  <si>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</si>
  <si>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</si>
  <si>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</si>
  <si>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</si>
  <si>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</si>
  <si>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</si>
  <si>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</si>
  <si>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</si>
  <si>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</si>
  <si>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</si>
  <si>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</si>
  <si>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</si>
  <si>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</si>
  <si>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</si>
  <si>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</si>
  <si>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</si>
  <si>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</si>
  <si>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</si>
  <si>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</si>
  <si>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</si>
  <si>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</si>
  <si>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</si>
  <si>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</si>
  <si>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</si>
  <si>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</si>
  <si>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</si>
  <si>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</si>
  <si>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</si>
  <si>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</si>
  <si>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</si>
  <si>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</si>
  <si>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</si>
  <si>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</si>
  <si>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</si>
  <si>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</si>
  <si>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</si>
  <si>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</si>
  <si>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</si>
  <si>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</si>
  <si>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</si>
  <si>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</si>
  <si>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</si>
  <si>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</si>
  <si>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</si>
  <si>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</si>
  <si>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</si>
  <si>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</si>
  <si>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</si>
  <si>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</si>
  <si>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</si>
  <si>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</si>
  <si>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</si>
  <si>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</si>
  <si>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</si>
  <si>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</si>
  <si>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</si>
  <si>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</si>
  <si>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</si>
  <si>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</si>
  <si>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</si>
  <si>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</si>
  <si>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</si>
  <si>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</si>
  <si>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</si>
  <si>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</si>
  <si>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</si>
  <si>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</si>
  <si>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</si>
  <si>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</si>
  <si>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</si>
  <si>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</si>
  <si>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</si>
  <si>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</si>
  <si>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</si>
  <si>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</si>
  <si>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</si>
  <si>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</si>
  <si>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</si>
  <si>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</si>
  <si>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</si>
  <si>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</si>
  <si>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</si>
  <si>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</si>
  <si>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</si>
  <si>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</si>
  <si>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</si>
  <si>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</si>
  <si>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</si>
  <si>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</si>
  <si>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</si>
  <si>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</si>
  <si>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</si>
  <si>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</si>
  <si>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</si>
  <si>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</si>
  <si>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</si>
  <si>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</si>
  <si>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</si>
  <si>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</si>
  <si>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</si>
  <si>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</si>
  <si>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</si>
  <si>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</si>
  <si>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</si>
  <si>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</si>
  <si>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</si>
  <si>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</si>
  <si>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</si>
  <si>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</si>
  <si>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</si>
  <si>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</si>
  <si>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</si>
  <si>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</si>
  <si>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</si>
  <si>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</si>
  <si>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</si>
  <si>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</si>
  <si>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</si>
  <si>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</si>
  <si>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</si>
  <si>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</si>
  <si>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</si>
  <si>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</si>
  <si>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</si>
  <si>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</si>
  <si>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</si>
  <si>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</si>
  <si>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</si>
  <si>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</si>
  <si>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</si>
  <si>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</si>
  <si>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</si>
  <si>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</si>
  <si>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</si>
  <si>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</si>
  <si>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</si>
  <si>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</si>
  <si>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</si>
  <si>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</si>
  <si>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</si>
  <si>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</si>
  <si>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</si>
  <si>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</si>
  <si>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</si>
  <si>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</si>
  <si>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</si>
  <si>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</si>
  <si>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</si>
  <si>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</si>
  <si>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</si>
  <si>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</si>
  <si>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</si>
  <si>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</si>
  <si>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</si>
  <si>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</si>
  <si>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</si>
  <si>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</si>
  <si>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</si>
  <si>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</si>
  <si>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</si>
  <si>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</si>
  <si>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</si>
  <si>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</si>
  <si>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</si>
  <si>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</si>
  <si>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</si>
  <si>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</si>
  <si>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</si>
  <si>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</si>
  <si>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</si>
  <si>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</si>
  <si>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</si>
  <si>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</si>
  <si>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</si>
  <si>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</si>
  <si>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</si>
  <si>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</si>
  <si>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</si>
  <si>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</si>
  <si>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</si>
  <si>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</si>
  <si>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</si>
  <si>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</si>
  <si>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</si>
  <si>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</si>
  <si>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</si>
  <si>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</si>
  <si>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</si>
  <si>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</si>
  <si>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</si>
  <si>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</si>
  <si>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</si>
  <si>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</si>
  <si>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</si>
  <si>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</si>
  <si>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</si>
  <si>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</si>
  <si>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</si>
  <si>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</si>
  <si>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</si>
  <si>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</si>
  <si>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</si>
  <si>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</si>
  <si>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</si>
  <si>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</si>
  <si>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</si>
  <si>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</si>
  <si>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</si>
  <si>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</si>
  <si>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</si>
  <si>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</si>
  <si>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</si>
  <si>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</si>
  <si>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</si>
  <si>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</si>
  <si>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</si>
  <si>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</si>
  <si>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</si>
  <si>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</si>
  <si>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</si>
  <si>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</si>
  <si>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</si>
  <si>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</si>
  <si>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</si>
  <si>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</si>
  <si>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</si>
  <si>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</si>
  <si>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</si>
  <si>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</si>
  <si>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</si>
  <si>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</si>
  <si>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</si>
  <si>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</si>
  <si>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</si>
  <si>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</si>
  <si>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</si>
  <si>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</si>
  <si>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</si>
  <si>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</si>
  <si>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</si>
  <si>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</si>
  <si>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</si>
  <si>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</si>
  <si>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</si>
  <si>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</si>
  <si>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</si>
  <si>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</si>
  <si>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</si>
  <si>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</si>
  <si>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</si>
  <si>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</si>
  <si>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</si>
  <si>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</si>
  <si>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</si>
  <si>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</si>
  <si>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</si>
  <si>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</si>
  <si>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</si>
  <si>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</si>
  <si>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</si>
  <si>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</si>
  <si>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</si>
  <si>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</si>
  <si>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</si>
  <si>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</si>
  <si>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</si>
  <si>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</si>
  <si>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</si>
  <si>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</si>
  <si>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</si>
  <si>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</si>
  <si>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</si>
  <si>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</si>
  <si>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</si>
  <si>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</si>
  <si>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</si>
  <si>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</si>
  <si>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</si>
  <si>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</si>
  <si>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</si>
  <si>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</si>
  <si>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</si>
  <si>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</si>
  <si>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</si>
  <si>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</si>
  <si>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</si>
  <si>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</si>
  <si>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</si>
  <si>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</si>
  <si>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</si>
  <si>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</si>
  <si>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</si>
  <si>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</si>
  <si>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</si>
  <si>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</si>
  <si>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</si>
  <si>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</si>
  <si>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</si>
  <si>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</si>
  <si>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</si>
  <si>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</si>
  <si>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</si>
  <si>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</si>
  <si>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</si>
  <si>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</si>
  <si>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</si>
  <si>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</si>
  <si>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</si>
  <si>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</si>
  <si>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</si>
  <si>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</si>
  <si>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</si>
  <si>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</si>
  <si>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</si>
  <si>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</si>
  <si>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</si>
  <si>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</si>
  <si>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</si>
  <si>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</si>
  <si>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</si>
  <si>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</si>
  <si>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</si>
  <si>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</si>
  <si>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</si>
  <si>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</si>
  <si>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</si>
  <si>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</si>
  <si>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</si>
  <si>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</si>
  <si>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</si>
  <si>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</si>
  <si>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</si>
  <si>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</si>
  <si>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</si>
  <si>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</si>
  <si>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</si>
  <si>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</si>
  <si>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</si>
  <si>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</si>
  <si>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</si>
  <si>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</si>
  <si>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</si>
  <si>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</si>
  <si>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</si>
  <si>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</si>
  <si>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</si>
  <si>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</si>
  <si>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</si>
  <si>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</si>
  <si>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</si>
  <si>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</si>
  <si>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</si>
  <si>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</si>
  <si>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</si>
  <si>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</si>
  <si>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</si>
  <si>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</si>
  <si>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</si>
  <si>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</si>
  <si>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</si>
  <si>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</si>
  <si>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</si>
  <si>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</si>
  <si>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</si>
  <si>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</si>
  <si>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</si>
  <si>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</si>
  <si>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</si>
  <si>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</si>
  <si>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</si>
  <si>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</si>
  <si>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</si>
  <si>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</si>
  <si>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</si>
  <si>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</si>
  <si>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</si>
  <si>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</si>
  <si>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</si>
  <si>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</si>
  <si>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</si>
  <si>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</si>
  <si>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</si>
  <si>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</si>
  <si>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</si>
  <si>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</si>
  <si>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</si>
  <si>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</si>
  <si>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</si>
  <si>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</si>
  <si>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</si>
  <si>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</si>
  <si>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</si>
  <si>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</si>
  <si>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</si>
  <si>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</si>
  <si>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</si>
  <si>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</si>
  <si>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</si>
  <si>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</si>
  <si>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</si>
  <si>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</si>
  <si>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</si>
  <si>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</si>
  <si>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</si>
  <si>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</si>
  <si>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</si>
  <si>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</si>
  <si>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</si>
  <si>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</si>
  <si>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</si>
  <si>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</si>
  <si>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</si>
  <si>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</si>
  <si>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</si>
  <si>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</si>
  <si>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</si>
  <si>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</si>
  <si>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</si>
  <si>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</si>
  <si>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</si>
  <si>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</si>
  <si>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</si>
  <si>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</si>
  <si>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</si>
  <si>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</si>
  <si>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</si>
  <si>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</si>
  <si>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</si>
  <si>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</si>
  <si>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</si>
  <si>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</si>
  <si>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</si>
  <si>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</si>
  <si>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</si>
  <si>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</si>
  <si>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</si>
  <si>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</si>
  <si>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</si>
  <si>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</si>
  <si>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</si>
  <si>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</si>
  <si>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</si>
  <si>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</si>
  <si>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</si>
  <si>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</si>
  <si>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</si>
  <si>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</si>
  <si>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</si>
  <si>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</si>
  <si>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</si>
  <si>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</si>
  <si>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</si>
  <si>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</si>
  <si>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</si>
  <si>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</si>
  <si>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</si>
  <si>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</si>
  <si>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</si>
  <si>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</si>
  <si>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</si>
  <si>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</si>
  <si>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</si>
  <si>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</si>
  <si>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</si>
  <si>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</si>
  <si>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</si>
  <si>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</si>
  <si>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</si>
  <si>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</si>
  <si>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</si>
  <si>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</si>
  <si>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</si>
  <si>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</si>
  <si>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</si>
  <si>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</si>
  <si>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</si>
  <si>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</si>
  <si>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</si>
  <si>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</si>
  <si>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</si>
  <si>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</si>
  <si>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</si>
  <si>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</si>
  <si>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</si>
  <si>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</si>
  <si>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</si>
  <si>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</si>
  <si>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</si>
  <si>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</si>
  <si>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</si>
  <si>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</si>
  <si>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</si>
  <si>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</si>
  <si>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</si>
  <si>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</si>
  <si>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</si>
  <si>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</si>
  <si>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</si>
  <si>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</si>
  <si>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</si>
  <si>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</si>
  <si>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</si>
  <si>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</si>
  <si>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</si>
  <si>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</si>
  <si>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</si>
  <si>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</si>
  <si>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</si>
  <si>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</si>
  <si>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</si>
  <si>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</si>
  <si>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</si>
  <si>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</si>
  <si>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</si>
  <si>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</si>
  <si>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</si>
  <si>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</si>
  <si>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</si>
  <si>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</si>
  <si>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</si>
  <si>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</si>
  <si>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</si>
  <si>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</si>
  <si>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</si>
  <si>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</si>
  <si>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</si>
  <si>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</si>
  <si>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</si>
  <si>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</si>
  <si>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</si>
  <si>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</si>
  <si>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</si>
  <si>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</si>
  <si>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</si>
  <si>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</si>
  <si>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</si>
  <si>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</si>
  <si>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</si>
  <si>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</si>
  <si>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</si>
  <si>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</si>
  <si>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</si>
  <si>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</si>
  <si>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</si>
  <si>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</si>
  <si>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</si>
  <si>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</si>
  <si>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</si>
  <si>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</si>
  <si>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</si>
  <si>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</si>
  <si>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</si>
  <si>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</si>
  <si>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</si>
  <si>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</si>
  <si>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</si>
  <si>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</si>
  <si>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</si>
  <si>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</si>
  <si>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</si>
  <si>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</si>
  <si>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</si>
  <si>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</si>
  <si>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</si>
  <si>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</si>
  <si>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</si>
  <si>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</si>
  <si>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</si>
  <si>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</si>
  <si>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</si>
  <si>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</si>
  <si>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</si>
  <si>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</si>
  <si>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</si>
  <si>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</si>
  <si>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</si>
  <si>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</si>
  <si>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</si>
  <si>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</si>
  <si>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</si>
  <si>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</si>
  <si>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</si>
  <si>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</si>
  <si>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</si>
  <si>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</si>
  <si>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</si>
  <si>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</si>
  <si>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</si>
  <si>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</si>
  <si>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</si>
  <si>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</si>
  <si>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</si>
  <si>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</si>
  <si>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</si>
  <si>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</si>
  <si>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</si>
  <si>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</si>
  <si>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</si>
  <si>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</si>
  <si>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</si>
  <si>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</si>
  <si>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</si>
  <si>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</si>
  <si>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</si>
  <si>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</si>
  <si>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</si>
  <si>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</si>
  <si>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</si>
  <si>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</si>
  <si>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</si>
  <si>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</si>
  <si>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</si>
  <si>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</si>
  <si>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</si>
  <si>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</si>
  <si>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</si>
  <si>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</si>
  <si>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</si>
  <si>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</si>
  <si>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</si>
  <si>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</si>
  <si>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</si>
  <si>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</si>
  <si>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</si>
  <si>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</si>
  <si>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</si>
  <si>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</si>
  <si>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</si>
  <si>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</si>
  <si>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</si>
  <si>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</si>
  <si>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</si>
  <si>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</si>
  <si>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</si>
  <si>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</si>
  <si>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</si>
  <si>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</si>
  <si>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</si>
  <si>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</si>
  <si>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</si>
  <si>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</si>
  <si>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</si>
  <si>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</si>
  <si>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</si>
  <si>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</si>
  <si>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</si>
  <si>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</si>
  <si>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</si>
  <si>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</si>
  <si>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</si>
  <si>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</si>
  <si>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</si>
  <si>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</si>
  <si>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</si>
  <si>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</si>
  <si>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</si>
  <si>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</si>
  <si>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</si>
  <si>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</si>
  <si>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</si>
  <si>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</si>
  <si>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</si>
  <si>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</si>
  <si>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</si>
  <si>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</si>
  <si>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</si>
  <si>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</si>
  <si>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</si>
  <si>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</si>
  <si>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</si>
  <si>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</si>
  <si>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</si>
  <si>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</si>
  <si>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</si>
  <si>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</si>
  <si>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</si>
  <si>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</si>
  <si>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</si>
  <si>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</si>
  <si>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</si>
  <si>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</si>
  <si>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</si>
  <si>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</si>
  <si>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</si>
  <si>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</si>
  <si>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</si>
  <si>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</si>
  <si>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</si>
  <si>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</si>
  <si>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</si>
  <si>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</si>
  <si>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</si>
  <si>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</si>
  <si>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</si>
  <si>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</si>
  <si>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</si>
  <si>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</si>
  <si>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</si>
  <si>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</si>
  <si>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</si>
  <si>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</si>
  <si>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</si>
  <si>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</si>
  <si>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</si>
  <si>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</si>
  <si>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</si>
  <si>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</si>
  <si>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</si>
  <si>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</si>
  <si>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</si>
  <si>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</si>
  <si>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</si>
  <si>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</si>
  <si>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</si>
  <si>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</si>
  <si>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</si>
  <si>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</si>
  <si>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</si>
  <si>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</si>
  <si>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</si>
  <si>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</si>
  <si>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</si>
  <si>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</si>
  <si>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</si>
  <si>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</si>
  <si>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</si>
  <si>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</si>
  <si>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</si>
  <si>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</si>
  <si>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</si>
  <si>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</si>
  <si>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</si>
  <si>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</si>
  <si>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</si>
  <si>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</si>
  <si>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</si>
  <si>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</si>
  <si>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</si>
  <si>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</si>
  <si>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</si>
  <si>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</si>
  <si>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</si>
  <si>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</si>
  <si>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</si>
  <si>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</si>
  <si>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</si>
  <si>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</si>
  <si>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</si>
  <si>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</si>
  <si>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</si>
  <si>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</si>
  <si>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</si>
  <si>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</si>
  <si>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</si>
  <si>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</si>
  <si>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</si>
  <si>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</si>
  <si>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</si>
  <si>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</si>
  <si>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</si>
  <si>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</si>
  <si>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</si>
  <si>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</si>
  <si>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</si>
  <si>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</si>
  <si>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</si>
  <si>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</si>
  <si>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</si>
  <si>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</si>
  <si>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</si>
  <si>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</si>
  <si>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</si>
  <si>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</si>
  <si>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</si>
  <si>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</si>
  <si>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</si>
  <si>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</si>
  <si>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</si>
  <si>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</si>
  <si>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</si>
  <si>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</si>
  <si>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</si>
  <si>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</si>
  <si>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</si>
  <si>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</si>
  <si>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</si>
  <si>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</si>
  <si>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</si>
  <si>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</si>
  <si>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</si>
  <si>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</si>
  <si>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</si>
  <si>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</si>
  <si>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</si>
  <si>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</si>
  <si>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</si>
  <si>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</si>
  <si>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</si>
  <si>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</si>
  <si>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</si>
  <si>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</si>
  <si>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</si>
  <si>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</si>
  <si>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</si>
  <si>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</si>
  <si>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</si>
  <si>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</si>
  <si>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</si>
  <si>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</si>
  <si>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</si>
  <si>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</si>
  <si>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</si>
  <si>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</si>
  <si>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</si>
  <si>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</si>
  <si>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</si>
  <si>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</si>
  <si>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</si>
  <si>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</si>
  <si>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</si>
  <si>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</si>
  <si>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</si>
  <si>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</si>
  <si>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</si>
  <si>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</si>
  <si>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</si>
  <si>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</si>
  <si>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</si>
  <si>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</si>
  <si>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</si>
  <si>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</si>
  <si>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</si>
  <si>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</si>
  <si>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</si>
  <si>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</si>
  <si>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</si>
  <si>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</si>
  <si>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</si>
  <si>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</si>
  <si>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</si>
  <si>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</si>
  <si>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</si>
  <si>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</si>
  <si>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</si>
  <si>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</si>
  <si>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</si>
  <si>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</si>
  <si>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</si>
  <si>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</si>
  <si>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</si>
  <si>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</si>
  <si>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</si>
  <si>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</si>
  <si>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</si>
  <si>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</si>
  <si>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</si>
  <si>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</si>
  <si>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</si>
  <si>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</si>
  <si>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</si>
  <si>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</si>
  <si>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</si>
  <si>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</si>
  <si>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</si>
  <si>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</si>
  <si>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</si>
  <si>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</si>
  <si>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</si>
  <si>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</si>
  <si>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</si>
  <si>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</si>
  <si>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</si>
  <si>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</si>
  <si>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</si>
  <si>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</si>
  <si>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</si>
  <si>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</si>
  <si>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</si>
  <si>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</si>
  <si>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</si>
  <si>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</si>
  <si>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</si>
  <si>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</si>
  <si>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</si>
  <si>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</si>
  <si>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</si>
  <si>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</si>
  <si>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</si>
  <si>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</si>
  <si>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</si>
  <si>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</si>
  <si>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</si>
  <si>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</si>
  <si>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</si>
  <si>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</si>
  <si>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</si>
  <si>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</si>
  <si>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</si>
  <si>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</si>
  <si>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</si>
  <si>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</si>
  <si>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</si>
  <si>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</si>
  <si>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</si>
  <si>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</si>
  <si>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</si>
  <si>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</si>
  <si>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</si>
  <si>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</si>
  <si>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</si>
  <si>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</si>
  <si>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</si>
  <si>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</si>
  <si>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</si>
  <si>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</si>
  <si>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</si>
  <si>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</si>
  <si>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</si>
  <si>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</si>
  <si>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</si>
  <si>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</si>
  <si>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</si>
  <si>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</si>
  <si>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</si>
  <si>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</si>
  <si>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</si>
  <si>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</si>
  <si>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</si>
  <si>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</si>
  <si>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</si>
  <si>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</si>
  <si>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</si>
  <si>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</si>
  <si>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</si>
  <si>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</si>
  <si>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</si>
  <si>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</si>
  <si>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</si>
  <si>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</si>
  <si>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</si>
  <si>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</si>
  <si>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</si>
  <si>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</si>
  <si>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</si>
  <si>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</si>
  <si>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</si>
  <si>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</si>
  <si>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</si>
  <si>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</si>
  <si>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</si>
  <si>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</si>
  <si>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</si>
  <si>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</si>
  <si>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</si>
  <si>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</si>
  <si>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</si>
  <si>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</si>
  <si>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</si>
  <si>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</si>
  <si>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</si>
  <si>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</si>
  <si>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</si>
  <si>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</si>
  <si>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</si>
  <si>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</si>
  <si>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</si>
  <si>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</si>
  <si>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</si>
  <si>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</si>
  <si>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</si>
  <si>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</si>
  <si>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</si>
  <si>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</si>
  <si>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</si>
  <si>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</si>
  <si>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</si>
  <si>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</si>
  <si>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</si>
  <si>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</si>
  <si>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</si>
  <si>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</si>
  <si>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</si>
  <si>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</si>
  <si>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</si>
  <si>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</si>
  <si>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</si>
  <si>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</si>
  <si>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</si>
  <si>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</si>
  <si>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</si>
  <si>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</si>
  <si>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</si>
  <si>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</si>
  <si>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</si>
  <si>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</si>
  <si>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</si>
  <si>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</si>
  <si>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</si>
  <si>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</si>
  <si>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</si>
  <si>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</si>
  <si>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</si>
  <si>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</si>
  <si>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</si>
  <si>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</si>
  <si>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</si>
  <si>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</si>
  <si>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</si>
  <si>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</si>
  <si>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</si>
  <si>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</si>
  <si>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</si>
  <si>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</si>
  <si>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</si>
  <si>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</si>
  <si>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</si>
  <si>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</si>
  <si>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</si>
  <si>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</si>
  <si>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</si>
  <si>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</si>
  <si>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</si>
  <si>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</si>
  <si>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</si>
  <si>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</si>
  <si>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</si>
  <si>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</si>
  <si>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</si>
  <si>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</si>
  <si>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</si>
  <si>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</si>
  <si>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</si>
  <si>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</si>
  <si>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</si>
  <si>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</si>
  <si>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</si>
  <si>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</si>
  <si>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</si>
  <si>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</si>
  <si>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</si>
  <si>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</si>
  <si>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</si>
  <si>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</si>
  <si>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</si>
  <si>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</si>
  <si>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</si>
  <si>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</si>
  <si>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</si>
  <si>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</si>
  <si>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</si>
  <si>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</si>
  <si>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</si>
  <si>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</si>
  <si>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</si>
  <si>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</si>
  <si>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</si>
  <si>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</si>
  <si>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</si>
  <si>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</si>
  <si>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</si>
  <si>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</si>
  <si>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</si>
  <si>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</si>
  <si>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</si>
  <si>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</si>
  <si>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</si>
  <si>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</si>
  <si>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</si>
  <si>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</si>
  <si>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</si>
  <si>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</si>
  <si>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</si>
  <si>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</si>
  <si>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</si>
  <si>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</si>
  <si>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</si>
  <si>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</si>
  <si>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</si>
  <si>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</si>
  <si>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</si>
  <si>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</si>
  <si>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</si>
  <si>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</si>
  <si>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</si>
  <si>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</si>
  <si>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</si>
  <si>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</si>
  <si>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</si>
  <si>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</si>
  <si>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</si>
  <si>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</si>
  <si>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</si>
  <si>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</si>
  <si>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</si>
  <si>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</si>
  <si>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</si>
  <si>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</si>
  <si>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</si>
  <si>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</si>
  <si>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</si>
  <si>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</si>
  <si>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</si>
  <si>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</si>
  <si>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</si>
  <si>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</si>
  <si>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</si>
  <si>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</si>
  <si>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</si>
  <si>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</si>
  <si>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</si>
  <si>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</si>
  <si>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</si>
  <si>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</si>
  <si>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</si>
  <si>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</si>
  <si>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</si>
  <si>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</si>
  <si>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</si>
  <si>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</si>
  <si>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</si>
  <si>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</si>
  <si>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</si>
  <si>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</si>
  <si>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</si>
  <si>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</si>
  <si>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</si>
  <si>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</si>
  <si>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</si>
  <si>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</si>
  <si>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</si>
  <si>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</si>
  <si>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</si>
  <si>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</si>
  <si>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</si>
  <si>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</si>
  <si>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</si>
  <si>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</si>
  <si>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</si>
  <si>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</si>
  <si>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</si>
  <si>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Carp. Met. Eulogi</t>
  </si>
  <si>
    <t>Corredera y Fijos</t>
  </si>
  <si>
    <t>winp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</si>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</sst>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7" fillId="2" borderId="0" xfId="0" applyNumberFormat="1" applyFont="1" applyFill="1" applyAlignment="1">
      <alignment horizontal="right" vertical="center"/>
    </xf>
    <xf numFmtId="44" fontId="0" fillId="0" borderId="0" xfId="1" applyFont="1" applyAlignment="1">
      <alignment vertical="center"/>
    </xf>
    <xf numFmtId="44" fontId="0" fillId="0" borderId="0" xfId="1" applyFont="1"/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tabSelected="1" topLeftCell="C9" zoomScale="115" zoomScaleNormal="115" workbookViewId="0">
      <selection activeCell="H21" sqref="H21:I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20250082</v>
      </c>
      <c r="G7" s="8">
        <f ca="1">TODAY()</f>
        <v>45762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0" t="s">
        <v>1454</v>
      </c>
      <c r="I12" s="7" t="s">
        <v>1453</v>
      </c>
    </row>
    <row r="13" spans="1:12" x14ac:dyDescent="0.25">
      <c r="A13" t="s">
        <v>14</v>
      </c>
      <c r="B13" s="16" t="s">
        <v>1020</v>
      </c>
      <c r="C13" s="82" t="str">
        <f>IFERROR(VLOOKUP($B13,Tarifa_all_20240711!$A$2:$G$660,2,FALSE()),"-")</f>
        <v>CARC.SIMPLE GUIA DESM.LAC.6 ESP.2-4 MTS</v>
      </c>
      <c r="D13" s="82"/>
      <c r="E13" s="17">
        <v>1</v>
      </c>
      <c r="F13" s="18">
        <f>IFERROR(VLOOKUP($B13,Tarifa_all_20240711!$A$2:$G$660,5,FALSE()),"-")</f>
        <v>128.07</v>
      </c>
      <c r="G13" s="91">
        <f t="shared" ref="G13:G31" si="0">IFERROR(E13*F13,"-")</f>
        <v>128.07</v>
      </c>
      <c r="H13" s="92"/>
      <c r="I13" s="93"/>
    </row>
    <row r="14" spans="1:12" x14ac:dyDescent="0.25">
      <c r="A14" t="s">
        <v>15</v>
      </c>
      <c r="B14" s="16" t="s">
        <v>980</v>
      </c>
      <c r="C14" s="82" t="str">
        <f>IFERROR(VLOOKUP($B14,Tarifa_all_20240711!$A$2:$G$660,2,FALSE()),"-")</f>
        <v>GUIA SKY PLUS DESMONT.LAC.6 ESP.2-4 MTS</v>
      </c>
      <c r="D14" s="82"/>
      <c r="E14" s="17">
        <v>1</v>
      </c>
      <c r="F14" s="18">
        <f>IFERROR(VLOOKUP($B14,Tarifa_all_20240711!$A$2:$G$660,5,FALSE()),"-")</f>
        <v>95.8125</v>
      </c>
      <c r="G14" s="91">
        <f t="shared" si="0"/>
        <v>95.8125</v>
      </c>
      <c r="H14" s="92"/>
      <c r="I14" s="93"/>
    </row>
    <row r="15" spans="1:12" x14ac:dyDescent="0.25">
      <c r="A15" t="s">
        <v>16</v>
      </c>
      <c r="B15" s="16" t="s">
        <v>297</v>
      </c>
      <c r="C15" s="82" t="str">
        <f>IFERROR(VLOOKUP($B15,Tarifa_all_20240711!$A$2:$G$660,2,FALSE()),"-")</f>
        <v>KIT ANCLAJE TECHO PARA GUIA PLADUR PLUS DEMONTABLE</v>
      </c>
      <c r="D15" s="82"/>
      <c r="E15" s="17">
        <v>6</v>
      </c>
      <c r="F15" s="18">
        <f>IFERROR(VLOOKUP($B15,Tarifa_all_20240711!$A$2:$G$660,5,FALSE()),"-")</f>
        <v>11.737500000000001</v>
      </c>
      <c r="G15" s="91">
        <f t="shared" si="0"/>
        <v>70.425000000000011</v>
      </c>
      <c r="H15" s="92"/>
      <c r="I15" s="93"/>
    </row>
    <row r="16" spans="1:12" x14ac:dyDescent="0.25">
      <c r="A16" t="s">
        <v>17</v>
      </c>
      <c r="B16" s="16" t="s">
        <v>566</v>
      </c>
      <c r="C16" s="82" t="str">
        <f>IFERROR(VLOOKUP($B16,Tarifa_all_20240711!$A$2:$G$660,2,FALSE()),"-")</f>
        <v>KIT AMORTIGUADOR SKY GUIA DESMONT. BIDIRECCIONAL 60KG</v>
      </c>
      <c r="D16" s="82"/>
      <c r="E16" s="17">
        <v>2</v>
      </c>
      <c r="F16" s="18">
        <f>IFERROR(VLOOKUP($B16,Tarifa_all_20240711!$A$2:$G$660,5,FALSE()),"-")</f>
        <v>30.599999999999998</v>
      </c>
      <c r="G16" s="91">
        <f t="shared" si="0"/>
        <v>61.199999999999996</v>
      </c>
      <c r="H16" s="92"/>
      <c r="I16" s="93"/>
    </row>
    <row r="17" spans="1:10" x14ac:dyDescent="0.25">
      <c r="A17" t="s">
        <v>18</v>
      </c>
      <c r="B17" s="16" t="s">
        <v>134</v>
      </c>
      <c r="C17" s="82" t="str">
        <f>IFERROR(VLOOKUP($B17,Tarifa_all_20240711!$A$2:$G$660,2,FALSE()),"-")</f>
        <v>KIT PUERTA PA CORREDERA LAC.NEGRO TEXTURADO</v>
      </c>
      <c r="D17" s="82"/>
      <c r="E17" s="17">
        <v>2</v>
      </c>
      <c r="F17" s="18">
        <f>IFERROR(VLOOKUP($B17,Tarifa_all_20240711!$A$2:$G$660,5,FALSE()),"-")</f>
        <v>215.65500000000003</v>
      </c>
      <c r="G17" s="91">
        <f t="shared" si="0"/>
        <v>431.31000000000006</v>
      </c>
      <c r="H17" s="92"/>
      <c r="I17" s="93"/>
    </row>
    <row r="18" spans="1:10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2</v>
      </c>
      <c r="F18" s="18">
        <f>IFERROR(VLOOKUP($B18,Tarifa_all_20240711!$A$2:$G$660,5,FALSE()),"-")</f>
        <v>16.634999999999998</v>
      </c>
      <c r="G18" s="91">
        <f t="shared" si="0"/>
        <v>33.269999999999996</v>
      </c>
      <c r="H18" s="92"/>
      <c r="I18" s="93"/>
    </row>
    <row r="19" spans="1:10" x14ac:dyDescent="0.25">
      <c r="A19" t="s">
        <v>20</v>
      </c>
      <c r="B19" s="16" t="s">
        <v>515</v>
      </c>
      <c r="C19" s="82" t="str">
        <f>IFERROR(VLOOKUP($B19,Tarifa_all_20240711!$A$2:$G$660,2,FALSE()),"-")</f>
        <v>TIRADOR RECT.ADH CAVE LAC.NEGRO TEXTURADO: 2 UDS</v>
      </c>
      <c r="D19" s="82"/>
      <c r="E19" s="17">
        <v>2</v>
      </c>
      <c r="F19" s="18">
        <f>IFERROR(VLOOKUP($B19,Tarifa_all_20240711!$A$2:$G$660,5,FALSE()),"-")</f>
        <v>59.122500000000002</v>
      </c>
      <c r="G19" s="91">
        <f t="shared" si="0"/>
        <v>118.245</v>
      </c>
      <c r="H19" s="92"/>
      <c r="I19" s="93"/>
    </row>
    <row r="20" spans="1:10" x14ac:dyDescent="0.25">
      <c r="A20" t="s">
        <v>21</v>
      </c>
      <c r="B20" s="16" t="s">
        <v>1136</v>
      </c>
      <c r="C20" s="82" t="str">
        <f>IFERROR(VLOOKUP($B20,Tarifa_all_20240711!$A$2:$G$660,2,FALSE()),"-")</f>
        <v>GUIADOR FIJO PA LAC.NEGRO TEXTURADO</v>
      </c>
      <c r="D20" s="82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92"/>
      <c r="I20" s="93">
        <v>8.61</v>
      </c>
      <c r="J20">
        <v>1</v>
      </c>
    </row>
    <row r="21" spans="1:10" x14ac:dyDescent="0.25">
      <c r="A21" t="s">
        <v>22</v>
      </c>
      <c r="B21" s="76" t="s">
        <v>143</v>
      </c>
      <c r="C21" s="83" t="str">
        <f>IFERROR(VLOOKUP($B21,Tarifa_all_20240711!$A$2:$G$660,2,FALSE()),"-")</f>
        <v>PERFIL EMBELL.HORIZ. ADH LAC.NEGRO TEXTURADO</v>
      </c>
      <c r="D21" s="83"/>
      <c r="E21" s="77">
        <v>20</v>
      </c>
      <c r="F21" s="78">
        <f>IFERROR(VLOOKUP($B21,Tarifa_all_20240711!$A$2:$G$660,5,FALSE()),"-")</f>
        <v>21.794999999999998</v>
      </c>
      <c r="G21" s="91">
        <f t="shared" si="0"/>
        <v>435.9</v>
      </c>
      <c r="H21" s="10"/>
      <c r="I21" s="7"/>
    </row>
    <row r="22" spans="1:10" x14ac:dyDescent="0.25">
      <c r="B22" s="16" t="s">
        <v>460</v>
      </c>
      <c r="C22" s="82" t="str">
        <f>IFERROR(VLOOKUP($B22,Tarifa_all_20240711!$A$2:$G$660,2,FALSE()),"-")</f>
        <v>MARCO FIJOS 35MM D-DECOR FIJO NEGRO TEXT 3 MTS</v>
      </c>
      <c r="D22" s="82"/>
      <c r="E22" s="17">
        <v>1</v>
      </c>
      <c r="F22" s="18">
        <f>IFERROR(VLOOKUP($B22,Tarifa_all_20240711!$A$2:$G$660,5,FALSE()),"-")</f>
        <v>27.712500000000002</v>
      </c>
      <c r="G22" s="94">
        <f t="shared" si="0"/>
        <v>27.712500000000002</v>
      </c>
      <c r="H22" s="92">
        <f>G22+G25</f>
        <v>87.757500000000007</v>
      </c>
      <c r="I22" s="93">
        <v>110.88</v>
      </c>
    </row>
    <row r="23" spans="1:10" x14ac:dyDescent="0.25">
      <c r="B23" s="16" t="s">
        <v>440</v>
      </c>
      <c r="C23" s="82" t="str">
        <f>IFERROR(VLOOKUP($B23,Tarifa_all_20240711!$A$2:$G$660,2,FALSE()),"-")</f>
        <v>ANCLAJE TAPA 35MM D-DECOR FIJO NEGRO TEXT 3 MTS</v>
      </c>
      <c r="D23" s="82"/>
      <c r="E23" s="17">
        <v>1</v>
      </c>
      <c r="F23" s="18">
        <f>IFERROR(VLOOKUP($B23,Tarifa_all_20240711!$A$2:$G$660,5,FALSE()),"-")</f>
        <v>13.4175</v>
      </c>
      <c r="G23" s="94">
        <f t="shared" si="0"/>
        <v>13.4175</v>
      </c>
      <c r="H23" s="92">
        <f>G23+G26</f>
        <v>42.480000000000004</v>
      </c>
      <c r="I23" s="93">
        <v>53.64</v>
      </c>
    </row>
    <row r="24" spans="1:10" x14ac:dyDescent="0.25">
      <c r="B24" s="16" t="s">
        <v>480</v>
      </c>
      <c r="C24" s="82" t="str">
        <f>IFERROR(VLOOKUP($B24,Tarifa_all_20240711!$A$2:$G$660,2,FALSE()),"-")</f>
        <v>TAPA MARCO 35MM D-DECOR FIJO NEGRO TEXT 3 MTS</v>
      </c>
      <c r="D24" s="82"/>
      <c r="E24" s="17">
        <v>1</v>
      </c>
      <c r="F24" s="18">
        <f>IFERROR(VLOOKUP($B24,Tarifa_all_20240711!$A$2:$G$660,5,FALSE()),"-")</f>
        <v>11.3025</v>
      </c>
      <c r="G24" s="94">
        <f t="shared" si="0"/>
        <v>11.3025</v>
      </c>
      <c r="H24" s="92">
        <f>G24+G27</f>
        <v>35.79</v>
      </c>
      <c r="I24" s="93">
        <v>45.24</v>
      </c>
    </row>
    <row r="25" spans="1:10" x14ac:dyDescent="0.25">
      <c r="B25" s="16" t="s">
        <v>461</v>
      </c>
      <c r="C25" s="82" t="str">
        <f>IFERROR(VLOOKUP($B25,Tarifa_all_20240711!$A$2:$G$660,2,FALSE()),"-")</f>
        <v>MARCO FIJOS 35MM D-DECOR FIJO NEGRO TEXT 6,5 MTS</v>
      </c>
      <c r="D25" s="82"/>
      <c r="E25" s="17">
        <v>1</v>
      </c>
      <c r="F25" s="18">
        <f>IFERROR(VLOOKUP($B25,Tarifa_all_20240711!$A$2:$G$660,5,FALSE()),"-")</f>
        <v>60.045000000000002</v>
      </c>
      <c r="G25" s="94">
        <f t="shared" si="0"/>
        <v>60.045000000000002</v>
      </c>
      <c r="H25" s="92"/>
      <c r="I25" s="93"/>
    </row>
    <row r="26" spans="1:10" x14ac:dyDescent="0.25">
      <c r="B26" s="16" t="s">
        <v>441</v>
      </c>
      <c r="C26" s="82" t="str">
        <f>IFERROR(VLOOKUP($B26,Tarifa_all_20240711!$A$2:$G$660,2,FALSE()),"-")</f>
        <v>ANCLAJE TAPA 35MM D-DECOR FIJO NEGRO TEXT 6,5 MTS</v>
      </c>
      <c r="D26" s="82"/>
      <c r="E26" s="17">
        <v>1</v>
      </c>
      <c r="F26" s="18">
        <f>IFERROR(VLOOKUP($B26,Tarifa_all_20240711!$A$2:$G$660,5,FALSE()),"-")</f>
        <v>29.0625</v>
      </c>
      <c r="G26" s="94">
        <f t="shared" si="0"/>
        <v>29.0625</v>
      </c>
      <c r="H26" s="92"/>
      <c r="I26" s="93"/>
    </row>
    <row r="27" spans="1:10" x14ac:dyDescent="0.25">
      <c r="B27" s="16" t="s">
        <v>481</v>
      </c>
      <c r="C27" s="82" t="str">
        <f>IFERROR(VLOOKUP($B27,Tarifa_all_20240711!$A$2:$G$660,2,FALSE()),"-")</f>
        <v>TAPA MARCO 35MM D-DECOR FIJO NEGRO TEXT 6,5 MTS</v>
      </c>
      <c r="D27" s="82"/>
      <c r="E27" s="17">
        <v>1</v>
      </c>
      <c r="F27" s="18">
        <f>IFERROR(VLOOKUP($B27,Tarifa_all_20240711!$A$2:$G$660,5,FALSE()),"-")</f>
        <v>24.487499999999997</v>
      </c>
      <c r="G27" s="94">
        <f t="shared" si="0"/>
        <v>24.487499999999997</v>
      </c>
      <c r="H27" s="92"/>
      <c r="I27" s="93"/>
    </row>
    <row r="28" spans="1:10" x14ac:dyDescent="0.25">
      <c r="B28" s="16" t="s">
        <v>450</v>
      </c>
      <c r="C28" s="82" t="str">
        <f>IFERROR(VLOOKUP($B28,Tarifa_all_20240711!$A$2:$G$660,2,FALSE()),"-")</f>
        <v>PERFIL MINIMALISTA D-DECOR FIJO NEGRO TEXT 3 MTS</v>
      </c>
      <c r="D28" s="82"/>
      <c r="E28" s="17">
        <v>2</v>
      </c>
      <c r="F28" s="18">
        <f>IFERROR(VLOOKUP($B28,Tarifa_all_20240711!$A$2:$G$660,5,FALSE()),"-")</f>
        <v>36.72</v>
      </c>
      <c r="G28" s="94">
        <f t="shared" si="0"/>
        <v>73.44</v>
      </c>
      <c r="H28" s="92">
        <v>73.44</v>
      </c>
      <c r="I28" s="93">
        <v>79.56</v>
      </c>
    </row>
    <row r="29" spans="1:10" x14ac:dyDescent="0.25">
      <c r="B29" s="16" t="s">
        <v>298</v>
      </c>
      <c r="C29" s="82" t="str">
        <f>IFERROR(VLOOKUP($B29,Tarifa_all_20240711!$A$2:$G$660,2,FALSE()),"-")</f>
        <v>Tope Domo Decor</v>
      </c>
      <c r="D29" s="82"/>
      <c r="E29" s="17">
        <v>8</v>
      </c>
      <c r="F29" s="18">
        <f>IFERROR(VLOOKUP($B29,Tarifa_all_20240711!$A$2:$G$660,5,FALSE()),"-")</f>
        <v>1.4175</v>
      </c>
      <c r="G29" s="91">
        <f t="shared" si="0"/>
        <v>11.34</v>
      </c>
      <c r="H29" s="92"/>
      <c r="I29" s="93">
        <v>2.84</v>
      </c>
      <c r="J29">
        <v>2</v>
      </c>
    </row>
    <row r="30" spans="1:10" x14ac:dyDescent="0.25">
      <c r="B30" s="16" t="s">
        <v>300</v>
      </c>
      <c r="C30" s="82" t="str">
        <f>IFERROR(VLOOKUP($B30,Tarifa_all_20240711!$A$2:$G$660,2,FALSE()),"-")</f>
        <v>PERFIL 3 MTS REDUCTOR PARA VIDRIO 6mm</v>
      </c>
      <c r="D30" s="82"/>
      <c r="E30" s="17">
        <v>6</v>
      </c>
      <c r="F30" s="18">
        <f>IFERROR(VLOOKUP($B30,Tarifa_all_20240711!$A$2:$G$660,5,FALSE()),"-")</f>
        <v>3.4275000000000002</v>
      </c>
      <c r="G30" s="18">
        <f t="shared" si="0"/>
        <v>20.565000000000001</v>
      </c>
      <c r="H30" s="92"/>
      <c r="I30" s="93">
        <v>37.619999999999997</v>
      </c>
      <c r="J30">
        <v>11</v>
      </c>
    </row>
    <row r="31" spans="1:10" x14ac:dyDescent="0.25">
      <c r="B31" s="16">
        <v>31229</v>
      </c>
      <c r="C31" s="82" t="str">
        <f>IFERROR(VLOOKUP($B31,Tarifa_all_20240711!$A$2:$G$660,2,FALSE()),"-")</f>
        <v>COMPLEMENTO FIJACION DOMO DECOR: BARRAS 3 MTS</v>
      </c>
      <c r="D31" s="82"/>
      <c r="E31" s="17">
        <v>4</v>
      </c>
      <c r="F31" s="18">
        <f>IFERROR(VLOOKUP($B31,Tarifa_all_20240711!$A$2:$G$660,5,FALSE()),"-")</f>
        <v>11.317499999999999</v>
      </c>
      <c r="G31" s="91">
        <f t="shared" si="0"/>
        <v>45.269999999999996</v>
      </c>
      <c r="H31" s="92"/>
      <c r="I31" s="93"/>
    </row>
    <row r="32" spans="1:10" x14ac:dyDescent="0.25">
      <c r="B32" s="19"/>
      <c r="C32" s="19"/>
      <c r="D32" s="19"/>
      <c r="E32" s="19"/>
      <c r="F32" s="20"/>
      <c r="G32" s="21">
        <f>SUM(G13:G31)</f>
        <v>1708.0950000000003</v>
      </c>
    </row>
    <row r="33" spans="2:7" x14ac:dyDescent="0.25">
      <c r="B33" s="19"/>
      <c r="C33" s="19"/>
      <c r="D33" s="19"/>
      <c r="E33" s="19"/>
      <c r="F33" s="20"/>
      <c r="G33" s="20"/>
    </row>
    <row r="34" spans="2:7" x14ac:dyDescent="0.25">
      <c r="B34" s="22" t="s">
        <v>23</v>
      </c>
      <c r="C34" s="23"/>
      <c r="D34" s="23"/>
      <c r="E34" s="23"/>
      <c r="F34" s="23"/>
      <c r="G34" s="24"/>
    </row>
    <row r="35" spans="2:7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7" x14ac:dyDescent="0.25">
      <c r="B36" s="27" t="s">
        <v>25</v>
      </c>
      <c r="C36" s="26"/>
      <c r="D36" s="26"/>
      <c r="E36" s="26"/>
      <c r="F36" s="26"/>
      <c r="G36" s="24"/>
    </row>
    <row r="37" spans="2:7" x14ac:dyDescent="0.25">
      <c r="B37" s="28" t="s">
        <v>1450</v>
      </c>
      <c r="C37" s="29"/>
      <c r="D37" s="29"/>
      <c r="E37" s="29"/>
      <c r="F37" s="29"/>
      <c r="G37" s="24"/>
    </row>
    <row r="38" spans="2:7" x14ac:dyDescent="0.25">
      <c r="B38" s="27"/>
      <c r="C38" s="26"/>
      <c r="D38" s="26"/>
      <c r="E38" s="26"/>
      <c r="F38" s="26"/>
      <c r="G38" s="20"/>
    </row>
    <row r="39" spans="2:7" x14ac:dyDescent="0.25">
      <c r="B39" s="27"/>
      <c r="C39" s="26"/>
      <c r="D39" s="26"/>
      <c r="E39" s="26"/>
      <c r="F39" s="26"/>
      <c r="G39" s="24"/>
    </row>
    <row r="40" spans="2:7" x14ac:dyDescent="0.25">
      <c r="B40" s="30"/>
      <c r="C40" s="31"/>
      <c r="D40" s="31"/>
      <c r="E40" s="31"/>
      <c r="F40" s="31"/>
      <c r="G40" s="24"/>
    </row>
    <row r="41" spans="2:7" x14ac:dyDescent="0.25">
      <c r="B41" s="27"/>
      <c r="C41" s="31"/>
      <c r="D41" s="31"/>
      <c r="E41" s="31"/>
      <c r="F41" s="31"/>
      <c r="G41" s="24"/>
    </row>
    <row r="42" spans="2:7" x14ac:dyDescent="0.25">
      <c r="B42" s="26"/>
      <c r="C42" s="26"/>
      <c r="D42" s="26"/>
      <c r="E42" s="26"/>
      <c r="F42" s="26"/>
      <c r="G42" s="24"/>
    </row>
    <row r="43" spans="2:7" x14ac:dyDescent="0.25">
      <c r="B43" s="32"/>
      <c r="D43" s="32"/>
      <c r="E43" s="32"/>
      <c r="F43" s="32"/>
    </row>
    <row r="44" spans="2:7" x14ac:dyDescent="0.25">
      <c r="C44" s="33" t="s">
        <v>26</v>
      </c>
      <c r="D44" s="34" t="s">
        <v>27</v>
      </c>
      <c r="E44" s="34"/>
      <c r="F44" s="34"/>
    </row>
    <row r="45" spans="2:7" x14ac:dyDescent="0.25">
      <c r="C45" s="35" t="s">
        <v>28</v>
      </c>
      <c r="D45" s="23" t="s">
        <v>28</v>
      </c>
      <c r="E45" s="23"/>
      <c r="F45" s="23"/>
    </row>
    <row r="46" spans="2:7" x14ac:dyDescent="0.25">
      <c r="C46" s="35" t="s">
        <v>29</v>
      </c>
      <c r="D46" s="23" t="s">
        <v>29</v>
      </c>
      <c r="E46" s="23"/>
      <c r="F46" s="23"/>
    </row>
    <row r="47" spans="2:7" x14ac:dyDescent="0.25">
      <c r="C47" s="35" t="s">
        <v>30</v>
      </c>
      <c r="D47" s="23" t="s">
        <v>31</v>
      </c>
      <c r="E47" s="23"/>
      <c r="F47" s="23"/>
    </row>
    <row r="48" spans="2:7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84"/>
      <c r="E53" s="84"/>
      <c r="F53" s="84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3">
    <mergeCell ref="D53:F53"/>
    <mergeCell ref="C22:D22"/>
    <mergeCell ref="C23:D23"/>
    <mergeCell ref="C24:D24"/>
    <mergeCell ref="C25:D25"/>
    <mergeCell ref="C26:D26"/>
    <mergeCell ref="C27:D27"/>
    <mergeCell ref="C28:D28"/>
    <mergeCell ref="C20:D20"/>
    <mergeCell ref="C21:D21"/>
    <mergeCell ref="C29:D29"/>
    <mergeCell ref="C30:D30"/>
    <mergeCell ref="C31:D31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Carp. Met. Eulogi</v>
      </c>
      <c r="C9" s="90"/>
      <c r="D9" s="90"/>
      <c r="F9" s="3" t="s">
        <v>81</v>
      </c>
      <c r="G9" s="44">
        <f ca="1">TODAY()</f>
        <v>45762</v>
      </c>
    </row>
    <row r="10" spans="1:7" x14ac:dyDescent="0.25">
      <c r="A10" s="3" t="s">
        <v>82</v>
      </c>
      <c r="B10" s="11" t="str">
        <f>'DESPIECE (MATANALYSIS)'!C9</f>
        <v>Corredera y Fijos</v>
      </c>
      <c r="C10" s="45"/>
      <c r="D10" s="45"/>
      <c r="E10" s="46"/>
      <c r="F10" s="47" t="s">
        <v>83</v>
      </c>
      <c r="G10" s="7">
        <f>'DESPIECE (MATANALYSIS)'!C7</f>
        <v>20250082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(MATANALYSIS)'!C35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(MATANALYSIS)'!G32</f>
        <v>1708.0950000000003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2025-04-15T14:12:30Z</dcterms:modified>
  <dc:language>es-ES</dc:language>
</cp:coreProperties>
</file>