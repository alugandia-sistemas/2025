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6\calculos\1\"/>
    </mc:Choice>
  </mc:AlternateContent>
  <xr:revisionPtr revIDLastSave="0" documentId="13_ncr:1_{B55743F0-F927-4AD6-BBE3-E1C9C56EE044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<sst xmlns="http://schemas.openxmlformats.org/spreadsheetml/2006/main" count="5408" uniqueCount="1453">
  <si>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</si>
  <si>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</si>
  <si>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</si>
  <si>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</si>
  <si>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</si>
  <si>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</si>
  <si>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</si>
  <si>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</si>
  <si>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</si>
  <si>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</si>
  <si>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</si>
  <si>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</si>
  <si>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</si>
  <si>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</si>
  <si>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</si>
  <si>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</si>
  <si>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</si>
  <si>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</si>
  <si>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</si>
  <si>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</si>
  <si>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</si>
  <si>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</si>
  <si>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</si>
  <si>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</si>
  <si>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</si>
  <si>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</si>
  <si>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</si>
  <si>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</si>
  <si>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</si>
  <si>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</si>
  <si>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</si>
  <si>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</si>
  <si>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</si>
  <si>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</si>
  <si>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</si>
  <si>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</si>
  <si>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</si>
  <si>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</si>
  <si>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</si>
  <si>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</si>
  <si>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</si>
  <si>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</si>
  <si>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</si>
  <si>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</si>
  <si>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</si>
  <si>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</si>
  <si>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</si>
  <si>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</si>
  <si>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</si>
  <si>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</si>
  <si>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</si>
  <si>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</si>
  <si>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</si>
  <si>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</si>
  <si>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</si>
  <si>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</si>
  <si>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</si>
  <si>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</si>
  <si>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</si>
  <si>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</si>
  <si>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</si>
  <si>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</si>
  <si>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</si>
  <si>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</si>
  <si>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</si>
  <si>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</si>
  <si>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</si>
  <si>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</si>
  <si>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</si>
  <si>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</si>
  <si>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</si>
  <si>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</si>
  <si>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</si>
  <si>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</si>
  <si>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</si>
  <si>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</si>
  <si>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</si>
  <si>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</si>
  <si>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</si>
  <si>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</si>
  <si>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</si>
  <si>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</si>
  <si>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</si>
  <si>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</si>
  <si>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</si>
  <si>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</si>
  <si>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</si>
  <si>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</si>
  <si>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</si>
  <si>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</si>
  <si>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</si>
  <si>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</si>
  <si>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</si>
  <si>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</si>
  <si>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</si>
  <si>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</si>
  <si>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</si>
  <si>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</si>
  <si>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</si>
  <si>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</si>
  <si>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</si>
  <si>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</si>
  <si>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</si>
  <si>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</si>
  <si>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</si>
  <si>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</si>
  <si>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</si>
  <si>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</si>
  <si>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</si>
  <si>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</si>
  <si>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</si>
  <si>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</si>
  <si>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</si>
  <si>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</si>
  <si>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</si>
  <si>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</si>
  <si>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</si>
  <si>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</si>
  <si>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</si>
  <si>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</si>
  <si>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</si>
  <si>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</si>
  <si>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</si>
  <si>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</si>
  <si>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</si>
  <si>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</si>
  <si>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</si>
  <si>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</si>
  <si>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</si>
  <si>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</si>
  <si>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</si>
  <si>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</si>
  <si>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</si>
  <si>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</si>
  <si>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</si>
  <si>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</si>
  <si>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</si>
  <si>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</si>
  <si>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</si>
  <si>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</si>
  <si>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</si>
  <si>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</si>
  <si>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</si>
  <si>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</si>
  <si>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</si>
  <si>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</si>
  <si>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</si>
  <si>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</si>
  <si>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</si>
  <si>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</si>
  <si>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</si>
  <si>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</si>
  <si>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</si>
  <si>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</si>
  <si>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</si>
  <si>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</si>
  <si>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</si>
  <si>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</si>
  <si>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</si>
  <si>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</si>
  <si>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</si>
  <si>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</si>
  <si>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</si>
  <si>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</si>
  <si>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</si>
  <si>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</si>
  <si>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</si>
  <si>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</si>
  <si>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</si>
  <si>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</si>
  <si>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</si>
  <si>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</si>
  <si>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</si>
  <si>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</si>
  <si>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</si>
  <si>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</si>
  <si>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</si>
  <si>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</si>
  <si>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</si>
  <si>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</si>
  <si>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</si>
  <si>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</si>
  <si>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</si>
  <si>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</si>
  <si>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</si>
  <si>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</si>
  <si>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</si>
  <si>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</si>
  <si>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</si>
  <si>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</si>
  <si>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</si>
  <si>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</si>
  <si>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</si>
  <si>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</si>
  <si>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</si>
  <si>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</si>
  <si>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</si>
  <si>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</si>
  <si>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</si>
  <si>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</si>
  <si>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</si>
  <si>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</si>
  <si>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</si>
  <si>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</si>
  <si>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</si>
  <si>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</si>
  <si>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</si>
  <si>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</si>
  <si>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</si>
  <si>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</si>
  <si>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</si>
  <si>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</si>
  <si>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</si>
  <si>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</si>
  <si>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</si>
  <si>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</si>
  <si>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</si>
  <si>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</si>
  <si>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</si>
  <si>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</si>
  <si>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</si>
  <si>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</si>
  <si>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</si>
  <si>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</si>
  <si>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</si>
  <si>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</si>
  <si>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</si>
  <si>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</si>
  <si>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</si>
  <si>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</si>
  <si>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</si>
  <si>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</si>
  <si>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</si>
  <si>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</si>
  <si>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</si>
  <si>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</si>
  <si>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</si>
  <si>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</si>
  <si>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</si>
  <si>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</si>
  <si>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</si>
  <si>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</si>
  <si>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</si>
  <si>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</si>
  <si>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</si>
  <si>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</si>
  <si>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</si>
  <si>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</si>
  <si>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</si>
  <si>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</si>
  <si>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</si>
  <si>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</si>
  <si>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</si>
  <si>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</si>
  <si>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</si>
  <si>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</si>
  <si>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</si>
  <si>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</si>
  <si>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</si>
  <si>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</si>
  <si>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</si>
  <si>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</si>
  <si>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</si>
  <si>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</si>
  <si>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</si>
  <si>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</si>
  <si>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</si>
  <si>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</si>
  <si>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</si>
  <si>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</si>
  <si>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</si>
  <si>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</si>
  <si>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</si>
  <si>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</si>
  <si>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</si>
  <si>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</si>
  <si>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</si>
  <si>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</si>
  <si>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</si>
  <si>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</si>
  <si>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</si>
  <si>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</si>
  <si>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</si>
  <si>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</si>
  <si>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</si>
  <si>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</si>
  <si>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</si>
  <si>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</si>
  <si>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</si>
  <si>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</si>
  <si>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</si>
  <si>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</si>
  <si>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</si>
  <si>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</si>
  <si>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</si>
  <si>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</si>
  <si>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</si>
  <si>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</si>
  <si>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</si>
  <si>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</si>
  <si>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</si>
  <si>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</si>
  <si>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</si>
  <si>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</si>
  <si>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</si>
  <si>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</si>
  <si>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</si>
  <si>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</si>
  <si>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</si>
  <si>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</si>
  <si>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</si>
  <si>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</si>
  <si>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</si>
  <si>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</si>
  <si>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</si>
  <si>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</si>
  <si>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</si>
  <si>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</si>
  <si>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</si>
  <si>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</si>
  <si>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</si>
  <si>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</si>
  <si>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</si>
  <si>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</si>
  <si>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</si>
  <si>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</si>
  <si>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</si>
  <si>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</si>
  <si>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</si>
  <si>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</si>
  <si>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</si>
  <si>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</si>
  <si>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</si>
  <si>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</si>
  <si>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</si>
  <si>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</si>
  <si>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</si>
  <si>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</si>
  <si>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</si>
  <si>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</si>
  <si>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</si>
  <si>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</si>
  <si>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</si>
  <si>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</si>
  <si>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</si>
  <si>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</si>
  <si>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</si>
  <si>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</si>
  <si>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</si>
  <si>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</si>
  <si>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</si>
  <si>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</si>
  <si>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</si>
  <si>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</si>
  <si>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</si>
  <si>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</si>
  <si>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</si>
  <si>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</si>
  <si>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</si>
  <si>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</si>
  <si>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</si>
  <si>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</si>
  <si>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</si>
  <si>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</si>
  <si>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</si>
  <si>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</si>
  <si>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</si>
  <si>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</si>
  <si>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</si>
  <si>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</si>
  <si>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</si>
  <si>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</si>
  <si>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</si>
  <si>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</si>
  <si>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</si>
  <si>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</si>
  <si>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</si>
  <si>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</si>
  <si>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</si>
  <si>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</si>
  <si>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</si>
  <si>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</si>
  <si>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</si>
  <si>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</si>
  <si>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</si>
  <si>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</si>
  <si>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</si>
  <si>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</si>
  <si>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</si>
  <si>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</si>
  <si>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</si>
  <si>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</si>
  <si>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</si>
  <si>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</si>
  <si>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</si>
  <si>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</si>
  <si>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</si>
  <si>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</si>
  <si>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</si>
  <si>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</si>
  <si>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</si>
  <si>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</si>
  <si>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</si>
  <si>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</si>
  <si>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</si>
  <si>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</si>
  <si>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</si>
  <si>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</si>
  <si>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</si>
  <si>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</si>
  <si>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</si>
  <si>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</si>
  <si>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</si>
  <si>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</si>
  <si>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</si>
  <si>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</si>
  <si>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</si>
  <si>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</si>
  <si>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</si>
  <si>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</si>
  <si>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</si>
  <si>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</si>
  <si>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</si>
  <si>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</si>
  <si>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</si>
  <si>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</si>
  <si>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</si>
  <si>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</si>
  <si>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</si>
  <si>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</si>
  <si>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</si>
  <si>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</si>
  <si>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</si>
  <si>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</si>
  <si>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</si>
  <si>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</si>
  <si>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</si>
  <si>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</si>
  <si>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</si>
  <si>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</si>
  <si>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</si>
  <si>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</si>
  <si>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</si>
  <si>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</si>
  <si>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</si>
  <si>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</si>
  <si>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</si>
  <si>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</si>
  <si>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</si>
  <si>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</si>
  <si>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</si>
  <si>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</si>
  <si>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</si>
  <si>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</si>
  <si>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</si>
  <si>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</si>
  <si>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</si>
  <si>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</si>
  <si>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</si>
  <si>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</si>
  <si>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</si>
  <si>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</si>
  <si>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</si>
  <si>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</si>
  <si>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</si>
  <si>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</si>
  <si>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</si>
  <si>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</si>
  <si>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</si>
  <si>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</si>
  <si>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</si>
  <si>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</si>
  <si>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</si>
  <si>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</si>
  <si>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</si>
  <si>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</si>
  <si>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</si>
  <si>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</si>
  <si>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</si>
  <si>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</si>
  <si>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</si>
  <si>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</si>
  <si>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</si>
  <si>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</si>
  <si>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</si>
  <si>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</si>
  <si>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</si>
  <si>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</si>
  <si>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</si>
  <si>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</si>
  <si>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</si>
  <si>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</si>
  <si>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</si>
  <si>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</si>
  <si>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</si>
  <si>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</si>
  <si>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</si>
  <si>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</si>
  <si>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</si>
  <si>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</si>
  <si>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</si>
  <si>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</si>
  <si>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</si>
  <si>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</si>
  <si>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</si>
  <si>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</si>
  <si>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</si>
  <si>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</si>
  <si>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</si>
  <si>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</si>
  <si>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</si>
  <si>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</si>
  <si>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</si>
  <si>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</si>
  <si>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</si>
  <si>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</si>
  <si>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</si>
  <si>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</si>
  <si>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</si>
  <si>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</si>
  <si>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</si>
  <si>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</si>
  <si>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</si>
  <si>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</si>
  <si>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</si>
  <si>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</si>
  <si>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</si>
  <si>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</si>
  <si>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</si>
  <si>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</si>
  <si>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</si>
  <si>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</si>
  <si>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</si>
  <si>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</si>
  <si>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</si>
  <si>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</si>
  <si>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</si>
  <si>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</si>
  <si>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</si>
  <si>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</si>
  <si>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</si>
  <si>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</si>
  <si>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</si>
  <si>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</si>
  <si>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</si>
  <si>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</si>
  <si>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</si>
  <si>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</si>
  <si>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</si>
  <si>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</si>
  <si>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</si>
  <si>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</si>
  <si>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</si>
  <si>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</si>
  <si>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</si>
  <si>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</si>
  <si>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</si>
  <si>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</si>
  <si>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</si>
  <si>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</si>
  <si>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</si>
  <si>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</si>
  <si>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</si>
  <si>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</si>
  <si>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</si>
  <si>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</si>
  <si>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</si>
  <si>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</si>
  <si>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</si>
  <si>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</si>
  <si>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</si>
  <si>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</si>
  <si>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</si>
  <si>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</si>
  <si>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</si>
  <si>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</si>
  <si>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</si>
  <si>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</si>
  <si>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</si>
  <si>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</si>
  <si>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</si>
  <si>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</si>
  <si>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</si>
  <si>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</si>
  <si>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</si>
  <si>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</si>
  <si>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</si>
  <si>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</si>
  <si>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</si>
  <si>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</si>
  <si>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</si>
  <si>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</si>
  <si>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</si>
  <si>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</si>
  <si>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</si>
  <si>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</si>
  <si>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</si>
  <si>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</si>
  <si>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</si>
  <si>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</si>
  <si>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</si>
  <si>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</si>
  <si>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</si>
  <si>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</si>
  <si>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</si>
  <si>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</si>
  <si>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</si>
  <si>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</si>
  <si>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</si>
  <si>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</si>
  <si>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</si>
  <si>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</si>
  <si>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</si>
  <si>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</si>
  <si>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</si>
  <si>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</si>
  <si>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</si>
  <si>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</si>
  <si>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</si>
  <si>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</si>
  <si>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</si>
  <si>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</si>
  <si>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</si>
  <si>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</si>
  <si>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</si>
  <si>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</si>
  <si>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</si>
  <si>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</si>
  <si>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</si>
  <si>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</si>
  <si>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</si>
  <si>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</si>
  <si>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</si>
  <si>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</si>
  <si>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</si>
  <si>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</si>
  <si>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</si>
  <si>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</si>
  <si>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</si>
  <si>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</si>
  <si>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</si>
  <si>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</si>
  <si>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</si>
  <si>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</si>
  <si>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</si>
  <si>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</si>
  <si>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</si>
  <si>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</si>
  <si>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</si>
  <si>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</si>
  <si>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</si>
  <si>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</si>
  <si>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</si>
  <si>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</si>
  <si>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</si>
  <si>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</si>
  <si>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</si>
  <si>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</si>
  <si>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</si>
  <si>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</si>
  <si>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</si>
  <si>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</si>
  <si>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</si>
  <si>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</si>
  <si>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</si>
  <si>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</si>
  <si>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</si>
  <si>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</si>
  <si>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</si>
  <si>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</si>
  <si>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</si>
  <si>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</si>
  <si>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</si>
  <si>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</si>
  <si>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</si>
  <si>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</si>
  <si>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</si>
  <si>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</si>
  <si>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</si>
  <si>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</si>
  <si>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</si>
  <si>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</si>
  <si>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</si>
  <si>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</si>
  <si>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</si>
  <si>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</si>
  <si>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</si>
  <si>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</si>
  <si>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</si>
  <si>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</si>
  <si>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</si>
  <si>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</si>
  <si>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</si>
  <si>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</si>
  <si>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</si>
  <si>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</si>
  <si>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</si>
  <si>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</si>
  <si>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</si>
  <si>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</si>
  <si>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</si>
  <si>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</si>
  <si>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</si>
  <si>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</si>
  <si>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</si>
  <si>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</si>
  <si>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</si>
  <si>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</si>
  <si>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</si>
  <si>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</si>
  <si>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</si>
  <si>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</si>
  <si>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</si>
  <si>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</si>
  <si>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</si>
  <si>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</si>
  <si>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</si>
  <si>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</si>
  <si>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</si>
  <si>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</si>
  <si>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</si>
  <si>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</si>
  <si>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</si>
  <si>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</si>
  <si>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</si>
  <si>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</si>
  <si>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</si>
  <si>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</si>
  <si>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</si>
  <si>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</si>
  <si>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</si>
  <si>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</si>
  <si>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</si>
  <si>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</si>
  <si>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</si>
  <si>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</si>
  <si>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</si>
  <si>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</si>
  <si>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</si>
  <si>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</si>
  <si>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</si>
  <si>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</si>
  <si>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</si>
  <si>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</si>
  <si>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</si>
  <si>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</si>
  <si>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</si>
  <si>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</si>
  <si>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</si>
  <si>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</si>
  <si>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</si>
  <si>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</si>
  <si>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</si>
  <si>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</si>
  <si>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</si>
  <si>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</si>
  <si>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</si>
  <si>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</si>
  <si>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</si>
  <si>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</si>
  <si>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</si>
  <si>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</si>
  <si>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</si>
  <si>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</si>
  <si>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</si>
  <si>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</si>
  <si>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</si>
  <si>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</si>
  <si>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</si>
  <si>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</si>
  <si>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</si>
  <si>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</si>
  <si>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</si>
  <si>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</si>
  <si>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</si>
  <si>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</si>
  <si>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</si>
  <si>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</si>
  <si>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</si>
  <si>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</si>
  <si>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</si>
  <si>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</si>
  <si>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</si>
  <si>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</si>
  <si>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</si>
  <si>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</si>
  <si>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</si>
  <si>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</si>
  <si>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</si>
  <si>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</si>
  <si>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</si>
  <si>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</si>
  <si>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</si>
  <si>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</si>
  <si>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</si>
  <si>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</si>
  <si>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</si>
  <si>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</si>
  <si>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</si>
  <si>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</si>
  <si>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</si>
  <si>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</si>
  <si>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</si>
  <si>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</si>
  <si>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</si>
  <si>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</si>
  <si>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</si>
  <si>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</si>
  <si>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</si>
  <si>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</si>
  <si>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</si>
  <si>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</si>
  <si>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</si>
  <si>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</si>
  <si>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</si>
  <si>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</si>
  <si>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</si>
  <si>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</si>
  <si>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</si>
  <si>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</si>
  <si>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</si>
  <si>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</si>
  <si>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</si>
  <si>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</si>
  <si>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</si>
  <si>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</si>
  <si>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</si>
  <si>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</si>
  <si>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</si>
  <si>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</si>
  <si>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</si>
  <si>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</si>
  <si>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</si>
  <si>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</si>
  <si>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</si>
  <si>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</si>
  <si>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</si>
  <si>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</si>
  <si>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</si>
  <si>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</si>
  <si>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</si>
  <si>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</si>
  <si>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</si>
  <si>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</si>
  <si>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</si>
  <si>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</si>
  <si>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</si>
  <si>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</si>
  <si>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</si>
  <si>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</si>
  <si>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</si>
  <si>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</si>
  <si>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</si>
  <si>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</si>
  <si>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</si>
  <si>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</si>
  <si>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</si>
  <si>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</si>
  <si>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</si>
  <si>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</si>
  <si>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</si>
  <si>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</si>
  <si>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</si>
  <si>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</si>
  <si>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</si>
  <si>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</si>
  <si>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</si>
  <si>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</si>
  <si>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</si>
  <si>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</si>
  <si>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</si>
  <si>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</si>
  <si>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</si>
  <si>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</si>
  <si>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</si>
  <si>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</si>
  <si>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</si>
  <si>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</si>
  <si>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</si>
  <si>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</si>
  <si>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</si>
  <si>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</si>
  <si>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</si>
  <si>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</si>
  <si>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</si>
  <si>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</si>
  <si>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</si>
  <si>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</si>
  <si>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</si>
  <si>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</si>
  <si>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</si>
  <si>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</si>
  <si>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</si>
  <si>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</si>
  <si>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</si>
  <si>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</si>
  <si>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</si>
  <si>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</si>
  <si>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</si>
  <si>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</si>
  <si>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</si>
  <si>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</si>
  <si>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</si>
  <si>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</si>
  <si>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</si>
  <si>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</si>
  <si>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</si>
  <si>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</si>
  <si>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</si>
  <si>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</si>
  <si>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</si>
  <si>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</si>
  <si>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</si>
  <si>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</si>
  <si>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</si>
  <si>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</si>
  <si>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</si>
  <si>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</si>
  <si>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</si>
  <si>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</si>
  <si>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</si>
  <si>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</si>
  <si>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</si>
  <si>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</si>
  <si>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</si>
  <si>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</si>
  <si>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</si>
  <si>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</si>
  <si>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</si>
  <si>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</si>
  <si>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</si>
  <si>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</si>
  <si>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</si>
  <si>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</si>
  <si>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</si>
  <si>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</si>
  <si>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</si>
  <si>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</si>
  <si>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</si>
  <si>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</si>
  <si>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</si>
  <si>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</si>
  <si>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</si>
  <si>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</si>
  <si>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</si>
  <si>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</si>
  <si>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</si>
  <si>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</si>
  <si>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</si>
  <si>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</si>
  <si>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</si>
  <si>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</si>
  <si>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</si>
  <si>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</si>
  <si>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</si>
  <si>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</si>
  <si>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</si>
  <si>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</si>
  <si>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</si>
  <si>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</si>
  <si>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</si>
  <si>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</si>
  <si>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</si>
  <si>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</si>
  <si>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</si>
  <si>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</si>
  <si>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</si>
  <si>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</si>
  <si>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</si>
  <si>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</si>
  <si>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</si>
  <si>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</si>
  <si>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</si>
  <si>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</si>
  <si>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</si>
  <si>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</si>
  <si>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</si>
  <si>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</si>
  <si>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</si>
  <si>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</si>
  <si>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</si>
  <si>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</si>
  <si>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</si>
  <si>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</si>
  <si>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</si>
  <si>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</si>
  <si>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</si>
  <si>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</si>
  <si>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</si>
  <si>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</si>
  <si>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</si>
  <si>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</si>
  <si>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</si>
  <si>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</si>
  <si>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</si>
  <si>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</si>
  <si>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</si>
  <si>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</si>
  <si>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</si>
  <si>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</si>
  <si>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</si>
  <si>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</si>
  <si>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</si>
  <si>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</si>
  <si>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</si>
  <si>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</si>
  <si>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</si>
  <si>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</si>
  <si>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</si>
  <si>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</si>
  <si>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</si>
  <si>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</si>
  <si>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</si>
  <si>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</si>
  <si>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</si>
  <si>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</si>
  <si>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</si>
  <si>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</si>
  <si>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</si>
  <si>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</si>
  <si>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</si>
  <si>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</si>
  <si>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</si>
  <si>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</si>
  <si>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</si>
  <si>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</si>
  <si>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</si>
  <si>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</si>
  <si>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</si>
  <si>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</si>
  <si>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</si>
  <si>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</si>
  <si>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</si>
  <si>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</si>
  <si>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</si>
  <si>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</si>
  <si>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</si>
  <si>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</si>
  <si>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</si>
  <si>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</si>
  <si>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</si>
  <si>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</si>
  <si>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</si>
  <si>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</si>
  <si>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</si>
  <si>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</si>
  <si>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</si>
  <si>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</si>
  <si>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</si>
  <si>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</si>
  <si>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</si>
  <si>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</si>
  <si>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</si>
  <si>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</si>
  <si>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</si>
  <si>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</si>
  <si>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</si>
  <si>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</si>
  <si>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</si>
  <si>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</si>
  <si>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</si>
  <si>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</si>
  <si>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</si>
  <si>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</si>
  <si>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</si>
  <si>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</si>
  <si>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</si>
  <si>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</si>
  <si>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</si>
  <si>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</si>
  <si>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</si>
  <si>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</si>
  <si>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</si>
  <si>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</si>
  <si>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</si>
  <si>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</si>
  <si>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</si>
  <si>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</si>
  <si>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</si>
  <si>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</si>
  <si>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</si>
  <si>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</si>
  <si>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</si>
  <si>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</si>
  <si>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</si>
  <si>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</si>
  <si>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</si>
  <si>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</si>
  <si>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</si>
  <si>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</si>
  <si>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</si>
  <si>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</si>
  <si>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</si>
  <si>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</si>
  <si>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</si>
  <si>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</si>
  <si>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</si>
  <si>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</si>
  <si>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</si>
  <si>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</si>
  <si>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</si>
  <si>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</si>
  <si>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</si>
  <si>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</si>
  <si>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</si>
  <si>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</si>
  <si>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</si>
  <si>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</si>
  <si>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</si>
  <si>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</si>
  <si>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</si>
  <si>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</si>
  <si>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</si>
  <si>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</si>
  <si>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</si>
  <si>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</si>
  <si>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</si>
  <si>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</si>
  <si>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</si>
  <si>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</si>
  <si>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</si>
  <si>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</si>
  <si>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</si>
  <si>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</si>
  <si>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</si>
  <si>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</si>
  <si>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</si>
  <si>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</si>
  <si>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</si>
  <si>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</si>
  <si>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</si>
  <si>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</si>
  <si>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</si>
  <si>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</si>
  <si>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</si>
  <si>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</si>
  <si>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</si>
  <si>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</si>
  <si>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</si>
  <si>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</si>
  <si>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</si>
  <si>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</si>
  <si>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</si>
  <si>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</si>
  <si>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</si>
  <si>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</si>
  <si>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</si>
  <si>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</si>
  <si>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</si>
  <si>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</si>
  <si>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</si>
  <si>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</si>
  <si>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</si>
  <si>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</si>
  <si>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</si>
  <si>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</si>
  <si>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</si>
  <si>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</si>
  <si>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</si>
  <si>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</si>
  <si>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</si>
  <si>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</si>
  <si>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</si>
  <si>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</si>
  <si>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</si>
  <si>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</si>
  <si>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</si>
  <si>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</si>
  <si>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</si>
  <si>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</si>
  <si>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</si>
  <si>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</si>
  <si>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</si>
  <si>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</si>
  <si>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</si>
  <si>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</si>
  <si>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</si>
  <si>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</si>
  <si>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</si>
  <si>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</si>
  <si>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</si>
  <si>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</si>
  <si>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</si>
  <si>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</si>
  <si>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</si>
  <si>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</si>
  <si>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</si>
  <si>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</si>
  <si>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</si>
  <si>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</si>
  <si>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</si>
  <si>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</si>
  <si>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</si>
  <si>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</si>
  <si>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</si>
  <si>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</si>
  <si>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</si>
  <si>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</si>
  <si>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</si>
  <si>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</si>
  <si>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</si>
  <si>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</si>
  <si>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</si>
  <si>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</si>
  <si>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</si>
  <si>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</si>
  <si>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</si>
  <si>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</si>
  <si>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</si>
  <si>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</si>
  <si>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</si>
  <si>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</si>
  <si>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</si>
  <si>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</si>
  <si>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</si>
  <si>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</si>
  <si>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</si>
  <si>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</si>
  <si>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</si>
  <si>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</si>
  <si>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</si>
  <si>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</si>
  <si>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</si>
  <si>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</si>
  <si>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</si>
  <si>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</si>
  <si>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</si>
  <si>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</si>
  <si>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</si>
  <si>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</si>
  <si>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</si>
  <si>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</si>
  <si>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</si>
  <si>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</si>
  <si>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</si>
  <si>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</si>
  <si>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</si>
  <si>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</si>
  <si>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</si>
  <si>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</si>
  <si>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</si>
  <si>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</si>
  <si>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</si>
  <si>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</si>
  <si>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</si>
  <si>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</si>
  <si>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</si>
  <si>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</si>
  <si>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</si>
  <si>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</si>
  <si>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</si>
  <si>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</si>
  <si>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</si>
  <si>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</si>
  <si>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</si>
  <si>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</si>
  <si>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</si>
  <si>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</si>
  <si>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</si>
  <si>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</si>
  <si>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</si>
  <si>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</si>
  <si>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</si>
  <si>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</si>
  <si>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</si>
  <si>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</si>
  <si>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</si>
  <si>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</si>
  <si>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</si>
  <si>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</si>
  <si>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</si>
  <si>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</si>
  <si>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</si>
  <si>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</si>
  <si>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</si>
  <si>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</si>
  <si>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</si>
  <si>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</si>
  <si>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</si>
  <si>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</si>
  <si>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</si>
  <si>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</si>
  <si>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</si>
  <si>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</si>
  <si>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</si>
  <si>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</si>
  <si>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</si>
  <si>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</si>
  <si>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</si>
  <si>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</si>
  <si>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</si>
  <si>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</si>
  <si>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</si>
  <si>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</si>
  <si>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</si>
  <si>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</si>
  <si>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</si>
  <si>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</si>
  <si>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</si>
  <si>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</si>
  <si>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</si>
  <si>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</si>
  <si>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</si>
  <si>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</si>
  <si>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</si>
  <si>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</si>
  <si>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</si>
  <si>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</si>
  <si>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</si>
  <si>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</si>
  <si>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</si>
  <si>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</si>
  <si>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</si>
  <si>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</si>
  <si>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</si>
  <si>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</si>
  <si>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</si>
  <si>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</si>
  <si>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</si>
  <si>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</si>
  <si>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</si>
  <si>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</si>
  <si>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</si>
  <si>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</si>
  <si>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</si>
  <si>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</si>
  <si>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</si>
  <si>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</si>
  <si>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</si>
  <si>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</si>
  <si>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</si>
  <si>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</si>
  <si>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</si>
  <si>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</si>
  <si>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</si>
  <si>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</si>
  <si>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</si>
  <si>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</si>
  <si>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</si>
  <si>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</si>
  <si>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</si>
  <si>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</si>
  <si>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</si>
  <si>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</si>
  <si>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</si>
  <si>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</si>
  <si>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</si>
  <si>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</si>
  <si>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</si>
  <si>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</si>
  <si>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</si>
  <si>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</si>
  <si>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</si>
  <si>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</si>
  <si>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</si>
  <si>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</si>
  <si>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</si>
  <si>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</si>
  <si>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</si>
  <si>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</si>
  <si>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</si>
  <si>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</si>
  <si>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</si>
  <si>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</si>
  <si>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</si>
  <si>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</si>
  <si>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</si>
  <si>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</si>
  <si>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</si>
  <si>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</si>
  <si>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</si>
  <si>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</si>
  <si>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</si>
  <si>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</si>
  <si>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</si>
  <si>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</si>
  <si>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</si>
  <si>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</si>
  <si>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</si>
  <si>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</si>
  <si>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</si>
  <si>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</si>
  <si>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</si>
  <si>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</si>
  <si>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</si>
  <si>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</si>
  <si>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</si>
  <si>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</si>
  <si>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</si>
  <si>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</si>
  <si>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</si>
  <si>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</si>
  <si>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</si>
  <si>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</si>
  <si>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</si>
  <si>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</si>
  <si>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</si>
  <si>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</si>
  <si>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</si>
  <si>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</si>
  <si>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</si>
  <si>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</si>
  <si>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</si>
  <si>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</si>
  <si>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</si>
  <si>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</si>
  <si>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</si>
  <si>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</si>
  <si>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</si>
  <si>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</si>
  <si>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</si>
  <si>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</si>
  <si>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</si>
  <si>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</si>
  <si>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</si>
  <si>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</si>
  <si>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</si>
  <si>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</si>
  <si>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</si>
  <si>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</si>
  <si>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</si>
  <si>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</si>
  <si>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</si>
  <si>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</si>
  <si>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</si>
  <si>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</si>
  <si>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</si>
  <si>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</si>
  <si>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</si>
  <si>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</si>
  <si>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</si>
  <si>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</si>
  <si>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</si>
  <si>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</si>
  <si>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</si>
  <si>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</si>
  <si>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</si>
  <si>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</si>
  <si>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</si>
  <si>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</si>
  <si>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</si>
  <si>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</si>
  <si>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</si>
  <si>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</si>
  <si>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</si>
  <si>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</si>
  <si>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</si>
  <si>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</si>
  <si>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</si>
  <si>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</si>
  <si>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</si>
  <si>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</si>
  <si>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Algemessi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</si>
</sst>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21" sqref="C21:D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20250136</v>
      </c>
      <c r="G7" s="8">
        <f ca="1">TODAY()</f>
        <v>45842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205</v>
      </c>
      <c r="C13" s="79" t="str">
        <f>IFERROR(VLOOKUP($B13,Tarifa_all_20240711!$A$2:$G$660,2,FALSE()),"-")</f>
        <v>GUIA SUP PARED PLUS LAC.NEGRO MATE-4 MTS</v>
      </c>
      <c r="D13" s="79"/>
      <c r="E13" s="17">
        <v>1</v>
      </c>
      <c r="F13" s="18">
        <f>IFERROR(VLOOKUP($B13,Tarifa_all_20240711!$A$2:$G$660,5,FALSE()),"-")</f>
        <v>122.94</v>
      </c>
      <c r="G13" s="18">
        <f t="shared" ref="G13:G30" si="0">IFERROR(E13*F13,"-")</f>
        <v>122.94</v>
      </c>
      <c r="H13" s="1"/>
    </row>
    <row r="14" spans="1:12" x14ac:dyDescent="0.25">
      <c r="A14" t="s">
        <v>15</v>
      </c>
      <c r="B14" s="16" t="s">
        <v>1427</v>
      </c>
      <c r="C14" s="79" t="str">
        <f>IFERROR(VLOOKUP($B14,Tarifa_all_20240711!$A$2:$G$660,2,FALSE()),"-")</f>
        <v>TAPETA LAT. GUIA SKY PARED PLUS DERECHA NEGRO MATE</v>
      </c>
      <c r="D14" s="79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1431</v>
      </c>
      <c r="C15" s="79" t="str">
        <f>IFERROR(VLOOKUP($B15,Tarifa_all_20240711!$A$2:$G$660,2,FALSE()),"-")</f>
        <v>TAPETA LAT. GUIA SKY PARED PLUS IZQUIERDA NEGRO MATE</v>
      </c>
      <c r="D15" s="79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343</v>
      </c>
      <c r="C16" s="79" t="str">
        <f>IFERROR(VLOOKUP($B16,Tarifa_all_20240711!$A$2:$G$660,2,FALSE()),"-")</f>
        <v>KIT AMORTIGUADOR SKY BIDIRECCIONAL 80KG</v>
      </c>
      <c r="D16" s="79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87" t="s">
        <v>143</v>
      </c>
      <c r="C21" s="88" t="str">
        <f>IFERROR(VLOOKUP($B21,Tarifa_all_20240711!$A$2:$G$660,2,FALSE()),"-")</f>
        <v>PERFIL EMBELL.HORIZ. ADH LAC.NEGRO TEXTURADO</v>
      </c>
      <c r="D21" s="88"/>
      <c r="E21" s="89">
        <v>4</v>
      </c>
      <c r="F21" s="90">
        <f>IFERROR(VLOOKUP($B21,Tarifa_all_20240711!$A$2:$G$660,5,FALSE()),"-")</f>
        <v>21.794999999999998</v>
      </c>
      <c r="G21" s="90">
        <f t="shared" si="0"/>
        <v>87.179999999999993</v>
      </c>
      <c r="H21" s="1"/>
    </row>
    <row r="22" spans="1:8" x14ac:dyDescent="0.25">
      <c r="B22" s="91" t="s">
        <v>460</v>
      </c>
      <c r="C22" s="92" t="str">
        <f>IFERROR(VLOOKUP($B22,Tarifa_all_20240711!$A$2:$G$660,2,FALSE()),"-")</f>
        <v>MARCO FIJOS 35MM D-DECOR FIJO NEGRO TEXT 3 MTS</v>
      </c>
      <c r="D22" s="92"/>
      <c r="E22" s="93">
        <v>2</v>
      </c>
      <c r="F22" s="94">
        <f>IFERROR(VLOOKUP($B22,Tarifa_all_20240711!$A$2:$G$660,5,FALSE()),"-")</f>
        <v>27.712500000000002</v>
      </c>
      <c r="G22" s="94">
        <f t="shared" si="0"/>
        <v>55.425000000000004</v>
      </c>
      <c r="H22" s="1"/>
    </row>
    <row r="23" spans="1:8" x14ac:dyDescent="0.25">
      <c r="B23" s="91" t="s">
        <v>440</v>
      </c>
      <c r="C23" s="92" t="str">
        <f>IFERROR(VLOOKUP($B23,Tarifa_all_20240711!$A$2:$G$660,2,FALSE()),"-")</f>
        <v>ANCLAJE TAPA 35MM D-DECOR FIJO NEGRO TEXT 3 MTS</v>
      </c>
      <c r="D23" s="92"/>
      <c r="E23" s="93">
        <v>2</v>
      </c>
      <c r="F23" s="94">
        <f>IFERROR(VLOOKUP($B23,Tarifa_all_20240711!$A$2:$G$660,5,FALSE()),"-")</f>
        <v>13.4175</v>
      </c>
      <c r="G23" s="94">
        <f t="shared" si="0"/>
        <v>26.835000000000001</v>
      </c>
      <c r="H23" s="1"/>
    </row>
    <row r="24" spans="1:8" x14ac:dyDescent="0.25">
      <c r="B24" s="91" t="s">
        <v>480</v>
      </c>
      <c r="C24" s="92" t="str">
        <f>IFERROR(VLOOKUP($B24,Tarifa_all_20240711!$A$2:$G$660,2,FALSE()),"-")</f>
        <v>TAPA MARCO 35MM D-DECOR FIJO NEGRO TEXT 3 MTS</v>
      </c>
      <c r="D24" s="92"/>
      <c r="E24" s="93">
        <v>2</v>
      </c>
      <c r="F24" s="94">
        <f>IFERROR(VLOOKUP($B24,Tarifa_all_20240711!$A$2:$G$660,5,FALSE()),"-")</f>
        <v>11.3025</v>
      </c>
      <c r="G24" s="94">
        <f t="shared" si="0"/>
        <v>22.605</v>
      </c>
      <c r="H24" s="1"/>
    </row>
    <row r="25" spans="1:8" x14ac:dyDescent="0.25">
      <c r="B25" s="91" t="s">
        <v>450</v>
      </c>
      <c r="C25" s="92" t="str">
        <f>IFERROR(VLOOKUP($B25,Tarifa_all_20240711!$A$2:$G$660,2,FALSE()),"-")</f>
        <v>PERFIL MINIMALISTA D-DECOR FIJO NEGRO TEXT 3 MTS</v>
      </c>
      <c r="D25" s="92"/>
      <c r="E25" s="93">
        <v>1</v>
      </c>
      <c r="F25" s="94">
        <f>IFERROR(VLOOKUP($B25,Tarifa_all_20240711!$A$2:$G$660,5,FALSE()),"-")</f>
        <v>36.72</v>
      </c>
      <c r="G25" s="94">
        <f t="shared" si="0"/>
        <v>36.72</v>
      </c>
      <c r="H25" s="1"/>
    </row>
    <row r="26" spans="1:8" x14ac:dyDescent="0.25">
      <c r="B26" s="91" t="s">
        <v>298</v>
      </c>
      <c r="C26" s="92" t="str">
        <f>IFERROR(VLOOKUP($B26,Tarifa_all_20240711!$A$2:$G$660,2,FALSE()),"-")</f>
        <v>Tope Domo Decor</v>
      </c>
      <c r="D26" s="92"/>
      <c r="E26" s="93">
        <v>4</v>
      </c>
      <c r="F26" s="94">
        <f>IFERROR(VLOOKUP($B26,Tarifa_all_20240711!$A$2:$G$660,5,FALSE()),"-")</f>
        <v>1.4175</v>
      </c>
      <c r="G26" s="94">
        <f t="shared" si="0"/>
        <v>5.67</v>
      </c>
      <c r="H26" s="1"/>
    </row>
    <row r="27" spans="1:8" x14ac:dyDescent="0.25">
      <c r="B27" s="91" t="s">
        <v>300</v>
      </c>
      <c r="C27" s="92" t="str">
        <f>IFERROR(VLOOKUP($B27,Tarifa_all_20240711!$A$2:$G$660,2,FALSE()),"-")</f>
        <v>PERFIL 3 MTS REDUCTOR PARA VIDRIO 6mm</v>
      </c>
      <c r="D27" s="92"/>
      <c r="E27" s="93">
        <v>2</v>
      </c>
      <c r="F27" s="94">
        <f>IFERROR(VLOOKUP($B27,Tarifa_all_20240711!$A$2:$G$660,5,FALSE()),"-")</f>
        <v>3.4275000000000002</v>
      </c>
      <c r="G27" s="94">
        <f t="shared" si="0"/>
        <v>6.8550000000000004</v>
      </c>
      <c r="H27" s="1"/>
    </row>
    <row r="28" spans="1:8" x14ac:dyDescent="0.25">
      <c r="B28" s="91">
        <v>31229</v>
      </c>
      <c r="C28" s="92" t="str">
        <f>IFERROR(VLOOKUP($B28,Tarifa_all_20240711!$A$2:$G$660,2,FALSE()),"-")</f>
        <v>COMPLEMENTO FIJACION DOMO DECOR: BARRAS 3 MTS</v>
      </c>
      <c r="D28" s="92"/>
      <c r="E28" s="93">
        <v>2</v>
      </c>
      <c r="F28" s="94">
        <f>IFERROR(VLOOKUP($B28,Tarifa_all_20240711!$A$2:$G$660,5,FALSE()),"-")</f>
        <v>11.317499999999999</v>
      </c>
      <c r="G28" s="94">
        <f t="shared" si="0"/>
        <v>22.634999999999998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757.245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45842</v>
      </c>
    </row>
    <row r="10" spans="1:7" x14ac:dyDescent="0.25">
      <c r="A10" s="3" t="s">
        <v>82</v>
      </c>
      <c r="B10" s="11" t="str">
        <f>'DESPIECE (MATANALYSIS)'!C9</f>
        <v>Algemessi</v>
      </c>
      <c r="C10" s="45"/>
      <c r="D10" s="45"/>
      <c r="E10" s="46"/>
      <c r="F10" s="47" t="s">
        <v>83</v>
      </c>
      <c r="G10" s="7">
        <f>'DESPIECE (MATANALYSIS)'!C7</f>
        <v>20250136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757.245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2025-07-04T12:53:54Z</cp:lastPrinted>
  <dcterms:created xsi:type="dcterms:W3CDTF">2024-04-15T12:43:19Z</dcterms:created>
  <dcterms:modified xsi:type="dcterms:W3CDTF">2025-07-04T12:54:14Z</dcterms:modified>
  <dc:language>es-ES</dc:language>
</cp:coreProperties>
</file>