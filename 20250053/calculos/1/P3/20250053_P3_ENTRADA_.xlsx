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3\calculos\1\P3\"/>
    </mc:Choice>
  </mc:AlternateContent>
  <xr:revisionPtr revIDLastSave="0" documentId="13_ncr:1_{E5C06B84-E055-4CC1-B591-43A0F550D4C1}" xr6:coauthVersionLast="47" xr6:coauthVersionMax="47" xr10:uidLastSave="{00000000-0000-0000-0000-000000000000}"/>
  <bookViews>
    <workbookView xWindow="-120" yWindow="-120" windowWidth="29040" windowHeight="15720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<sst xmlns="http://schemas.openxmlformats.org/spreadsheetml/2006/main" count="5399" uniqueCount="1449">
  <si>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</si>
  <si>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</si>
  <si>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</si>
  <si>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</si>
  <si>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</si>
  <si>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</si>
  <si>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</si>
  <si>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</si>
  <si>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</si>
  <si>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</si>
  <si>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</si>
  <si>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</si>
  <si>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</si>
  <si>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</si>
  <si>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</si>
  <si>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</si>
  <si>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</si>
  <si>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</si>
  <si>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</si>
  <si>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</si>
  <si>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</si>
  <si>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</si>
  <si>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</si>
  <si>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</si>
  <si>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</si>
  <si>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</si>
  <si>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</si>
  <si>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</si>
  <si>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</si>
  <si>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</si>
  <si>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</si>
  <si>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</si>
  <si>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</si>
  <si>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</si>
  <si>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</si>
  <si>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</si>
  <si>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</si>
  <si>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</si>
  <si>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</si>
  <si>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</si>
  <si>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</si>
  <si>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</si>
  <si>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</si>
  <si>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</si>
  <si>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</si>
  <si>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</si>
  <si>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</si>
  <si>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</si>
  <si>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</si>
  <si>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</si>
  <si>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</si>
  <si>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</si>
  <si>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</si>
  <si>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</si>
  <si>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</si>
  <si>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</si>
  <si>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</si>
  <si>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</si>
  <si>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</si>
  <si>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</si>
  <si>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</si>
  <si>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</si>
  <si>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</si>
  <si>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</si>
  <si>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</si>
  <si>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</si>
  <si>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</si>
  <si>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</si>
  <si>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</si>
  <si>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</si>
  <si>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</si>
  <si>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</si>
  <si>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</si>
  <si>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</si>
  <si>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</si>
  <si>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</si>
  <si>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</si>
  <si>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</si>
  <si>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</si>
  <si>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</si>
  <si>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</si>
  <si>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</si>
  <si>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</si>
  <si>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</si>
  <si>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</si>
  <si>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</si>
  <si>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</si>
  <si>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</si>
  <si>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</si>
  <si>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</si>
  <si>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</si>
  <si>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</si>
  <si>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</si>
  <si>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</si>
  <si>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</si>
  <si>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</si>
  <si>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</si>
  <si>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</si>
  <si>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</si>
  <si>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</si>
  <si>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</si>
  <si>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</si>
  <si>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</si>
  <si>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</si>
  <si>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</si>
  <si>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</si>
  <si>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</si>
  <si>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</si>
  <si>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</si>
  <si>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</si>
  <si>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</si>
  <si>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</si>
  <si>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</si>
  <si>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</si>
  <si>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</si>
  <si>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</si>
  <si>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</si>
  <si>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</si>
  <si>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</si>
  <si>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</si>
  <si>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</si>
  <si>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</si>
  <si>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</si>
  <si>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</si>
  <si>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</si>
  <si>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</si>
  <si>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</si>
  <si>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</si>
  <si>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</si>
  <si>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</si>
  <si>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</si>
  <si>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</si>
  <si>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</si>
  <si>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</si>
  <si>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</si>
  <si>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</si>
  <si>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</si>
  <si>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</si>
  <si>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</si>
  <si>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</si>
  <si>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</si>
  <si>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</si>
  <si>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</si>
  <si>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</si>
  <si>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</si>
  <si>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</si>
  <si>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</si>
  <si>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</si>
  <si>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</si>
  <si>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</si>
  <si>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</si>
  <si>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</si>
  <si>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</si>
  <si>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</si>
  <si>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</si>
  <si>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</si>
  <si>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</si>
  <si>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</si>
  <si>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</si>
  <si>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</si>
  <si>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</si>
  <si>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</si>
  <si>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</si>
  <si>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</si>
  <si>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</si>
  <si>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</si>
  <si>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</si>
  <si>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</si>
  <si>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</si>
  <si>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</si>
  <si>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</si>
  <si>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</si>
  <si>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</si>
  <si>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</si>
  <si>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</si>
  <si>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</si>
  <si>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</si>
  <si>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</si>
  <si>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</si>
  <si>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</si>
  <si>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</si>
  <si>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</si>
  <si>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</si>
  <si>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</si>
  <si>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</si>
  <si>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</si>
  <si>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</si>
  <si>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</si>
  <si>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</si>
  <si>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</si>
  <si>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</si>
  <si>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</si>
  <si>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</si>
  <si>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</si>
  <si>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</si>
  <si>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</si>
  <si>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</si>
  <si>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</si>
  <si>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</si>
  <si>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</si>
  <si>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</si>
  <si>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</si>
  <si>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</si>
  <si>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</si>
  <si>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</si>
  <si>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</si>
  <si>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</si>
  <si>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</si>
  <si>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</si>
  <si>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</si>
  <si>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</si>
  <si>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</si>
  <si>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</si>
  <si>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</si>
  <si>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</si>
  <si>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</si>
  <si>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</si>
  <si>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</si>
  <si>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</si>
  <si>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</si>
  <si>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</si>
  <si>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</si>
  <si>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</si>
  <si>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</si>
  <si>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</si>
  <si>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</si>
  <si>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</si>
  <si>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</si>
  <si>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</si>
  <si>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</si>
  <si>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</si>
  <si>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</si>
  <si>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</si>
  <si>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</si>
  <si>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</si>
  <si>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</si>
  <si>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</si>
  <si>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</si>
  <si>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</si>
  <si>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</si>
  <si>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</si>
  <si>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</si>
  <si>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</si>
  <si>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</si>
  <si>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</si>
  <si>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</si>
  <si>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</si>
  <si>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</si>
  <si>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</si>
  <si>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</si>
  <si>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</si>
  <si>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</si>
  <si>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</si>
  <si>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</si>
  <si>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</si>
  <si>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</si>
  <si>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</si>
  <si>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</si>
  <si>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</si>
  <si>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</si>
  <si>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</si>
  <si>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</si>
  <si>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</si>
  <si>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</si>
  <si>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</si>
  <si>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</si>
  <si>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</si>
  <si>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</si>
  <si>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</si>
  <si>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</si>
  <si>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</si>
  <si>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</si>
  <si>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</si>
  <si>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</si>
  <si>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</si>
  <si>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</si>
  <si>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</si>
  <si>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</si>
  <si>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</si>
  <si>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</si>
  <si>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</si>
  <si>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</si>
  <si>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</si>
  <si>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</si>
  <si>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</si>
  <si>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</si>
  <si>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</si>
  <si>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</si>
  <si>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</si>
  <si>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</si>
  <si>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</si>
  <si>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</si>
  <si>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</si>
  <si>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</si>
  <si>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</si>
  <si>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</si>
  <si>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</si>
  <si>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</si>
  <si>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</si>
  <si>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</si>
  <si>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</si>
  <si>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</si>
  <si>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</si>
  <si>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</si>
  <si>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</si>
  <si>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</si>
  <si>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</si>
  <si>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</si>
  <si>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</si>
  <si>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</si>
  <si>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</si>
  <si>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</si>
  <si>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</si>
  <si>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</si>
  <si>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</si>
  <si>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</si>
  <si>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</si>
  <si>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</si>
  <si>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</si>
  <si>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</si>
  <si>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</si>
  <si>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</si>
  <si>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</si>
  <si>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</si>
  <si>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</si>
  <si>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</si>
  <si>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</si>
  <si>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</si>
  <si>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</si>
  <si>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</si>
  <si>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</si>
  <si>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</si>
  <si>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</si>
  <si>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</si>
  <si>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</si>
  <si>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</si>
  <si>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</si>
  <si>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</si>
  <si>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</si>
  <si>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</si>
  <si>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</si>
  <si>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</si>
  <si>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</si>
  <si>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</si>
  <si>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</si>
  <si>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</si>
  <si>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</si>
  <si>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</si>
  <si>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</si>
  <si>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</si>
  <si>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</si>
  <si>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</si>
  <si>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</si>
  <si>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</si>
  <si>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</si>
  <si>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</si>
  <si>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</si>
  <si>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</si>
  <si>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</si>
  <si>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</si>
  <si>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</si>
  <si>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</si>
  <si>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</si>
  <si>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</si>
  <si>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</si>
  <si>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</si>
  <si>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</si>
  <si>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</si>
  <si>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</si>
  <si>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</si>
  <si>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</si>
  <si>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</si>
  <si>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</si>
  <si>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</si>
  <si>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</si>
  <si>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</si>
  <si>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</si>
  <si>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</si>
  <si>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</si>
  <si>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</si>
  <si>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</si>
  <si>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</si>
  <si>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</si>
  <si>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</si>
  <si>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</si>
  <si>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</si>
  <si>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</si>
  <si>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</si>
  <si>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</si>
  <si>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</si>
  <si>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</si>
  <si>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</si>
  <si>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</si>
  <si>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</si>
  <si>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</si>
  <si>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</si>
  <si>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</si>
  <si>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</si>
  <si>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</si>
  <si>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</si>
  <si>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</si>
  <si>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</si>
  <si>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</si>
  <si>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</si>
  <si>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</si>
  <si>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</si>
  <si>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</si>
  <si>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</si>
  <si>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</si>
  <si>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</si>
  <si>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</si>
  <si>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</si>
  <si>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</si>
  <si>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</si>
  <si>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</si>
  <si>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</si>
  <si>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</si>
  <si>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</si>
  <si>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</si>
  <si>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</si>
  <si>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</si>
  <si>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</si>
  <si>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</si>
  <si>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</si>
  <si>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</si>
  <si>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</si>
  <si>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</si>
  <si>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</si>
  <si>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</si>
  <si>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</si>
  <si>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</si>
  <si>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</si>
  <si>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</si>
  <si>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</si>
  <si>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</si>
  <si>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</si>
  <si>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</si>
  <si>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</si>
  <si>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</si>
  <si>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</si>
  <si>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</si>
  <si>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</si>
  <si>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</si>
  <si>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</si>
  <si>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</si>
  <si>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</si>
  <si>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</si>
  <si>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</si>
  <si>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</si>
  <si>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</si>
  <si>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</si>
  <si>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</si>
  <si>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</si>
  <si>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</si>
  <si>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</si>
  <si>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</si>
  <si>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</si>
  <si>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</si>
  <si>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</si>
  <si>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</si>
  <si>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</si>
  <si>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</si>
  <si>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</si>
  <si>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</si>
  <si>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</si>
  <si>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</si>
  <si>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</si>
  <si>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</si>
  <si>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</si>
  <si>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</si>
  <si>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</si>
  <si>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</si>
  <si>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</si>
  <si>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</si>
  <si>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</si>
  <si>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</si>
  <si>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</si>
  <si>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</si>
  <si>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</si>
  <si>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</si>
  <si>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</si>
  <si>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</si>
  <si>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</si>
  <si>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</si>
  <si>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</si>
  <si>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</si>
  <si>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</si>
  <si>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</si>
  <si>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</si>
  <si>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</si>
  <si>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</si>
  <si>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</si>
  <si>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</si>
  <si>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</si>
  <si>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</si>
  <si>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</si>
  <si>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</si>
  <si>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</si>
  <si>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</si>
  <si>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</si>
  <si>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</si>
  <si>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</si>
  <si>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</si>
  <si>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</si>
  <si>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</si>
  <si>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</si>
  <si>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</si>
  <si>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</si>
  <si>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</si>
  <si>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</si>
  <si>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</si>
  <si>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</si>
  <si>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</si>
  <si>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</si>
  <si>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</si>
  <si>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</si>
  <si>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</si>
  <si>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</si>
  <si>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</si>
  <si>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</si>
  <si>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</si>
  <si>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</si>
  <si>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</si>
  <si>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</si>
  <si>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</si>
  <si>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</si>
  <si>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</si>
  <si>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</si>
  <si>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</si>
  <si>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</si>
  <si>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</si>
  <si>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</si>
  <si>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</si>
  <si>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</si>
  <si>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</si>
  <si>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</si>
  <si>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</si>
  <si>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</si>
  <si>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</si>
  <si>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</si>
  <si>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</si>
  <si>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</si>
  <si>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</si>
  <si>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</si>
  <si>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</si>
  <si>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</si>
  <si>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</si>
  <si>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</si>
  <si>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</si>
  <si>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</si>
  <si>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</si>
  <si>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</si>
  <si>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</si>
  <si>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</si>
  <si>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</si>
  <si>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</si>
  <si>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</si>
  <si>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</si>
  <si>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</si>
  <si>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</si>
  <si>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</si>
  <si>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</si>
  <si>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</si>
  <si>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</si>
  <si>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</si>
  <si>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</si>
  <si>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</si>
  <si>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</si>
  <si>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</si>
  <si>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</si>
  <si>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</si>
  <si>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</si>
  <si>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</si>
  <si>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</si>
  <si>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</si>
  <si>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</si>
  <si>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</si>
  <si>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</si>
  <si>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</si>
  <si>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</si>
  <si>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</si>
  <si>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</si>
  <si>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</si>
  <si>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</si>
  <si>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</si>
  <si>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</si>
  <si>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</si>
  <si>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</si>
  <si>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</si>
  <si>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</si>
  <si>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</si>
  <si>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</si>
  <si>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</si>
  <si>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</si>
  <si>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</si>
  <si>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</si>
  <si>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</si>
  <si>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</si>
  <si>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</si>
  <si>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</si>
  <si>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</si>
  <si>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</si>
  <si>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</si>
  <si>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</si>
  <si>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</si>
  <si>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</si>
  <si>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</si>
  <si>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</si>
  <si>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</si>
  <si>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</si>
  <si>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</si>
  <si>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</si>
  <si>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</si>
  <si>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</si>
  <si>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</si>
  <si>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</si>
  <si>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</si>
  <si>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</si>
  <si>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</si>
  <si>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</si>
  <si>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</si>
  <si>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</si>
  <si>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</si>
  <si>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</si>
  <si>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</si>
  <si>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</si>
  <si>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</si>
  <si>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</si>
  <si>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</si>
  <si>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</si>
  <si>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</si>
  <si>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</si>
  <si>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</si>
  <si>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</si>
  <si>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</si>
  <si>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</si>
  <si>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</si>
  <si>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</si>
  <si>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</si>
  <si>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</si>
  <si>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</si>
  <si>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</si>
  <si>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</si>
  <si>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</si>
  <si>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</si>
  <si>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</si>
  <si>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</si>
  <si>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</si>
  <si>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</si>
  <si>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</si>
  <si>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</si>
  <si>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</si>
  <si>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</si>
  <si>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</si>
  <si>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</si>
  <si>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</si>
  <si>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</si>
  <si>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</si>
  <si>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</si>
  <si>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</si>
  <si>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</si>
  <si>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</si>
  <si>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</si>
  <si>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</si>
  <si>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</si>
  <si>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</si>
  <si>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</si>
  <si>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</si>
  <si>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</si>
  <si>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</si>
  <si>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</si>
  <si>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</si>
  <si>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</si>
  <si>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</si>
  <si>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</si>
  <si>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</si>
  <si>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</si>
  <si>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</si>
  <si>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</si>
  <si>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</si>
  <si>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</si>
  <si>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</si>
  <si>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</si>
  <si>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</si>
  <si>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</si>
  <si>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</si>
  <si>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</si>
  <si>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</si>
  <si>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</si>
  <si>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</si>
  <si>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</si>
  <si>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</si>
  <si>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</si>
  <si>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</si>
  <si>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</si>
  <si>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</si>
  <si>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</si>
  <si>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</si>
  <si>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</si>
  <si>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</si>
  <si>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</si>
  <si>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</si>
  <si>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</si>
  <si>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</si>
  <si>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</si>
  <si>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</si>
  <si>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</si>
  <si>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</si>
  <si>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</si>
  <si>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</si>
  <si>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</si>
  <si>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</si>
  <si>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</si>
  <si>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</si>
  <si>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</si>
  <si>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</si>
  <si>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</si>
  <si>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</si>
  <si>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</si>
  <si>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</si>
  <si>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</si>
  <si>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</si>
  <si>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</si>
  <si>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</si>
  <si>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</si>
  <si>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</si>
  <si>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</si>
  <si>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</si>
  <si>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</si>
  <si>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</si>
  <si>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</si>
  <si>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</si>
  <si>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</si>
  <si>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</si>
  <si>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</si>
  <si>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</si>
  <si>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</si>
  <si>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</si>
  <si>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</si>
  <si>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</si>
  <si>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</si>
  <si>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</si>
  <si>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</si>
  <si>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</si>
  <si>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</si>
  <si>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</si>
  <si>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</si>
  <si>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</si>
  <si>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</si>
  <si>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</si>
  <si>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</si>
  <si>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</si>
  <si>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</si>
  <si>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</si>
  <si>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</si>
  <si>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</si>
  <si>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</si>
  <si>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</si>
  <si>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</si>
  <si>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</si>
  <si>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</si>
  <si>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</si>
  <si>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</si>
  <si>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</si>
  <si>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</si>
  <si>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</si>
  <si>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</si>
  <si>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</si>
  <si>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</si>
  <si>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</si>
  <si>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</si>
  <si>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</si>
  <si>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</si>
  <si>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</si>
  <si>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</si>
  <si>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</si>
  <si>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</si>
  <si>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</si>
  <si>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</si>
  <si>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</si>
  <si>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</si>
  <si>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</si>
  <si>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</si>
  <si>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</si>
  <si>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</si>
  <si>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</si>
  <si>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</si>
  <si>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</si>
  <si>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</si>
  <si>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</si>
  <si>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</si>
  <si>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</si>
  <si>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</si>
  <si>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</si>
  <si>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</si>
  <si>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</si>
  <si>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</si>
  <si>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</si>
  <si>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</si>
  <si>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</si>
  <si>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</si>
  <si>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</si>
  <si>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</si>
  <si>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</si>
  <si>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</si>
  <si>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</si>
  <si>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</si>
  <si>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</si>
  <si>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</si>
  <si>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</si>
  <si>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</si>
  <si>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</si>
  <si>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</si>
  <si>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</si>
  <si>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</si>
  <si>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</si>
  <si>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</si>
  <si>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</si>
  <si>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</si>
  <si>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</si>
  <si>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</si>
  <si>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</si>
  <si>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</si>
  <si>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</si>
  <si>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</si>
  <si>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</si>
  <si>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</si>
  <si>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</si>
  <si>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</si>
  <si>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</si>
  <si>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</si>
  <si>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</si>
  <si>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</si>
  <si>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</si>
  <si>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</si>
  <si>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</si>
  <si>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</si>
  <si>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</si>
  <si>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</si>
  <si>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</si>
  <si>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</si>
  <si>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</si>
  <si>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</si>
  <si>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</si>
  <si>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</si>
  <si>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</si>
  <si>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</si>
  <si>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</si>
  <si>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</si>
  <si>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</si>
  <si>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</si>
  <si>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</si>
  <si>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</si>
  <si>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</si>
  <si>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</si>
  <si>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</si>
  <si>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</si>
  <si>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</si>
  <si>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</si>
  <si>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</si>
  <si>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</si>
  <si>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</si>
  <si>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</si>
  <si>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</si>
  <si>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</si>
  <si>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</si>
  <si>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</si>
  <si>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</si>
  <si>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</si>
  <si>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</si>
  <si>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</si>
  <si>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</si>
  <si>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</si>
  <si>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</si>
  <si>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</si>
  <si>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</si>
  <si>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</si>
  <si>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</si>
  <si>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</si>
  <si>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</si>
  <si>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</si>
  <si>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</si>
  <si>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</si>
  <si>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</si>
  <si>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</si>
  <si>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</si>
  <si>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</si>
  <si>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</si>
  <si>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</si>
  <si>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</si>
  <si>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</si>
  <si>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</si>
  <si>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</si>
  <si>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</si>
  <si>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</si>
  <si>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</si>
  <si>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</si>
  <si>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</si>
  <si>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</si>
  <si>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</si>
  <si>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</si>
  <si>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</si>
  <si>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</si>
  <si>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</si>
  <si>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</si>
  <si>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</si>
  <si>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</si>
  <si>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</si>
  <si>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</si>
  <si>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</si>
  <si>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</si>
  <si>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</si>
  <si>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</si>
  <si>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</si>
  <si>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</si>
  <si>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</si>
  <si>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</si>
  <si>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</si>
  <si>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</si>
  <si>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</si>
  <si>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</si>
  <si>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</si>
  <si>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</si>
  <si>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</si>
  <si>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</si>
  <si>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</si>
  <si>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</si>
  <si>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</si>
  <si>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</si>
  <si>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</si>
  <si>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</si>
  <si>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</si>
  <si>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</si>
  <si>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</si>
  <si>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</si>
  <si>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</si>
  <si>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</si>
  <si>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</si>
  <si>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</si>
  <si>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</si>
  <si>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</si>
  <si>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</si>
  <si>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</si>
  <si>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</si>
  <si>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</si>
  <si>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</si>
  <si>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</si>
  <si>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</si>
  <si>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</si>
  <si>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</si>
  <si>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</si>
  <si>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</si>
  <si>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</si>
  <si>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</si>
  <si>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</si>
  <si>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</si>
  <si>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</si>
  <si>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</si>
  <si>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</si>
  <si>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</si>
  <si>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</si>
  <si>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</si>
  <si>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</si>
  <si>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</si>
  <si>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</si>
  <si>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</si>
  <si>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</si>
  <si>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</si>
  <si>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</si>
  <si>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</si>
  <si>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</si>
  <si>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</si>
  <si>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</si>
  <si>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</si>
  <si>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</si>
  <si>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</si>
  <si>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</si>
  <si>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</si>
  <si>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</si>
  <si>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</si>
  <si>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</si>
  <si>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</si>
  <si>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</si>
  <si>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</si>
  <si>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</si>
  <si>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</si>
  <si>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</si>
  <si>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</si>
  <si>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</si>
  <si>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</si>
  <si>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</si>
  <si>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</si>
  <si>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</si>
  <si>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</si>
  <si>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</si>
  <si>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</si>
  <si>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</si>
  <si>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</si>
  <si>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</si>
  <si>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</si>
  <si>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</si>
  <si>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</si>
  <si>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</si>
  <si>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</si>
  <si>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</si>
  <si>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</si>
  <si>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</si>
  <si>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</si>
  <si>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</si>
  <si>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</si>
  <si>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</si>
  <si>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</si>
  <si>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</si>
  <si>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</si>
  <si>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</si>
  <si>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</si>
  <si>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</si>
  <si>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</si>
  <si>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</si>
  <si>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</si>
  <si>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</si>
  <si>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</si>
  <si>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</si>
  <si>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</si>
  <si>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</si>
  <si>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</si>
  <si>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</si>
  <si>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</si>
  <si>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</si>
  <si>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</si>
  <si>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</si>
  <si>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</si>
  <si>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</si>
  <si>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</si>
  <si>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</si>
  <si>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</si>
  <si>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</si>
  <si>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</si>
  <si>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</si>
  <si>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</si>
  <si>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</si>
  <si>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</si>
  <si>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</si>
  <si>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</si>
  <si>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</si>
  <si>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</si>
  <si>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</si>
  <si>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</si>
  <si>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</si>
  <si>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</si>
  <si>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</si>
  <si>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</si>
  <si>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</si>
  <si>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</si>
  <si>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</si>
  <si>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</si>
  <si>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</si>
  <si>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</si>
  <si>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</si>
  <si>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</si>
  <si>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</si>
  <si>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</si>
  <si>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</si>
  <si>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</si>
  <si>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</si>
  <si>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</si>
  <si>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</si>
  <si>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</si>
  <si>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</si>
  <si>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</si>
  <si>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</si>
  <si>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</si>
  <si>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</si>
  <si>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</si>
  <si>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</si>
  <si>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</si>
  <si>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</si>
  <si>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</si>
  <si>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</si>
  <si>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</si>
  <si>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</si>
  <si>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</si>
  <si>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</si>
  <si>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</si>
  <si>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</si>
  <si>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</si>
  <si>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</si>
  <si>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</si>
  <si>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</si>
  <si>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</si>
  <si>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</si>
  <si>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</si>
  <si>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</si>
  <si>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</si>
  <si>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</si>
  <si>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</si>
  <si>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</si>
  <si>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</si>
  <si>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</si>
  <si>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</si>
  <si>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</si>
  <si>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</si>
  <si>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</si>
  <si>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</si>
  <si>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</si>
  <si>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</si>
  <si>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</si>
  <si>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</si>
  <si>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</si>
  <si>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</si>
  <si>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</si>
  <si>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</si>
  <si>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</si>
  <si>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</si>
  <si>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</si>
  <si>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</si>
  <si>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</si>
  <si>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</si>
  <si>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</si>
  <si>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</si>
  <si>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</si>
  <si>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</si>
  <si>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</si>
  <si>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</si>
  <si>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</si>
  <si>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</si>
  <si>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</si>
  <si>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</si>
  <si>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</si>
  <si>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</si>
  <si>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</si>
  <si>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</si>
  <si>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</si>
  <si>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</si>
  <si>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</si>
  <si>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</si>
  <si>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</si>
  <si>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</si>
  <si>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</si>
  <si>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</si>
  <si>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</si>
  <si>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</si>
  <si>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</si>
  <si>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</si>
  <si>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</si>
  <si>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</si>
  <si>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</si>
  <si>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</si>
  <si>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</si>
  <si>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</si>
  <si>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</si>
  <si>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</si>
  <si>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</si>
  <si>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</si>
  <si>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</si>
  <si>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</si>
  <si>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</si>
  <si>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</si>
  <si>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</si>
  <si>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</si>
  <si>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</si>
  <si>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</si>
  <si>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</si>
  <si>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</si>
  <si>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</si>
  <si>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</si>
  <si>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</si>
  <si>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</si>
  <si>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</si>
  <si>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</si>
  <si>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</si>
  <si>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</si>
  <si>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</si>
  <si>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</si>
  <si>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</si>
  <si>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</si>
  <si>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</si>
  <si>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</si>
  <si>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</si>
  <si>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</si>
  <si>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</si>
  <si>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</si>
  <si>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</si>
  <si>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</si>
  <si>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</si>
  <si>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</si>
  <si>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</si>
  <si>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</si>
  <si>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</si>
  <si>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</si>
  <si>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</si>
  <si>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</si>
  <si>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</si>
  <si>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</si>
  <si>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</si>
  <si>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</si>
  <si>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</si>
  <si>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</si>
  <si>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</si>
  <si>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</si>
  <si>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</si>
  <si>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</si>
  <si>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</si>
  <si>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</si>
  <si>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</si>
  <si>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</si>
  <si>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</si>
  <si>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</si>
  <si>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</si>
  <si>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</si>
  <si>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</si>
  <si>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</si>
  <si>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</si>
  <si>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</si>
  <si>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</si>
  <si>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</si>
  <si>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</si>
  <si>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</si>
  <si>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</si>
  <si>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</si>
  <si>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</si>
  <si>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</si>
  <si>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</si>
  <si>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</si>
  <si>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</si>
  <si>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</si>
  <si>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</si>
  <si>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</si>
  <si>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</si>
  <si>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</si>
  <si>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</si>
  <si>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</si>
  <si>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</si>
  <si>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</si>
  <si>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</si>
  <si>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</si>
  <si>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</si>
  <si>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</si>
  <si>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</si>
  <si>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</si>
  <si>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</si>
  <si>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</si>
  <si>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</si>
  <si>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</si>
  <si>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</si>
  <si>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</si>
  <si>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</si>
  <si>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</si>
  <si>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</si>
  <si>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</si>
  <si>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</si>
  <si>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</si>
  <si>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</si>
  <si>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</si>
  <si>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</si>
  <si>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</si>
  <si>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</si>
  <si>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</si>
  <si>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</si>
  <si>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</si>
  <si>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</si>
  <si>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</si>
  <si>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</si>
  <si>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</si>
  <si>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</si>
  <si>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</si>
  <si>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</si>
  <si>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</si>
  <si>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</si>
  <si>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</si>
  <si>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</si>
  <si>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</si>
  <si>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</si>
  <si>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</si>
  <si>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</si>
  <si>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</si>
  <si>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</si>
  <si>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</si>
  <si>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</si>
  <si>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</si>
  <si>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</si>
  <si>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</si>
  <si>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</si>
  <si>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</si>
  <si>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</si>
  <si>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</si>
  <si>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</si>
  <si>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</si>
  <si>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</si>
  <si>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</si>
  <si>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</si>
  <si>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</si>
  <si>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</si>
  <si>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</si>
  <si>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</si>
  <si>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</si>
  <si>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</si>
  <si>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</si>
  <si>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</si>
  <si>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</si>
  <si>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</si>
  <si>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</si>
  <si>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</si>
  <si>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</si>
  <si>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</si>
  <si>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</si>
  <si>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</si>
  <si>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</si>
  <si>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</si>
  <si>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</si>
  <si>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</si>
  <si>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</si>
  <si>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</si>
  <si>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</si>
  <si>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</si>
  <si>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</si>
  <si>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</si>
  <si>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</si>
  <si>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</si>
  <si>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</si>
  <si>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</si>
  <si>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</si>
  <si>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</si>
  <si>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</si>
  <si>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</si>
  <si>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</si>
  <si>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</si>
  <si>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</si>
  <si>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</si>
  <si>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</si>
  <si>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</si>
  <si>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</si>
  <si>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</si>
  <si>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</si>
  <si>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</si>
  <si>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</si>
  <si>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</si>
  <si>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</si>
  <si>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</si>
  <si>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</si>
  <si>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</si>
  <si>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</si>
  <si>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</si>
  <si>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</si>
  <si>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</si>
  <si>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</si>
  <si>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</si>
  <si>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</si>
  <si>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</si>
  <si>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</si>
  <si>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</si>
  <si>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</si>
  <si>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</si>
  <si>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</si>
  <si>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</si>
  <si>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</si>
  <si>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</si>
  <si>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</si>
  <si>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</si>
  <si>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</si>
  <si>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</si>
  <si>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</si>
  <si>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</si>
  <si>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</si>
  <si>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</si>
  <si>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</si>
  <si>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</si>
  <si>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</si>
  <si>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</si>
  <si>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</si>
  <si>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</si>
  <si>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</si>
  <si>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</si>
  <si>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</si>
  <si>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</si>
  <si>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</si>
  <si>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</si>
  <si>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</si>
  <si>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</si>
  <si>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</si>
  <si>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</si>
  <si>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</si>
  <si>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</si>
  <si>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</si>
  <si>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</si>
  <si>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</si>
  <si>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</si>
  <si>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</si>
  <si>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</si>
  <si>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</si>
  <si>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</si>
  <si>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</si>
  <si>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</si>
  <si>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</si>
  <si>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</si>
  <si>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</si>
  <si>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</si>
  <si>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</si>
  <si>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</si>
  <si>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</si>
  <si>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</si>
  <si>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</si>
  <si>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</si>
  <si>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</si>
  <si>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</si>
  <si>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</si>
  <si>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</si>
  <si>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</si>
  <si>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</si>
  <si>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</si>
  <si>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</si>
  <si>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</si>
  <si>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</si>
  <si>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</si>
  <si>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</si>
  <si>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</si>
  <si>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</si>
  <si>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</si>
  <si>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</si>
  <si>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</si>
  <si>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</si>
  <si>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</si>
  <si>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</si>
  <si>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</si>
  <si>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</si>
  <si>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</si>
  <si>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</si>
  <si>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</si>
  <si>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</si>
  <si>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</si>
  <si>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</si>
  <si>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</si>
  <si>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</si>
  <si>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</si>
  <si>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</si>
  <si>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</si>
  <si>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</si>
  <si>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</si>
  <si>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</si>
  <si>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</si>
  <si>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35050 - TOULON</t>
  </si>
  <si>
    <t>Precios Netos, con descuentos aplicados y a falta de impuestos</t>
  </si>
  <si>
    <t>Ecoventanas Morsán</t>
  </si>
  <si>
    <t>P3 Baño - Victor</t>
  </si>
  <si>
    <t>35021 - Condena + embellecedor</t>
  </si>
  <si>
    <t>35002 - Kit Hoja condena</t>
  </si>
  <si>
    <t>35000 - Kit Marco condena</t>
  </si>
  <si>
    <t>No</t>
  </si>
  <si>
    <t>1850x2500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</si>
</sst>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13</xdr:row>
      <xdr:rowOff>114300</xdr:rowOff>
    </xdr:from>
    <xdr:to>
      <xdr:col>4</xdr:col>
      <xdr:colOff>463760</xdr:colOff>
      <xdr:row>24</xdr:row>
      <xdr:rowOff>178800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28C8B3-47FA-9FC5-5391-4EE44196E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0700" y="2743200"/>
          <a:ext cx="1854410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Normal="95" zoomScaleSheetLayoutView="100" workbookViewId="0">
      <selection activeCell="F24" sqref="F24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20250053</v>
      </c>
      <c r="G7" s="8">
        <f ca="1">TODAY()</f>
        <v>45743</v>
      </c>
    </row>
    <row r="8" spans="1:12" x14ac:dyDescent="0.25">
      <c r="B8" s="9" t="s">
        <v>6</v>
      </c>
      <c r="C8" s="10" t="s">
        <v>1442</v>
      </c>
    </row>
    <row r="9" spans="1:12" x14ac:dyDescent="0.25">
      <c r="B9" s="3" t="s">
        <v>7</v>
      </c>
      <c r="C9" s="10" t="s">
        <v>1443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90</v>
      </c>
      <c r="C13" s="78" t="str">
        <f>IFERROR(VLOOKUP($B13,Tarifa_all_20240711!$A$2:$G$660,2,FALSE()),"-")</f>
        <v>MARCO PA PICAP/COND LAC.NEGRO TEXTURADO</v>
      </c>
      <c r="D13" s="78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1433</v>
      </c>
      <c r="B14" s="16" t="s">
        <v>104</v>
      </c>
      <c r="C14" s="78" t="str">
        <f>IFERROR(VLOOKUP($B14,Tarifa_all_20240711!$A$2:$G$660,2,FALSE()),"-")</f>
        <v>KIT PA PIVOTANTE PICAP/COND LAC.NEGRO TEXTURADO</v>
      </c>
      <c r="D14" s="78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1434</v>
      </c>
      <c r="B15" s="16" t="s">
        <v>1096</v>
      </c>
      <c r="C15" s="78" t="str">
        <f>IFERROR(VLOOKUP($B15,Tarifa_all_20240711!$A$2:$G$660,2,FALSE()),"-")</f>
        <v>PA CERRAD+EMB.CONDENA LAC.NEGRO TEXTURADO</v>
      </c>
      <c r="D15" s="78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1435</v>
      </c>
      <c r="B16" s="16"/>
      <c r="C16" s="78" t="str">
        <f>IFERROR(VLOOKUP($B16,Tarifa_all_20240711!$A$2:$G$660,2,FALSE()),"-")</f>
        <v>-</v>
      </c>
      <c r="D16" s="78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349</v>
      </c>
      <c r="C17" s="78" t="str">
        <f>IFERROR(VLOOKUP($B17,Tarifa_all_20240711!$A$2:$G$660,2,FALSE()),"-")</f>
        <v>MANETA TOULON LAC.NEGRO MATE</v>
      </c>
      <c r="D17" s="78"/>
      <c r="E17" s="17">
        <v>1</v>
      </c>
      <c r="F17" s="18">
        <f>IFERROR(VLOOKUP($B17,Tarifa_all_20240711!$A$2:$G$660,5,FALSE()),"-")</f>
        <v>74.527500000000003</v>
      </c>
      <c r="G17" s="18">
        <f t="shared" si="0"/>
        <v>74.527500000000003</v>
      </c>
      <c r="H17" s="1"/>
    </row>
    <row r="18" spans="1:8" x14ac:dyDescent="0.25">
      <c r="A18" t="s">
        <v>14</v>
      </c>
      <c r="B18" s="16"/>
      <c r="C18" s="78" t="str">
        <f>IFERROR(VLOOKUP($B18,Tarifa_all_20240711!$A$2:$G$660,2,FALSE()),"-")</f>
        <v>-</v>
      </c>
      <c r="D18" s="78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 t="s">
        <v>444</v>
      </c>
      <c r="C19" s="78" t="str">
        <f>IFERROR(VLOOKUP($B19,Tarifa_all_20240711!$A$2:$G$660,2,FALSE()),"-")</f>
        <v>MARCO FIJOS 35MM D-DECOR FIJO NEGRO TEXT 3 MTS</v>
      </c>
      <c r="D19" s="78"/>
      <c r="E19" s="17">
        <v>3</v>
      </c>
      <c r="F19" s="18">
        <f>IFERROR(VLOOKUP($B19,Tarifa_all_20240711!$A$2:$G$660,5,FALSE()),"-")</f>
        <v>27.712500000000002</v>
      </c>
      <c r="G19" s="18">
        <f t="shared" si="0"/>
        <v>83.137500000000003</v>
      </c>
      <c r="H19" s="1"/>
    </row>
    <row r="20" spans="1:8" x14ac:dyDescent="0.25">
      <c r="B20" s="16" t="s">
        <v>424</v>
      </c>
      <c r="C20" s="78" t="str">
        <f>IFERROR(VLOOKUP($B20,Tarifa_all_20240711!$A$2:$G$660,2,FALSE()),"-")</f>
        <v>ANCLAJE TAPA 35MM D-DECOR FIJO NEGRO TEXT 3 MTS</v>
      </c>
      <c r="D20" s="78"/>
      <c r="E20" s="17">
        <v>3</v>
      </c>
      <c r="F20" s="18">
        <f>IFERROR(VLOOKUP($B20,Tarifa_all_20240711!$A$2:$G$660,5,FALSE()),"-")</f>
        <v>13.4175</v>
      </c>
      <c r="G20" s="18">
        <f t="shared" si="0"/>
        <v>40.252499999999998</v>
      </c>
      <c r="H20" s="1"/>
    </row>
    <row r="21" spans="1:8" x14ac:dyDescent="0.25">
      <c r="B21" s="16" t="s">
        <v>464</v>
      </c>
      <c r="C21" s="78" t="str">
        <f>IFERROR(VLOOKUP($B21,Tarifa_all_20240711!$A$2:$G$660,2,FALSE()),"-")</f>
        <v>TAPA MARCO 35MM D-DECOR FIJO NEGRO TEXT 3 MTS</v>
      </c>
      <c r="D21" s="78"/>
      <c r="E21" s="17">
        <v>3</v>
      </c>
      <c r="F21" s="18">
        <f>IFERROR(VLOOKUP($B21,Tarifa_all_20240711!$A$2:$G$660,5,FALSE()),"-")</f>
        <v>11.3025</v>
      </c>
      <c r="G21" s="18">
        <f t="shared" si="0"/>
        <v>33.907499999999999</v>
      </c>
      <c r="H21" s="1"/>
    </row>
    <row r="22" spans="1:8" x14ac:dyDescent="0.25">
      <c r="B22" s="16" t="s">
        <v>282</v>
      </c>
      <c r="C22" s="78" t="str">
        <f>IFERROR(VLOOKUP($B22,Tarifa_all_20240711!$A$2:$G$660,2,FALSE()),"-")</f>
        <v>Tope Domo Decor</v>
      </c>
      <c r="D22" s="78"/>
      <c r="E22" s="17">
        <v>4</v>
      </c>
      <c r="F22" s="18">
        <f>IFERROR(VLOOKUP($B22,Tarifa_all_20240711!$A$2:$G$660,5,FALSE()),"-")</f>
        <v>1.4175</v>
      </c>
      <c r="G22" s="18">
        <f t="shared" si="0"/>
        <v>5.67</v>
      </c>
      <c r="H22" s="1"/>
    </row>
    <row r="23" spans="1:8" x14ac:dyDescent="0.25">
      <c r="B23" s="16" t="s">
        <v>284</v>
      </c>
      <c r="C23" s="78" t="str">
        <f>IFERROR(VLOOKUP($B23,Tarifa_all_20240711!$A$2:$G$660,2,FALSE()),"-")</f>
        <v>PERFIL 3 MTS REDUCTOR PARA VIDRIO 6mm</v>
      </c>
      <c r="D23" s="78"/>
      <c r="E23" s="17">
        <v>3</v>
      </c>
      <c r="F23" s="18">
        <f>IFERROR(VLOOKUP($B23,Tarifa_all_20240711!$A$2:$G$660,5,FALSE()),"-")</f>
        <v>3.4275000000000002</v>
      </c>
      <c r="G23" s="18">
        <f t="shared" si="0"/>
        <v>10.282500000000001</v>
      </c>
      <c r="H23" s="1"/>
    </row>
    <row r="24" spans="1:8" x14ac:dyDescent="0.25">
      <c r="B24" s="16">
        <v>31229</v>
      </c>
      <c r="C24" s="78" t="str">
        <f>IFERROR(VLOOKUP($B24,Tarifa_all_20240711!$A$2:$G$660,2,FALSE()),"-")</f>
        <v>COMPLEMENTO FIJACION DOMO DECOR: BARRAS 3 MTS</v>
      </c>
      <c r="D24" s="78"/>
      <c r="E24" s="17">
        <v>4</v>
      </c>
      <c r="F24" s="18">
        <f>IFERROR(VLOOKUP($B24,Tarifa_all_20240711!$A$2:$G$660,5,FALSE()),"-")</f>
        <v>11.317499999999999</v>
      </c>
      <c r="G24" s="18">
        <f t="shared" si="0"/>
        <v>45.269999999999996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970.23750000000007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1441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zoomScaleNormal="100" zoomScaleSheetLayoutView="100" workbookViewId="0">
      <selection activeCell="F18" sqref="F1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Ecoventanas Morsán</v>
      </c>
      <c r="C9" s="87"/>
      <c r="D9" s="87"/>
      <c r="F9" s="3" t="s">
        <v>73</v>
      </c>
      <c r="G9" s="44">
        <f ca="1">TODAY()</f>
        <v>45743</v>
      </c>
    </row>
    <row r="10" spans="1:7" x14ac:dyDescent="0.25">
      <c r="A10" s="3" t="s">
        <v>74</v>
      </c>
      <c r="B10" s="11" t="str">
        <f>'DESPIECE (MATANALYSIS)'!C9</f>
        <v>P3 Baño - Victor</v>
      </c>
      <c r="C10" s="45"/>
      <c r="D10" s="45"/>
      <c r="E10" s="46"/>
      <c r="F10" s="47" t="s">
        <v>75</v>
      </c>
      <c r="G10" s="7">
        <f>'DESPIECE (MATANALYSIS)'!C7</f>
        <v>20250053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1446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1445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 t="s">
        <v>1440</v>
      </c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1447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2"/>
      <c r="B45" s="82"/>
      <c r="C45" s="72"/>
      <c r="D45" s="72"/>
      <c r="E45" s="72"/>
      <c r="F45" s="73"/>
      <c r="G45" s="74"/>
    </row>
    <row r="46" spans="1:7" ht="22.7" customHeight="1" x14ac:dyDescent="0.25">
      <c r="A46" s="83" t="s">
        <v>83</v>
      </c>
      <c r="B46" s="83"/>
      <c r="C46" s="59"/>
      <c r="D46" s="59"/>
      <c r="E46" s="59"/>
      <c r="F46" s="84">
        <f>'DESPIECE (MATANALYSIS)'!G31</f>
        <v>970.23750000000007</v>
      </c>
      <c r="G46" s="84"/>
    </row>
    <row r="47" spans="1:7" s="1" customFormat="1" ht="22.7" customHeight="1" x14ac:dyDescent="0.25">
      <c r="A47" s="85" t="s">
        <v>84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2025-03-27T17:06:24Z</dcterms:modified>
  <dc:language>es-ES</dc:language>
</cp:coreProperties>
</file>