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6\calculos\1\"/>
    </mc:Choice>
  </mc:AlternateContent>
  <xr:revisionPtr revIDLastSave="0" documentId="13_ncr:1_{CE2AA4FF-7035-473E-AF1C-036C301BB3A0}" xr6:coauthVersionLast="47" xr6:coauthVersionMax="47" xr10:uidLastSave="{00000000-0000-0000-0000-000000000000}"/>
  <bookViews>
    <workbookView xWindow="5100" yWindow="118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<sst xmlns="http://schemas.openxmlformats.org/spreadsheetml/2006/main" count="5404" uniqueCount="1455">
  <si>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</si>
  <si>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</si>
  <si>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</si>
  <si>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</si>
  <si>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</si>
  <si>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</si>
  <si>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</si>
  <si>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</si>
  <si>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</si>
  <si>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</si>
  <si>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</si>
  <si>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</si>
  <si>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</si>
  <si>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</si>
  <si>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</si>
  <si>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</si>
  <si>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</si>
  <si>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</si>
  <si>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</si>
  <si>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</si>
  <si>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</si>
  <si>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</si>
  <si>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</si>
  <si>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</si>
  <si>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</si>
  <si>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</si>
  <si>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</si>
  <si>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</si>
  <si>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</si>
  <si>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</si>
  <si>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</si>
  <si>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</si>
  <si>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</si>
  <si>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</si>
  <si>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</si>
  <si>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</si>
  <si>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</si>
  <si>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</si>
  <si>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</si>
  <si>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</si>
  <si>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</si>
  <si>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</si>
  <si>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</si>
  <si>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</si>
  <si>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</si>
  <si>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</si>
  <si>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</si>
  <si>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</si>
  <si>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</si>
  <si>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</si>
  <si>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</si>
  <si>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</si>
  <si>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</si>
  <si>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</si>
  <si>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</si>
  <si>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</si>
  <si>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</si>
  <si>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</si>
  <si>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</si>
  <si>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</si>
  <si>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</si>
  <si>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</si>
  <si>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</si>
  <si>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</si>
  <si>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</si>
  <si>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</si>
  <si>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</si>
  <si>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</si>
  <si>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</si>
  <si>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</si>
  <si>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</si>
  <si>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</si>
  <si>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</si>
  <si>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</si>
  <si>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</si>
  <si>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</si>
  <si>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</si>
  <si>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</si>
  <si>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</si>
  <si>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</si>
  <si>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</si>
  <si>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</si>
  <si>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</si>
  <si>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</si>
  <si>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</si>
  <si>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</si>
  <si>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</si>
  <si>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</si>
  <si>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</si>
  <si>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</si>
  <si>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</si>
  <si>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</si>
  <si>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</si>
  <si>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</si>
  <si>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</si>
  <si>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</si>
  <si>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</si>
  <si>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</si>
  <si>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</si>
  <si>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</si>
  <si>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</si>
  <si>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</si>
  <si>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</si>
  <si>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</si>
  <si>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</si>
  <si>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</si>
  <si>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</si>
  <si>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</si>
  <si>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</si>
  <si>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</si>
  <si>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</si>
  <si>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</si>
  <si>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</si>
  <si>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</si>
  <si>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</si>
  <si>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</si>
  <si>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</si>
  <si>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</si>
  <si>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</si>
  <si>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</si>
  <si>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</si>
  <si>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</si>
  <si>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</si>
  <si>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</si>
  <si>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</si>
  <si>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</si>
  <si>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</si>
  <si>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</si>
  <si>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</si>
  <si>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</si>
  <si>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</si>
  <si>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</si>
  <si>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</si>
  <si>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</si>
  <si>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</si>
  <si>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</si>
  <si>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</si>
  <si>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</si>
  <si>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</si>
  <si>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</si>
  <si>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</si>
  <si>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</si>
  <si>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</si>
  <si>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</si>
  <si>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</si>
  <si>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</si>
  <si>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</si>
  <si>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</si>
  <si>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</si>
  <si>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</si>
  <si>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</si>
  <si>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</si>
  <si>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</si>
  <si>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</si>
  <si>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</si>
  <si>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</si>
  <si>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</si>
  <si>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</si>
  <si>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</si>
  <si>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</si>
  <si>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</si>
  <si>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</si>
  <si>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</si>
  <si>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</si>
  <si>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</si>
  <si>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</si>
  <si>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</si>
  <si>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</si>
  <si>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</si>
  <si>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</si>
  <si>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</si>
  <si>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</si>
  <si>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</si>
  <si>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</si>
  <si>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</si>
  <si>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</si>
  <si>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</si>
  <si>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</si>
  <si>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</si>
  <si>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</si>
  <si>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</si>
  <si>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</si>
  <si>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</si>
  <si>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</si>
  <si>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</si>
  <si>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</si>
  <si>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</si>
  <si>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</si>
  <si>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</si>
  <si>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</si>
  <si>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</si>
  <si>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</si>
  <si>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</si>
  <si>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</si>
  <si>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</si>
  <si>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</si>
  <si>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</si>
  <si>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</si>
  <si>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</si>
  <si>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</si>
  <si>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</si>
  <si>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</si>
  <si>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</si>
  <si>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</si>
  <si>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</si>
  <si>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</si>
  <si>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</si>
  <si>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</si>
  <si>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</si>
  <si>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</si>
  <si>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</si>
  <si>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</si>
  <si>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</si>
  <si>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</si>
  <si>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</si>
  <si>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</si>
  <si>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</si>
  <si>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</si>
  <si>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</si>
  <si>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</si>
  <si>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</si>
  <si>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</si>
  <si>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</si>
  <si>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</si>
  <si>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</si>
  <si>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</si>
  <si>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</si>
  <si>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</si>
  <si>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</si>
  <si>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</si>
  <si>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</si>
  <si>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</si>
  <si>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</si>
  <si>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</si>
  <si>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</si>
  <si>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</si>
  <si>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</si>
  <si>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</si>
  <si>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</si>
  <si>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</si>
  <si>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</si>
  <si>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</si>
  <si>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</si>
  <si>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</si>
  <si>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</si>
  <si>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</si>
  <si>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</si>
  <si>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</si>
  <si>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</si>
  <si>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</si>
  <si>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</si>
  <si>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</si>
  <si>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</si>
  <si>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</si>
  <si>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</si>
  <si>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</si>
  <si>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</si>
  <si>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</si>
  <si>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</si>
  <si>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</si>
  <si>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</si>
  <si>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</si>
  <si>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</si>
  <si>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</si>
  <si>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</si>
  <si>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</si>
  <si>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</si>
  <si>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</si>
  <si>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</si>
  <si>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</si>
  <si>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</si>
  <si>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</si>
  <si>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</si>
  <si>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</si>
  <si>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</si>
  <si>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</si>
  <si>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</si>
  <si>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</si>
  <si>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</si>
  <si>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</si>
  <si>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</si>
  <si>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</si>
  <si>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</si>
  <si>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</si>
  <si>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</si>
  <si>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</si>
  <si>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</si>
  <si>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</si>
  <si>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</si>
  <si>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</si>
  <si>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</si>
  <si>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</si>
  <si>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</si>
  <si>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</si>
  <si>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</si>
  <si>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</si>
  <si>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</si>
  <si>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</si>
  <si>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</si>
  <si>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</si>
  <si>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</si>
  <si>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</si>
  <si>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</si>
  <si>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</si>
  <si>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</si>
  <si>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</si>
  <si>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</si>
  <si>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</si>
  <si>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</si>
  <si>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</si>
  <si>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</si>
  <si>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</si>
  <si>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</si>
  <si>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</si>
  <si>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</si>
  <si>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</si>
  <si>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</si>
  <si>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</si>
  <si>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</si>
  <si>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</si>
  <si>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</si>
  <si>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</si>
  <si>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</si>
  <si>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</si>
  <si>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</si>
  <si>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</si>
  <si>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</si>
  <si>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</si>
  <si>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</si>
  <si>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</si>
  <si>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</si>
  <si>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</si>
  <si>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</si>
  <si>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</si>
  <si>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</si>
  <si>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</si>
  <si>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</si>
  <si>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</si>
  <si>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</si>
  <si>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</si>
  <si>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</si>
  <si>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</si>
  <si>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</si>
  <si>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</si>
  <si>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</si>
  <si>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</si>
  <si>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</si>
  <si>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</si>
  <si>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</si>
  <si>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</si>
  <si>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</si>
  <si>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</si>
  <si>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</si>
  <si>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</si>
  <si>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</si>
  <si>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</si>
  <si>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</si>
  <si>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</si>
  <si>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</si>
  <si>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</si>
  <si>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</si>
  <si>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</si>
  <si>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</si>
  <si>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</si>
  <si>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</si>
  <si>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</si>
  <si>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</si>
  <si>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</si>
  <si>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</si>
  <si>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</si>
  <si>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</si>
  <si>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</si>
  <si>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</si>
  <si>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</si>
  <si>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</si>
  <si>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</si>
  <si>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</si>
  <si>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</si>
  <si>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</si>
  <si>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</si>
  <si>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</si>
  <si>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</si>
  <si>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</si>
  <si>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</si>
  <si>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</si>
  <si>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</si>
  <si>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</si>
  <si>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</si>
  <si>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</si>
  <si>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</si>
  <si>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</si>
  <si>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</si>
  <si>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</si>
  <si>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</si>
  <si>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</si>
  <si>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</si>
  <si>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</si>
  <si>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</si>
  <si>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</si>
  <si>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</si>
  <si>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</si>
  <si>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</si>
  <si>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</si>
  <si>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</si>
  <si>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</si>
  <si>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</si>
  <si>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</si>
  <si>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</si>
  <si>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</si>
  <si>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</si>
  <si>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</si>
  <si>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</si>
  <si>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</si>
  <si>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</si>
  <si>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</si>
  <si>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</si>
  <si>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</si>
  <si>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</si>
  <si>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</si>
  <si>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</si>
  <si>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</si>
  <si>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</si>
  <si>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</si>
  <si>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</si>
  <si>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</si>
  <si>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</si>
  <si>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</si>
  <si>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</si>
  <si>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</si>
  <si>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</si>
  <si>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</si>
  <si>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</si>
  <si>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</si>
  <si>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</si>
  <si>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</si>
  <si>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</si>
  <si>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</si>
  <si>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</si>
  <si>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</si>
  <si>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</si>
  <si>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</si>
  <si>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</si>
  <si>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</si>
  <si>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</si>
  <si>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</si>
  <si>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</si>
  <si>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</si>
  <si>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</si>
  <si>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</si>
  <si>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</si>
  <si>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</si>
  <si>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</si>
  <si>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</si>
  <si>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</si>
  <si>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</si>
  <si>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</si>
  <si>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</si>
  <si>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</si>
  <si>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</si>
  <si>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</si>
  <si>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</si>
  <si>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</si>
  <si>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</si>
  <si>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</si>
  <si>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</si>
  <si>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</si>
  <si>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</si>
  <si>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</si>
  <si>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</si>
  <si>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</si>
  <si>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</si>
  <si>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</si>
  <si>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</si>
  <si>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</si>
  <si>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</si>
  <si>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</si>
  <si>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</si>
  <si>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</si>
  <si>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</si>
  <si>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</si>
  <si>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</si>
  <si>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</si>
  <si>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</si>
  <si>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</si>
  <si>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</si>
  <si>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</si>
  <si>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</si>
  <si>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</si>
  <si>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</si>
  <si>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</si>
  <si>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</si>
  <si>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</si>
  <si>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</si>
  <si>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</si>
  <si>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</si>
  <si>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</si>
  <si>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</si>
  <si>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</si>
  <si>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</si>
  <si>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</si>
  <si>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</si>
  <si>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</si>
  <si>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</si>
  <si>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</si>
  <si>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</si>
  <si>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</si>
  <si>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</si>
  <si>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</si>
  <si>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</si>
  <si>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</si>
  <si>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</si>
  <si>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</si>
  <si>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</si>
  <si>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</si>
  <si>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</si>
  <si>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</si>
  <si>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</si>
  <si>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</si>
  <si>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</si>
  <si>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</si>
  <si>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</si>
  <si>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</si>
  <si>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</si>
  <si>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</si>
  <si>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</si>
  <si>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</si>
  <si>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</si>
  <si>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</si>
  <si>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</si>
  <si>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</si>
  <si>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</si>
  <si>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</si>
  <si>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</si>
  <si>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</si>
  <si>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</si>
  <si>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</si>
  <si>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</si>
  <si>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</si>
  <si>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</si>
  <si>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</si>
  <si>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</si>
  <si>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</si>
  <si>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</si>
  <si>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</si>
  <si>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</si>
  <si>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</si>
  <si>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</si>
  <si>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</si>
  <si>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</si>
  <si>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</si>
  <si>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</si>
  <si>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</si>
  <si>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</si>
  <si>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</si>
  <si>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</si>
  <si>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</si>
  <si>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</si>
  <si>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</si>
  <si>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</si>
  <si>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</si>
  <si>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</si>
  <si>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</si>
  <si>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</si>
  <si>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</si>
  <si>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</si>
  <si>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</si>
  <si>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</si>
  <si>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</si>
  <si>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</si>
  <si>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</si>
  <si>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</si>
  <si>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</si>
  <si>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</si>
  <si>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</si>
  <si>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</si>
  <si>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</si>
  <si>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</si>
  <si>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</si>
  <si>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</si>
  <si>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</si>
  <si>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</si>
  <si>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</si>
  <si>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</si>
  <si>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</si>
  <si>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</si>
  <si>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</si>
  <si>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</si>
  <si>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</si>
  <si>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</si>
  <si>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</si>
  <si>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</si>
  <si>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</si>
  <si>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</si>
  <si>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</si>
  <si>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</si>
  <si>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</si>
  <si>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</si>
  <si>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</si>
  <si>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</si>
  <si>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</si>
  <si>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</si>
  <si>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</si>
  <si>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</si>
  <si>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</si>
  <si>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</si>
  <si>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</si>
  <si>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</si>
  <si>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</si>
  <si>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</si>
  <si>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</si>
  <si>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</si>
  <si>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</si>
  <si>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</si>
  <si>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</si>
  <si>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</si>
  <si>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</si>
  <si>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</si>
  <si>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</si>
  <si>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</si>
  <si>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</si>
  <si>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</si>
  <si>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</si>
  <si>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</si>
  <si>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</si>
  <si>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</si>
  <si>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</si>
  <si>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</si>
  <si>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</si>
  <si>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</si>
  <si>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</si>
  <si>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</si>
  <si>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</si>
  <si>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</si>
  <si>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</si>
  <si>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</si>
  <si>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</si>
  <si>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</si>
  <si>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</si>
  <si>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</si>
  <si>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</si>
  <si>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</si>
  <si>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</si>
  <si>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</si>
  <si>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</si>
  <si>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</si>
  <si>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</si>
  <si>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</si>
  <si>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</si>
  <si>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</si>
  <si>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</si>
  <si>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</si>
  <si>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</si>
  <si>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</si>
  <si>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</si>
  <si>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</si>
  <si>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</si>
  <si>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</si>
  <si>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</si>
  <si>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</si>
  <si>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</si>
  <si>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</si>
  <si>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</si>
  <si>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</si>
  <si>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</si>
  <si>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</si>
  <si>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</si>
  <si>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</si>
  <si>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</si>
  <si>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</si>
  <si>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</si>
  <si>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</si>
  <si>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</si>
  <si>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</si>
  <si>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</si>
  <si>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</si>
  <si>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</si>
  <si>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</si>
  <si>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</si>
  <si>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</si>
  <si>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</si>
  <si>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</si>
  <si>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</si>
  <si>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</si>
  <si>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</si>
  <si>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</si>
  <si>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</si>
  <si>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</si>
  <si>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</si>
  <si>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</si>
  <si>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</si>
  <si>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</si>
  <si>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</si>
  <si>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</si>
  <si>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</si>
  <si>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</si>
  <si>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</si>
  <si>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</si>
  <si>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</si>
  <si>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</si>
  <si>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</si>
  <si>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</si>
  <si>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</si>
  <si>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</si>
  <si>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</si>
  <si>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</si>
  <si>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</si>
  <si>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</si>
  <si>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</si>
  <si>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</si>
  <si>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</si>
  <si>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</si>
  <si>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</si>
  <si>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</si>
  <si>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</si>
  <si>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</si>
  <si>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</si>
  <si>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</si>
  <si>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</si>
  <si>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</si>
  <si>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</si>
  <si>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</si>
  <si>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</si>
  <si>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</si>
  <si>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</si>
  <si>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</si>
  <si>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</si>
  <si>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</si>
  <si>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</si>
  <si>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</si>
  <si>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</si>
  <si>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</si>
  <si>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</si>
  <si>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</si>
  <si>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</si>
  <si>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</si>
  <si>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</si>
  <si>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</si>
  <si>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</si>
  <si>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</si>
  <si>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</si>
  <si>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</si>
  <si>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</si>
  <si>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</si>
  <si>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</si>
  <si>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</si>
  <si>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</si>
  <si>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</si>
  <si>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</si>
  <si>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</si>
  <si>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</si>
  <si>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</si>
  <si>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</si>
  <si>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</si>
  <si>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</si>
  <si>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</si>
  <si>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</si>
  <si>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</si>
  <si>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</si>
  <si>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</si>
  <si>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</si>
  <si>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</si>
  <si>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</si>
  <si>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</si>
  <si>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</si>
  <si>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</si>
  <si>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</si>
  <si>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</si>
  <si>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</si>
  <si>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</si>
  <si>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</si>
  <si>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</si>
  <si>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</si>
  <si>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</si>
  <si>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</si>
  <si>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</si>
  <si>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</si>
  <si>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</si>
  <si>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</si>
  <si>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</si>
  <si>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</si>
  <si>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</si>
  <si>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</si>
  <si>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</si>
  <si>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</si>
  <si>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</si>
  <si>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</si>
  <si>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</si>
  <si>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</si>
  <si>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</si>
  <si>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</si>
  <si>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</si>
  <si>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</si>
  <si>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</si>
  <si>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</si>
  <si>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</si>
  <si>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</si>
  <si>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</si>
  <si>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</si>
  <si>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</si>
  <si>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</si>
  <si>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</si>
  <si>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</si>
  <si>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</si>
  <si>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</si>
  <si>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</si>
  <si>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</si>
  <si>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</si>
  <si>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</si>
  <si>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</si>
  <si>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</si>
  <si>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</si>
  <si>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</si>
  <si>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</si>
  <si>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</si>
  <si>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</si>
  <si>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</si>
  <si>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</si>
  <si>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</si>
  <si>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</si>
  <si>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</si>
  <si>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</si>
  <si>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</si>
  <si>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</si>
  <si>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</si>
  <si>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</si>
  <si>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</si>
  <si>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</si>
  <si>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</si>
  <si>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</si>
  <si>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</si>
  <si>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</si>
  <si>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</si>
  <si>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</si>
  <si>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</si>
  <si>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</si>
  <si>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</si>
  <si>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</si>
  <si>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</si>
  <si>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</si>
  <si>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</si>
  <si>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</si>
  <si>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</si>
  <si>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</si>
  <si>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</si>
  <si>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</si>
  <si>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</si>
  <si>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</si>
  <si>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</si>
  <si>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</si>
  <si>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</si>
  <si>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</si>
  <si>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</si>
  <si>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</si>
  <si>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</si>
  <si>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</si>
  <si>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</si>
  <si>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</si>
  <si>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</si>
  <si>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</si>
  <si>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</si>
  <si>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</si>
  <si>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</si>
  <si>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</si>
  <si>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</si>
  <si>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</si>
  <si>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</si>
  <si>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</si>
  <si>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</si>
  <si>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</si>
  <si>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</si>
  <si>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</si>
  <si>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</si>
  <si>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</si>
  <si>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</si>
  <si>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</si>
  <si>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</si>
  <si>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</si>
  <si>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</si>
  <si>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</si>
  <si>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</si>
  <si>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</si>
  <si>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</si>
  <si>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</si>
  <si>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</si>
  <si>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</si>
  <si>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</si>
  <si>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</si>
  <si>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</si>
  <si>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</si>
  <si>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</si>
  <si>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</si>
  <si>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</si>
  <si>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</si>
  <si>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</si>
  <si>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</si>
  <si>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</si>
  <si>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</si>
  <si>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</si>
  <si>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</si>
  <si>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</si>
  <si>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</si>
  <si>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</si>
  <si>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</si>
  <si>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</si>
  <si>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</si>
  <si>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</si>
  <si>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</si>
  <si>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</si>
  <si>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</si>
  <si>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</si>
  <si>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</si>
  <si>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</si>
  <si>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</si>
  <si>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</si>
  <si>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</si>
  <si>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</si>
  <si>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</si>
  <si>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</si>
  <si>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</si>
  <si>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</si>
  <si>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</si>
  <si>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</si>
  <si>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</si>
  <si>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</si>
  <si>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</si>
  <si>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</si>
  <si>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</si>
  <si>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</si>
  <si>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</si>
  <si>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</si>
  <si>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</si>
  <si>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</si>
  <si>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</si>
  <si>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</si>
  <si>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</si>
  <si>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</si>
  <si>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</si>
  <si>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</si>
  <si>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</si>
  <si>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</si>
  <si>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</si>
  <si>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</si>
  <si>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</si>
  <si>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</si>
  <si>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</si>
  <si>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</si>
  <si>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</si>
  <si>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</si>
  <si>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</si>
  <si>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</si>
  <si>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</si>
  <si>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</si>
  <si>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</si>
  <si>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</si>
  <si>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</si>
  <si>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</si>
  <si>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</si>
  <si>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</si>
  <si>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</si>
  <si>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</si>
  <si>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</si>
  <si>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</si>
  <si>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</si>
  <si>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</si>
  <si>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</si>
  <si>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</si>
  <si>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</si>
  <si>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</si>
  <si>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</si>
  <si>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</si>
  <si>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</si>
  <si>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</si>
  <si>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</si>
  <si>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</si>
  <si>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</si>
  <si>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</si>
  <si>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</si>
  <si>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</si>
  <si>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</si>
  <si>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</si>
  <si>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</si>
  <si>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</si>
  <si>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</si>
  <si>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</si>
  <si>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</si>
  <si>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</si>
  <si>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</si>
  <si>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</si>
  <si>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</si>
  <si>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</si>
  <si>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</si>
  <si>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</si>
  <si>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</si>
  <si>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</si>
  <si>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</si>
  <si>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</si>
  <si>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</si>
  <si>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</si>
  <si>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</si>
  <si>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</si>
  <si>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</si>
  <si>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</si>
  <si>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</si>
  <si>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</si>
  <si>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</si>
  <si>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</si>
  <si>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</si>
  <si>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</si>
  <si>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</si>
  <si>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</si>
  <si>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</si>
  <si>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</si>
  <si>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</si>
  <si>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</si>
  <si>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</si>
  <si>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</si>
  <si>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</si>
  <si>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</si>
  <si>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</si>
  <si>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</si>
  <si>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</si>
  <si>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</si>
  <si>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</si>
  <si>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</si>
  <si>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</si>
  <si>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</si>
  <si>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</si>
  <si>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</si>
  <si>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</si>
  <si>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</si>
  <si>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</si>
  <si>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</si>
  <si>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</si>
  <si>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</si>
  <si>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</si>
  <si>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</si>
  <si>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</si>
  <si>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</si>
  <si>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</si>
  <si>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</si>
  <si>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</si>
  <si>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</si>
  <si>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</si>
  <si>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</si>
  <si>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</si>
  <si>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</si>
  <si>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</si>
  <si>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</si>
  <si>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</si>
  <si>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</si>
  <si>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</si>
  <si>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</si>
  <si>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</si>
  <si>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</si>
  <si>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</si>
  <si>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</si>
  <si>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</si>
  <si>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</si>
  <si>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</si>
  <si>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</si>
  <si>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</si>
  <si>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</si>
  <si>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</si>
  <si>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</si>
  <si>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</si>
  <si>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</si>
  <si>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</si>
  <si>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</si>
  <si>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</si>
  <si>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</si>
  <si>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</si>
  <si>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</si>
  <si>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</si>
  <si>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</si>
  <si>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</si>
  <si>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</si>
  <si>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</si>
  <si>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</si>
  <si>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</si>
  <si>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</si>
  <si>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</si>
  <si>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</si>
  <si>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</si>
  <si>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</si>
  <si>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</si>
  <si>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</si>
  <si>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</si>
  <si>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</si>
  <si>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</si>
  <si>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</si>
  <si>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</si>
  <si>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</si>
  <si>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</si>
  <si>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</si>
  <si>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</si>
  <si>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</si>
  <si>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</si>
  <si>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</si>
  <si>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</si>
  <si>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</si>
  <si>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</si>
  <si>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</si>
  <si>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</si>
  <si>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</si>
  <si>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</si>
  <si>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</si>
  <si>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</si>
  <si>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</si>
  <si>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</si>
  <si>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</si>
  <si>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</si>
  <si>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</si>
  <si>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</si>
  <si>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</si>
  <si>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</si>
  <si>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</si>
  <si>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</si>
  <si>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</si>
  <si>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</si>
  <si>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</si>
  <si>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</si>
  <si>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</si>
  <si>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</si>
  <si>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</si>
  <si>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</si>
  <si>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</si>
  <si>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</si>
  <si>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</si>
  <si>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</si>
  <si>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</si>
  <si>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</si>
  <si>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</si>
  <si>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</si>
  <si>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</si>
  <si>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</si>
  <si>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</si>
  <si>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</si>
  <si>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</si>
  <si>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</si>
  <si>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</si>
  <si>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</si>
  <si>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</si>
  <si>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</si>
  <si>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</si>
  <si>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</si>
  <si>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</si>
  <si>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</si>
  <si>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</si>
  <si>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</si>
  <si>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</si>
  <si>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</si>
  <si>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</si>
  <si>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</si>
  <si>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</si>
  <si>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</si>
  <si>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</si>
  <si>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</si>
  <si>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</si>
  <si>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</si>
  <si>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</si>
  <si>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</si>
  <si>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</si>
  <si>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</si>
  <si>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</si>
  <si>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</si>
  <si>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</si>
  <si>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</si>
  <si>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</si>
  <si>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</si>
  <si>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</si>
  <si>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</si>
  <si>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</si>
  <si>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</si>
  <si>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</si>
  <si>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</si>
  <si>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</si>
  <si>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</si>
  <si>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</si>
  <si>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</si>
  <si>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</si>
  <si>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</si>
  <si>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</si>
  <si>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</si>
  <si>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</si>
  <si>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</si>
  <si>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</si>
  <si>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</si>
  <si>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</si>
  <si>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</si>
  <si>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</si>
  <si>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</si>
  <si>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</si>
  <si>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</si>
  <si>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</si>
  <si>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</si>
  <si>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</si>
  <si>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</si>
  <si>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</si>
  <si>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</si>
  <si>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</si>
  <si>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</si>
  <si>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</si>
  <si>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</si>
  <si>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</si>
  <si>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</si>
  <si>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</si>
  <si>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</si>
  <si>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</si>
  <si>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</si>
  <si>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</si>
  <si>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</si>
  <si>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</si>
  <si>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</si>
  <si>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</si>
  <si>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</si>
  <si>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</si>
  <si>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</si>
  <si>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</si>
  <si>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</si>
  <si>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</si>
  <si>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</si>
  <si>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</si>
  <si>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</si>
  <si>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</si>
  <si>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</si>
  <si>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</si>
  <si>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</si>
  <si>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</si>
  <si>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</si>
  <si>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</si>
  <si>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</si>
  <si>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</si>
  <si>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</si>
  <si>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</si>
  <si>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</si>
  <si>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</si>
  <si>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</si>
  <si>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</si>
  <si>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</si>
  <si>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</si>
  <si>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</si>
  <si>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</si>
  <si>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</si>
  <si>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</si>
  <si>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</si>
  <si>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</si>
  <si>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</si>
  <si>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</si>
  <si>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</si>
  <si>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</si>
  <si>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</si>
  <si>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</si>
  <si>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</si>
  <si>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</si>
  <si>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</si>
  <si>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</si>
  <si>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</si>
  <si>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</si>
  <si>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</si>
  <si>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</si>
  <si>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</si>
  <si>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</si>
  <si>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</si>
  <si>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</si>
  <si>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</si>
  <si>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</si>
  <si>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</si>
  <si>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</si>
  <si>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</si>
  <si>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</si>
  <si>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</si>
  <si>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</si>
  <si>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</si>
  <si>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</si>
  <si>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</si>
  <si>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</si>
  <si>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</si>
  <si>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</si>
  <si>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</si>
  <si>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</si>
  <si>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</si>
  <si>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</si>
  <si>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</si>
  <si>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</si>
  <si>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</si>
  <si>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</si>
  <si>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</si>
  <si>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</si>
  <si>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</si>
  <si>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</si>
  <si>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</si>
  <si>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</si>
  <si>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</si>
  <si>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</si>
  <si>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</si>
  <si>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</si>
  <si>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</si>
  <si>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</si>
  <si>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</si>
  <si>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</si>
  <si>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</si>
  <si>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</si>
  <si>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</si>
  <si>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</si>
  <si>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</si>
  <si>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</si>
  <si>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</si>
  <si>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</si>
  <si>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</si>
  <si>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</si>
  <si>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</si>
  <si>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</si>
  <si>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</si>
  <si>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</si>
  <si>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</si>
  <si>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</si>
  <si>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</si>
  <si>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</si>
  <si>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</si>
  <si>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</si>
  <si>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</si>
  <si>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</si>
  <si>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</si>
  <si>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</si>
  <si>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</si>
  <si>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</si>
  <si>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</si>
  <si>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</si>
  <si>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</si>
  <si>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</si>
  <si>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</si>
  <si>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</si>
  <si>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</si>
  <si>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</si>
  <si>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</si>
  <si>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</si>
  <si>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</si>
  <si>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</si>
  <si>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</si>
  <si>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</si>
  <si>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</si>
  <si>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</si>
  <si>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</si>
  <si>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</si>
  <si>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</si>
  <si>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</si>
  <si>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</si>
  <si>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</si>
  <si>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</si>
  <si>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</si>
  <si>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</si>
  <si>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</si>
  <si>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</si>
  <si>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</si>
  <si>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</si>
  <si>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</si>
  <si>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</si>
  <si>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</si>
  <si>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</si>
  <si>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</si>
  <si>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</si>
  <si>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</si>
  <si>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</si>
  <si>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</si>
  <si>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</si>
  <si>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</si>
  <si>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</si>
  <si>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</si>
  <si>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</si>
  <si>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</si>
  <si>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</si>
  <si>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</si>
  <si>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</si>
  <si>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</si>
  <si>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</si>
  <si>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</si>
  <si>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</si>
  <si>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</si>
  <si>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</si>
  <si>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</si>
  <si>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</si>
  <si>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</si>
  <si>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</si>
  <si>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</si>
  <si>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</si>
  <si>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</si>
  <si>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</si>
  <si>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</si>
  <si>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</si>
  <si>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</si>
  <si>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</si>
  <si>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</si>
  <si>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</si>
  <si>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</si>
  <si>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</si>
  <si>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</si>
  <si>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</si>
  <si>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</si>
  <si>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</si>
  <si>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</si>
  <si>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</si>
  <si>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</si>
  <si>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</si>
  <si>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</si>
  <si>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</si>
  <si>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</si>
  <si>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</si>
  <si>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</si>
  <si>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</si>
  <si>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</si>
  <si>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</si>
  <si>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</si>
  <si>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</si>
  <si>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</si>
  <si>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</si>
  <si>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</si>
  <si>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</si>
  <si>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</si>
  <si>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</si>
  <si>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</si>
  <si>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</si>
  <si>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</si>
  <si>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</si>
  <si>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</si>
  <si>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</si>
  <si>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</si>
  <si>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</si>
  <si>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</si>
  <si>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</si>
  <si>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</si>
  <si>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</si>
  <si>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</si>
  <si>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</si>
  <si>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</si>
  <si>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</si>
  <si>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</si>
  <si>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</si>
  <si>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</si>
  <si>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</si>
  <si>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</si>
  <si>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</si>
  <si>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</si>
  <si>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</si>
  <si>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</si>
  <si>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</si>
  <si>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</si>
  <si>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</si>
  <si>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Carp. Met. Bernabeu</t>
  </si>
  <si>
    <t>Despacho</t>
  </si>
  <si>
    <t>35037 - 60 Kgrs</t>
  </si>
  <si>
    <t>35054 - CAVE adhesivo</t>
  </si>
  <si>
    <t>Inferior</t>
  </si>
  <si>
    <t>2000x2300 mm</t>
  </si>
  <si>
    <t>35012 + 35011 - Empotrada  desmontable</t>
  </si>
  <si>
    <t>35040GDSA - 60 Kgrs.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</si>
</sst>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818029</xdr:colOff>
      <xdr:row>13</xdr:row>
      <xdr:rowOff>89647</xdr:rowOff>
    </xdr:from>
    <xdr:to>
      <xdr:col>6</xdr:col>
      <xdr:colOff>668050</xdr:colOff>
      <xdr:row>24</xdr:row>
      <xdr:rowOff>154147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2EEB9-8BAC-AA3C-345B-899ABDB19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029" y="2711823"/>
          <a:ext cx="447805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17" zoomScale="115" zoomScaleNormal="95" zoomScaleSheetLayoutView="115" workbookViewId="0">
      <selection activeCell="B18" sqref="B1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20250036</v>
      </c>
      <c r="G7" s="8">
        <f ca="1">TODAY()</f>
        <v>45705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0" t="str">
        <f>IFERROR(VLOOKUP($B13,Tarifa_all_20240711!$A$2:$G$660,2,FALSE()),"-")</f>
        <v>CARC.SIMPLE GUIA DESM.LAC.6 ESP.2-4 MTS</v>
      </c>
      <c r="D13" s="80"/>
      <c r="E13" s="17">
        <v>1</v>
      </c>
      <c r="F13" s="18">
        <f>IFERROR(VLOOKUP($B13,Tarifa_all_20240711!$A$2:$G$660,5,FALSE()),"-")</f>
        <v>128.07</v>
      </c>
      <c r="G13" s="18">
        <f t="shared" ref="G13:G30" si="0">IFERROR(E13*F13,"-")</f>
        <v>128.07</v>
      </c>
      <c r="H13" s="1"/>
    </row>
    <row r="14" spans="1:12" x14ac:dyDescent="0.25">
      <c r="A14" t="s">
        <v>15</v>
      </c>
      <c r="B14" s="16" t="s">
        <v>976</v>
      </c>
      <c r="C14" s="80" t="str">
        <f>IFERROR(VLOOKUP($B14,Tarifa_all_20240711!$A$2:$G$660,2,FALSE()),"-")</f>
        <v>GUIA SKY PLUS DESMONT.LAC.6 ESP.2-4 MTS</v>
      </c>
      <c r="D14" s="80"/>
      <c r="E14" s="17">
        <v>1</v>
      </c>
      <c r="F14" s="18">
        <f>IFERROR(VLOOKUP($B14,Tarifa_all_20240711!$A$2:$G$660,5,FALSE()),"-")</f>
        <v>95.8125</v>
      </c>
      <c r="G14" s="18">
        <f t="shared" si="0"/>
        <v>95.8125</v>
      </c>
      <c r="H14" s="1"/>
    </row>
    <row r="15" spans="1:12" x14ac:dyDescent="0.25">
      <c r="A15" t="s">
        <v>16</v>
      </c>
      <c r="B15" s="16" t="s">
        <v>293</v>
      </c>
      <c r="C15" s="80" t="str">
        <f>IFERROR(VLOOKUP($B15,Tarifa_all_20240711!$A$2:$G$660,2,FALSE()),"-")</f>
        <v>KIT ANCLAJE TECHO PARA GUIA PLADUR PLUS DEMONTABLE</v>
      </c>
      <c r="D15" s="80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562</v>
      </c>
      <c r="C16" s="80" t="str">
        <f>IFERROR(VLOOKUP($B16,Tarifa_all_20240711!$A$2:$G$660,2,FALSE()),"-")</f>
        <v>KIT AMORTIGUADOR SKY GUIA DESMONT. BIDIRECCIONAL 60KG</v>
      </c>
      <c r="D16" s="80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80" t="str">
        <f>IFERROR(VLOOKUP($B17,Tarifa_all_20240711!$A$2:$G$660,2,FALSE()),"-")</f>
        <v>KIT PUERTA PA CORREDERA LAC.NEGRO TEXTURADO</v>
      </c>
      <c r="D17" s="80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80" t="str">
        <f>IFERROR(VLOOKUP($B18,Tarifa_all_20240711!$A$2:$G$660,2,FALSE()),"-")</f>
        <v>CARRO SKY MADERA 60KG</v>
      </c>
      <c r="D18" s="80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80" t="str">
        <f>IFERROR(VLOOKUP($B19,Tarifa_all_20240711!$A$2:$G$660,2,FALSE()),"-")</f>
        <v>TIRADOR RECT.ADH CAVE LAC.NEGRO TEXTURADO: 2 UDS</v>
      </c>
      <c r="D19" s="80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80" t="str">
        <f>IFERROR(VLOOKUP($B20,Tarifa_all_20240711!$A$2:$G$660,2,FALSE()),"-")</f>
        <v>GUIADOR FIJO PA LAC.NEGRO TEXTURADO</v>
      </c>
      <c r="D20" s="80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76" t="s">
        <v>139</v>
      </c>
      <c r="C21" s="81" t="str">
        <f>IFERROR(VLOOKUP($B21,Tarifa_all_20240711!$A$2:$G$660,2,FALSE()),"-")</f>
        <v>PERFIL EMBELL.HORIZ. ADH LAC.NEGRO TEXTURADO</v>
      </c>
      <c r="D21" s="81"/>
      <c r="E21" s="77">
        <v>10</v>
      </c>
      <c r="F21" s="78">
        <f>IFERROR(VLOOKUP($B21,Tarifa_all_20240711!$A$2:$G$660,5,FALSE()),"-")</f>
        <v>21.794999999999998</v>
      </c>
      <c r="G21" s="78">
        <f t="shared" si="0"/>
        <v>217.95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1208.7149999999999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23" zoomScaleNormal="85" zoomScaleSheetLayoutView="100" workbookViewId="0">
      <selection activeCell="B40" sqref="B4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Carp. Met. Bernabeu</v>
      </c>
      <c r="C9" s="90"/>
      <c r="D9" s="90"/>
      <c r="F9" s="3" t="s">
        <v>81</v>
      </c>
      <c r="G9" s="44">
        <f ca="1">TODAY()</f>
        <v>45705</v>
      </c>
    </row>
    <row r="10" spans="1:7" x14ac:dyDescent="0.25">
      <c r="A10" s="3" t="s">
        <v>82</v>
      </c>
      <c r="B10" s="11" t="str">
        <f>'DESPIECE (MATANALYSIS)'!C9</f>
        <v>Despacho</v>
      </c>
      <c r="C10" s="45"/>
      <c r="D10" s="45"/>
      <c r="E10" s="46"/>
      <c r="F10" s="47" t="s">
        <v>83</v>
      </c>
      <c r="G10" s="7">
        <f>'DESPIECE (MATANALYSIS)'!C7</f>
        <v>20250036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1453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1454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1449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1450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1451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1208.7149999999999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2025-02-17T15:31:41Z</dcterms:modified>
  <dc:language>es-ES</dc:language>
</cp:coreProperties>
</file>