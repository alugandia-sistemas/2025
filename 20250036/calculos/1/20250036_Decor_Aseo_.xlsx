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976BB5D0-B6F6-41E2-8893-3895EB83B298}" xr6:coauthVersionLast="47" xr6:coauthVersionMax="47" xr10:uidLastSave="{00000000-0000-0000-0000-000000000000}"/>
  <bookViews>
    <workbookView xWindow="4755" yWindow="840" windowWidth="22965" windowHeight="1429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<sst xmlns="http://schemas.openxmlformats.org/spreadsheetml/2006/main" count="5393" uniqueCount="1448">
  <si>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</si>
  <si>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</si>
  <si>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</si>
  <si>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</si>
  <si>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</si>
  <si>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</si>
  <si>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</si>
  <si>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</si>
  <si>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</si>
  <si>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</si>
  <si>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</si>
  <si>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</si>
  <si>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</si>
  <si>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</si>
  <si>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</si>
  <si>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</si>
  <si>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</si>
  <si>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</si>
  <si>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</si>
  <si>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</si>
  <si>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</si>
  <si>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</si>
  <si>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</si>
  <si>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</si>
  <si>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</si>
  <si>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</si>
  <si>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</si>
  <si>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</si>
  <si>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</si>
  <si>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</si>
  <si>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</si>
  <si>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</si>
  <si>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</si>
  <si>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</si>
  <si>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</si>
  <si>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</si>
  <si>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</si>
  <si>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</si>
  <si>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</si>
  <si>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</si>
  <si>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</si>
  <si>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</si>
  <si>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</si>
  <si>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</si>
  <si>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</si>
  <si>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</si>
  <si>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</si>
  <si>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</si>
  <si>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</si>
  <si>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</si>
  <si>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</si>
  <si>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</si>
  <si>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</si>
  <si>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</si>
  <si>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</si>
  <si>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</si>
  <si>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</si>
  <si>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</si>
  <si>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</si>
  <si>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</si>
  <si>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</si>
  <si>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</si>
  <si>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</si>
  <si>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</si>
  <si>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</si>
  <si>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</si>
  <si>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</si>
  <si>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</si>
  <si>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</si>
  <si>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</si>
  <si>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</si>
  <si>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</si>
  <si>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</si>
  <si>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</si>
  <si>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</si>
  <si>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</si>
  <si>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</si>
  <si>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</si>
  <si>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</si>
  <si>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</si>
  <si>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</si>
  <si>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</si>
  <si>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</si>
  <si>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</si>
  <si>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</si>
  <si>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</si>
  <si>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</si>
  <si>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</si>
  <si>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</si>
  <si>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</si>
  <si>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</si>
  <si>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</si>
  <si>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</si>
  <si>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</si>
  <si>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</si>
  <si>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</si>
  <si>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</si>
  <si>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</si>
  <si>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</si>
  <si>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</si>
  <si>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</si>
  <si>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</si>
  <si>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</si>
  <si>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</si>
  <si>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</si>
  <si>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</si>
  <si>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</si>
  <si>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</si>
  <si>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</si>
  <si>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</si>
  <si>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</si>
  <si>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</si>
  <si>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</si>
  <si>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</si>
  <si>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</si>
  <si>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</si>
  <si>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</si>
  <si>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</si>
  <si>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</si>
  <si>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</si>
  <si>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</si>
  <si>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</si>
  <si>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</si>
  <si>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</si>
  <si>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</si>
  <si>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</si>
  <si>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</si>
  <si>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</si>
  <si>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</si>
  <si>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</si>
  <si>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</si>
  <si>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</si>
  <si>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</si>
  <si>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</si>
  <si>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</si>
  <si>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</si>
  <si>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</si>
  <si>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</si>
  <si>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</si>
  <si>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</si>
  <si>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</si>
  <si>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</si>
  <si>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</si>
  <si>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</si>
  <si>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</si>
  <si>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</si>
  <si>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</si>
  <si>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</si>
  <si>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</si>
  <si>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</si>
  <si>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</si>
  <si>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</si>
  <si>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</si>
  <si>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</si>
  <si>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</si>
  <si>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</si>
  <si>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</si>
  <si>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</si>
  <si>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</si>
  <si>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</si>
  <si>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</si>
  <si>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</si>
  <si>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</si>
  <si>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</si>
  <si>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</si>
  <si>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</si>
  <si>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</si>
  <si>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</si>
  <si>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</si>
  <si>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</si>
  <si>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</si>
  <si>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</si>
  <si>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</si>
  <si>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</si>
  <si>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</si>
  <si>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</si>
  <si>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</si>
  <si>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</si>
  <si>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</si>
  <si>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</si>
  <si>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</si>
  <si>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</si>
  <si>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</si>
  <si>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</si>
  <si>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</si>
  <si>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</si>
  <si>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</si>
  <si>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</si>
  <si>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</si>
  <si>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</si>
  <si>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</si>
  <si>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</si>
  <si>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</si>
  <si>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</si>
  <si>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</si>
  <si>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</si>
  <si>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</si>
  <si>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</si>
  <si>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</si>
  <si>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</si>
  <si>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</si>
  <si>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</si>
  <si>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</si>
  <si>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</si>
  <si>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</si>
  <si>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</si>
  <si>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</si>
  <si>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</si>
  <si>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</si>
  <si>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</si>
  <si>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</si>
  <si>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</si>
  <si>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</si>
  <si>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</si>
  <si>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</si>
  <si>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</si>
  <si>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</si>
  <si>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</si>
  <si>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</si>
  <si>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</si>
  <si>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</si>
  <si>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</si>
  <si>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</si>
  <si>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</si>
  <si>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</si>
  <si>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</si>
  <si>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</si>
  <si>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</si>
  <si>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</si>
  <si>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</si>
  <si>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</si>
  <si>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</si>
  <si>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</si>
  <si>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</si>
  <si>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</si>
  <si>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</si>
  <si>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</si>
  <si>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</si>
  <si>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</si>
  <si>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</si>
  <si>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</si>
  <si>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</si>
  <si>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</si>
  <si>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</si>
  <si>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</si>
  <si>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</si>
  <si>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</si>
  <si>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</si>
  <si>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</si>
  <si>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</si>
  <si>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</si>
  <si>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</si>
  <si>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</si>
  <si>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</si>
  <si>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</si>
  <si>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</si>
  <si>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</si>
  <si>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</si>
  <si>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</si>
  <si>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</si>
  <si>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</si>
  <si>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</si>
  <si>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</si>
  <si>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</si>
  <si>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</si>
  <si>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</si>
  <si>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</si>
  <si>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</si>
  <si>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</si>
  <si>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</si>
  <si>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</si>
  <si>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</si>
  <si>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</si>
  <si>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</si>
  <si>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</si>
  <si>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</si>
  <si>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</si>
  <si>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</si>
  <si>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</si>
  <si>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</si>
  <si>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</si>
  <si>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</si>
  <si>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</si>
  <si>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</si>
  <si>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</si>
  <si>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</si>
  <si>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</si>
  <si>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</si>
  <si>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</si>
  <si>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</si>
  <si>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</si>
  <si>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</si>
  <si>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</si>
  <si>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</si>
  <si>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</si>
  <si>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</si>
  <si>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</si>
  <si>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</si>
  <si>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</si>
  <si>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</si>
  <si>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</si>
  <si>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</si>
  <si>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</si>
  <si>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</si>
  <si>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</si>
  <si>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</si>
  <si>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</si>
  <si>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</si>
  <si>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</si>
  <si>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</si>
  <si>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</si>
  <si>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</si>
  <si>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</si>
  <si>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</si>
  <si>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</si>
  <si>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</si>
  <si>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</si>
  <si>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</si>
  <si>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</si>
  <si>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</si>
  <si>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</si>
  <si>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</si>
  <si>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</si>
  <si>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</si>
  <si>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</si>
  <si>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</si>
  <si>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</si>
  <si>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</si>
  <si>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</si>
  <si>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</si>
  <si>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</si>
  <si>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</si>
  <si>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</si>
  <si>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</si>
  <si>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</si>
  <si>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</si>
  <si>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</si>
  <si>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</si>
  <si>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</si>
  <si>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</si>
  <si>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</si>
  <si>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</si>
  <si>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</si>
  <si>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</si>
  <si>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</si>
  <si>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</si>
  <si>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</si>
  <si>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</si>
  <si>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</si>
  <si>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</si>
  <si>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</si>
  <si>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</si>
  <si>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</si>
  <si>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</si>
  <si>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</si>
  <si>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</si>
  <si>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</si>
  <si>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</si>
  <si>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</si>
  <si>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</si>
  <si>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</si>
  <si>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</si>
  <si>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</si>
  <si>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</si>
  <si>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</si>
  <si>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</si>
  <si>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</si>
  <si>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</si>
  <si>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</si>
  <si>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</si>
  <si>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</si>
  <si>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</si>
  <si>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</si>
  <si>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</si>
  <si>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</si>
  <si>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</si>
  <si>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</si>
  <si>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</si>
  <si>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</si>
  <si>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</si>
  <si>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</si>
  <si>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</si>
  <si>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</si>
  <si>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</si>
  <si>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</si>
  <si>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</si>
  <si>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</si>
  <si>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</si>
  <si>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</si>
  <si>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</si>
  <si>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</si>
  <si>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</si>
  <si>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</si>
  <si>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</si>
  <si>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</si>
  <si>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</si>
  <si>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</si>
  <si>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</si>
  <si>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</si>
  <si>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</si>
  <si>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</si>
  <si>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</si>
  <si>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</si>
  <si>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</si>
  <si>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</si>
  <si>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</si>
  <si>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</si>
  <si>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</si>
  <si>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</si>
  <si>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</si>
  <si>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</si>
  <si>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</si>
  <si>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</si>
  <si>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</si>
  <si>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</si>
  <si>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</si>
  <si>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</si>
  <si>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</si>
  <si>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</si>
  <si>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</si>
  <si>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</si>
  <si>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</si>
  <si>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</si>
  <si>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</si>
  <si>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</si>
  <si>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</si>
  <si>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</si>
  <si>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</si>
  <si>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</si>
  <si>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</si>
  <si>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</si>
  <si>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</si>
  <si>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</si>
  <si>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</si>
  <si>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</si>
  <si>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</si>
  <si>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</si>
  <si>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</si>
  <si>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</si>
  <si>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</si>
  <si>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</si>
  <si>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</si>
  <si>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</si>
  <si>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</si>
  <si>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</si>
  <si>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</si>
  <si>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</si>
  <si>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</si>
  <si>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</si>
  <si>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</si>
  <si>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</si>
  <si>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</si>
  <si>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</si>
  <si>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</si>
  <si>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</si>
  <si>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</si>
  <si>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</si>
  <si>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</si>
  <si>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</si>
  <si>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</si>
  <si>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</si>
  <si>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</si>
  <si>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</si>
  <si>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</si>
  <si>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</si>
  <si>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</si>
  <si>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</si>
  <si>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</si>
  <si>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</si>
  <si>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</si>
  <si>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</si>
  <si>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</si>
  <si>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</si>
  <si>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</si>
  <si>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</si>
  <si>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</si>
  <si>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</si>
  <si>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</si>
  <si>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</si>
  <si>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</si>
  <si>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</si>
  <si>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</si>
  <si>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</si>
  <si>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</si>
  <si>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</si>
  <si>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</si>
  <si>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</si>
  <si>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</si>
  <si>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</si>
  <si>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</si>
  <si>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</si>
  <si>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</si>
  <si>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</si>
  <si>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</si>
  <si>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</si>
  <si>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</si>
  <si>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</si>
  <si>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</si>
  <si>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</si>
  <si>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</si>
  <si>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</si>
  <si>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</si>
  <si>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</si>
  <si>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</si>
  <si>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</si>
  <si>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</si>
  <si>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</si>
  <si>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</si>
  <si>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</si>
  <si>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</si>
  <si>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</si>
  <si>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</si>
  <si>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</si>
  <si>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</si>
  <si>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</si>
  <si>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</si>
  <si>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</si>
  <si>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</si>
  <si>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</si>
  <si>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</si>
  <si>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</si>
  <si>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</si>
  <si>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</si>
  <si>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</si>
  <si>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</si>
  <si>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</si>
  <si>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</si>
  <si>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</si>
  <si>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</si>
  <si>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</si>
  <si>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</si>
  <si>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</si>
  <si>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</si>
  <si>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</si>
  <si>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</si>
  <si>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</si>
  <si>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</si>
  <si>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</si>
  <si>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</si>
  <si>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</si>
  <si>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</si>
  <si>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</si>
  <si>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</si>
  <si>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</si>
  <si>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</si>
  <si>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</si>
  <si>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</si>
  <si>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</si>
  <si>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</si>
  <si>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</si>
  <si>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</si>
  <si>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</si>
  <si>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</si>
  <si>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</si>
  <si>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</si>
  <si>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</si>
  <si>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</si>
  <si>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</si>
  <si>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</si>
  <si>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</si>
  <si>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</si>
  <si>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</si>
  <si>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</si>
  <si>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</si>
  <si>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</si>
  <si>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</si>
  <si>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</si>
  <si>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</si>
  <si>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</si>
  <si>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</si>
  <si>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</si>
  <si>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</si>
  <si>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</si>
  <si>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</si>
  <si>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</si>
  <si>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</si>
  <si>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</si>
  <si>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</si>
  <si>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</si>
  <si>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</si>
  <si>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</si>
  <si>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</si>
  <si>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</si>
  <si>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</si>
  <si>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</si>
  <si>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</si>
  <si>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</si>
  <si>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</si>
  <si>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</si>
  <si>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</si>
  <si>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</si>
  <si>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</si>
  <si>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</si>
  <si>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</si>
  <si>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</si>
  <si>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</si>
  <si>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</si>
  <si>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</si>
  <si>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</si>
  <si>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</si>
  <si>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</si>
  <si>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</si>
  <si>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</si>
  <si>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</si>
  <si>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</si>
  <si>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</si>
  <si>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</si>
  <si>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</si>
  <si>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</si>
  <si>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</si>
  <si>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</si>
  <si>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</si>
  <si>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</si>
  <si>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</si>
  <si>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</si>
  <si>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</si>
  <si>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</si>
  <si>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</si>
  <si>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</si>
  <si>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</si>
  <si>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</si>
  <si>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</si>
  <si>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</si>
  <si>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</si>
  <si>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</si>
  <si>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</si>
  <si>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</si>
  <si>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</si>
  <si>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</si>
  <si>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</si>
  <si>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</si>
  <si>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</si>
  <si>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</si>
  <si>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</si>
  <si>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</si>
  <si>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</si>
  <si>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</si>
  <si>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</si>
  <si>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</si>
  <si>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</si>
  <si>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</si>
  <si>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</si>
  <si>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</si>
  <si>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</si>
  <si>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</si>
  <si>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</si>
  <si>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</si>
  <si>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</si>
  <si>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</si>
  <si>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</si>
  <si>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</si>
  <si>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</si>
  <si>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</si>
  <si>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</si>
  <si>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</si>
  <si>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</si>
  <si>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</si>
  <si>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</si>
  <si>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</si>
  <si>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</si>
  <si>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</si>
  <si>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</si>
  <si>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</si>
  <si>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</si>
  <si>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</si>
  <si>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</si>
  <si>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</si>
  <si>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</si>
  <si>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</si>
  <si>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</si>
  <si>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</si>
  <si>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</si>
  <si>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</si>
  <si>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</si>
  <si>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</si>
  <si>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</si>
  <si>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</si>
  <si>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</si>
  <si>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</si>
  <si>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</si>
  <si>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</si>
  <si>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</si>
  <si>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</si>
  <si>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</si>
  <si>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</si>
  <si>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</si>
  <si>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</si>
  <si>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</si>
  <si>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</si>
  <si>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</si>
  <si>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</si>
  <si>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</si>
  <si>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</si>
  <si>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</si>
  <si>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</si>
  <si>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</si>
  <si>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</si>
  <si>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</si>
  <si>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</si>
  <si>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</si>
  <si>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</si>
  <si>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</si>
  <si>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</si>
  <si>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</si>
  <si>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</si>
  <si>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</si>
  <si>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</si>
  <si>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</si>
  <si>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</si>
  <si>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</si>
  <si>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</si>
  <si>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</si>
  <si>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</si>
  <si>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</si>
  <si>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</si>
  <si>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</si>
  <si>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</si>
  <si>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</si>
  <si>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</si>
  <si>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</si>
  <si>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</si>
  <si>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</si>
  <si>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</si>
  <si>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</si>
  <si>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</si>
  <si>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</si>
  <si>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</si>
  <si>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</si>
  <si>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</si>
  <si>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</si>
  <si>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</si>
  <si>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</si>
  <si>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</si>
  <si>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</si>
  <si>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</si>
  <si>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</si>
  <si>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</si>
  <si>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</si>
  <si>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</si>
  <si>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</si>
  <si>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</si>
  <si>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</si>
  <si>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</si>
  <si>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</si>
  <si>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</si>
  <si>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</si>
  <si>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</si>
  <si>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</si>
  <si>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</si>
  <si>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</si>
  <si>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</si>
  <si>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</si>
  <si>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</si>
  <si>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</si>
  <si>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</si>
  <si>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</si>
  <si>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</si>
  <si>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</si>
  <si>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</si>
  <si>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</si>
  <si>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</si>
  <si>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</si>
  <si>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</si>
  <si>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</si>
  <si>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</si>
  <si>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</si>
  <si>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</si>
  <si>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</si>
  <si>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</si>
  <si>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</si>
  <si>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</si>
  <si>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</si>
  <si>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</si>
  <si>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</si>
  <si>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</si>
  <si>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</si>
  <si>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</si>
  <si>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</si>
  <si>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</si>
  <si>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</si>
  <si>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</si>
  <si>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</si>
  <si>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</si>
  <si>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</si>
  <si>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</si>
  <si>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</si>
  <si>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</si>
  <si>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</si>
  <si>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</si>
  <si>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</si>
  <si>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</si>
  <si>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</si>
  <si>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</si>
  <si>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</si>
  <si>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</si>
  <si>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</si>
  <si>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</si>
  <si>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</si>
  <si>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</si>
  <si>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</si>
  <si>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</si>
  <si>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</si>
  <si>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</si>
  <si>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</si>
  <si>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</si>
  <si>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</si>
  <si>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</si>
  <si>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</si>
  <si>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</si>
  <si>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</si>
  <si>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</si>
  <si>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</si>
  <si>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</si>
  <si>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</si>
  <si>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</si>
  <si>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</si>
  <si>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</si>
  <si>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</si>
  <si>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</si>
  <si>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</si>
  <si>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</si>
  <si>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</si>
  <si>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</si>
  <si>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</si>
  <si>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</si>
  <si>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</si>
  <si>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</si>
  <si>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</si>
  <si>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</si>
  <si>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</si>
  <si>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</si>
  <si>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</si>
  <si>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</si>
  <si>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</si>
  <si>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</si>
  <si>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</si>
  <si>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</si>
  <si>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</si>
  <si>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</si>
  <si>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</si>
  <si>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</si>
  <si>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</si>
  <si>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</si>
  <si>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</si>
  <si>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</si>
  <si>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</si>
  <si>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</si>
  <si>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</si>
  <si>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</si>
  <si>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</si>
  <si>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</si>
  <si>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</si>
  <si>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</si>
  <si>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</si>
  <si>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</si>
  <si>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</si>
  <si>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</si>
  <si>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</si>
  <si>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</si>
  <si>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</si>
  <si>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</si>
  <si>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</si>
  <si>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</si>
  <si>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</si>
  <si>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</si>
  <si>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</si>
  <si>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</si>
  <si>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</si>
  <si>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</si>
  <si>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</si>
  <si>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</si>
  <si>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</si>
  <si>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</si>
  <si>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</si>
  <si>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</si>
  <si>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</si>
  <si>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</si>
  <si>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</si>
  <si>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</si>
  <si>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</si>
  <si>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</si>
  <si>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</si>
  <si>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</si>
  <si>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</si>
  <si>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</si>
  <si>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</si>
  <si>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</si>
  <si>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</si>
  <si>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</si>
  <si>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</si>
  <si>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</si>
  <si>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</si>
  <si>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</si>
  <si>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</si>
  <si>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</si>
  <si>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</si>
  <si>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</si>
  <si>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</si>
  <si>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</si>
  <si>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</si>
  <si>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</si>
  <si>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</si>
  <si>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</si>
  <si>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</si>
  <si>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</si>
  <si>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</si>
  <si>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</si>
  <si>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</si>
  <si>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</si>
  <si>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</si>
  <si>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</si>
  <si>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</si>
  <si>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</si>
  <si>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</si>
  <si>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</si>
  <si>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</si>
  <si>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</si>
  <si>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</si>
  <si>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</si>
  <si>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</si>
  <si>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</si>
  <si>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</si>
  <si>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</si>
  <si>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</si>
  <si>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</si>
  <si>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</si>
  <si>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</si>
  <si>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</si>
  <si>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</si>
  <si>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</si>
  <si>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</si>
  <si>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</si>
  <si>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</si>
  <si>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</si>
  <si>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</si>
  <si>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</si>
  <si>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</si>
  <si>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</si>
  <si>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</si>
  <si>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</si>
  <si>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</si>
  <si>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</si>
  <si>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</si>
  <si>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</si>
  <si>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</si>
  <si>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</si>
  <si>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</si>
  <si>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</si>
  <si>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</si>
  <si>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</si>
  <si>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</si>
  <si>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</si>
  <si>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</si>
  <si>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</si>
  <si>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</si>
  <si>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</si>
  <si>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</si>
  <si>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</si>
  <si>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</si>
  <si>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</si>
  <si>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</si>
  <si>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</si>
  <si>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</si>
  <si>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</si>
  <si>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</si>
  <si>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</si>
  <si>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</si>
  <si>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</si>
  <si>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</si>
  <si>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</si>
  <si>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</si>
  <si>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</si>
  <si>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</si>
  <si>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</si>
  <si>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</si>
  <si>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</si>
  <si>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</si>
  <si>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</si>
  <si>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</si>
  <si>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</si>
  <si>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</si>
  <si>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</si>
  <si>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</si>
  <si>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</si>
  <si>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</si>
  <si>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</si>
  <si>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</si>
  <si>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</si>
  <si>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</si>
  <si>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</si>
  <si>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</si>
  <si>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</si>
  <si>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</si>
  <si>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</si>
  <si>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</si>
  <si>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</si>
  <si>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</si>
  <si>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</si>
  <si>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</si>
  <si>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</si>
  <si>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</si>
  <si>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</si>
  <si>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</si>
  <si>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</si>
  <si>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</si>
  <si>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</si>
  <si>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</si>
  <si>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</si>
  <si>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</si>
  <si>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</si>
  <si>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</si>
  <si>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</si>
  <si>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</si>
  <si>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</si>
  <si>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</si>
  <si>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</si>
  <si>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</si>
  <si>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</si>
  <si>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</si>
  <si>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</si>
  <si>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</si>
  <si>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</si>
  <si>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</si>
  <si>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</si>
  <si>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</si>
  <si>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</si>
  <si>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</si>
  <si>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</si>
  <si>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</si>
  <si>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</si>
  <si>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</si>
  <si>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</si>
  <si>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</si>
  <si>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</si>
  <si>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</si>
  <si>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</si>
  <si>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</si>
  <si>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</si>
  <si>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</si>
  <si>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</si>
  <si>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</si>
  <si>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</si>
  <si>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</si>
  <si>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</si>
  <si>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</si>
  <si>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</si>
  <si>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</si>
  <si>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</si>
  <si>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</si>
  <si>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</si>
  <si>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</si>
  <si>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</si>
  <si>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</si>
  <si>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</si>
  <si>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</si>
  <si>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</si>
  <si>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</si>
  <si>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</si>
  <si>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</si>
  <si>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</si>
  <si>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</si>
  <si>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</si>
  <si>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</si>
  <si>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</si>
  <si>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</si>
  <si>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</si>
  <si>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</si>
  <si>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</si>
  <si>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</si>
  <si>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</si>
  <si>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</si>
  <si>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</si>
  <si>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</si>
  <si>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</si>
  <si>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</si>
  <si>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</si>
  <si>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</si>
  <si>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</si>
  <si>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</si>
  <si>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</si>
  <si>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</si>
  <si>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</si>
  <si>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</si>
  <si>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</si>
  <si>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</si>
  <si>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</si>
  <si>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</si>
  <si>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</si>
  <si>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</si>
  <si>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</si>
  <si>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</si>
  <si>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</si>
  <si>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</si>
  <si>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</si>
  <si>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</si>
  <si>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</si>
  <si>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</si>
  <si>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</si>
  <si>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</si>
  <si>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</si>
  <si>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</si>
  <si>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</si>
  <si>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</si>
  <si>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</si>
  <si>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</si>
  <si>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</si>
  <si>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</si>
  <si>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</si>
  <si>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</si>
  <si>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</si>
  <si>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</si>
  <si>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</si>
  <si>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</si>
  <si>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</si>
  <si>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</si>
  <si>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</si>
  <si>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</si>
  <si>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</si>
  <si>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</si>
  <si>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</si>
  <si>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</si>
  <si>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</si>
  <si>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</si>
  <si>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</si>
  <si>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</si>
  <si>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</si>
  <si>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</si>
  <si>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</si>
  <si>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</si>
  <si>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</si>
  <si>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</si>
  <si>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</si>
  <si>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</si>
  <si>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</si>
  <si>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</si>
  <si>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</si>
  <si>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</si>
  <si>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</si>
  <si>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</si>
  <si>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</si>
  <si>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</si>
  <si>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</si>
  <si>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</si>
  <si>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</si>
  <si>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</si>
  <si>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</si>
  <si>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</si>
  <si>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</si>
  <si>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</si>
  <si>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</si>
  <si>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</si>
  <si>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</si>
  <si>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</si>
  <si>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</si>
  <si>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</si>
  <si>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</si>
  <si>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</si>
  <si>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</si>
  <si>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</si>
  <si>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</si>
  <si>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</si>
  <si>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</si>
  <si>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</si>
  <si>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</si>
  <si>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</si>
  <si>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</si>
  <si>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</si>
  <si>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</si>
  <si>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</si>
  <si>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</si>
  <si>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</si>
  <si>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</si>
  <si>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</si>
  <si>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</si>
  <si>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</si>
  <si>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</si>
  <si>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</si>
  <si>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</si>
  <si>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</si>
  <si>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</si>
  <si>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</si>
  <si>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</si>
  <si>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</si>
  <si>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</si>
  <si>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</si>
  <si>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</si>
  <si>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</si>
  <si>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</si>
  <si>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</si>
  <si>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</si>
  <si>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</si>
  <si>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</si>
  <si>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</si>
  <si>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</si>
  <si>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</si>
  <si>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</si>
  <si>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</si>
  <si>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</si>
  <si>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</si>
  <si>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</si>
  <si>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</si>
  <si>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</si>
  <si>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</si>
  <si>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</si>
  <si>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</si>
  <si>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</si>
  <si>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</si>
  <si>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</si>
  <si>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</si>
  <si>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</si>
  <si>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</si>
  <si>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</si>
  <si>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</si>
  <si>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</si>
  <si>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</si>
  <si>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</si>
  <si>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</si>
  <si>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</si>
  <si>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</si>
  <si>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</si>
  <si>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</si>
  <si>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</si>
  <si>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</si>
  <si>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</si>
  <si>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</si>
  <si>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</si>
  <si>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</si>
  <si>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</si>
  <si>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</si>
  <si>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</si>
  <si>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</si>
  <si>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</si>
  <si>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</si>
  <si>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</si>
  <si>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</si>
  <si>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</si>
  <si>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</si>
  <si>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</si>
  <si>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</si>
  <si>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</si>
  <si>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</si>
  <si>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</si>
  <si>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</si>
  <si>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</si>
  <si>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</si>
  <si>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</si>
  <si>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</si>
  <si>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</si>
  <si>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</si>
  <si>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</si>
  <si>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</si>
  <si>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</si>
  <si>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</si>
  <si>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</si>
  <si>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</si>
  <si>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</si>
  <si>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</si>
  <si>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</si>
  <si>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</si>
  <si>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</si>
  <si>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</si>
  <si>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</si>
  <si>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</si>
  <si>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</si>
  <si>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</si>
  <si>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</si>
  <si>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</si>
  <si>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</si>
  <si>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</si>
  <si>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</si>
  <si>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</si>
  <si>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</si>
  <si>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</si>
  <si>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</si>
  <si>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</si>
  <si>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</si>
  <si>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</si>
  <si>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</si>
  <si>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</si>
  <si>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</si>
  <si>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</si>
  <si>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</si>
  <si>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</si>
  <si>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</si>
  <si>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</si>
  <si>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</si>
  <si>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</si>
  <si>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</si>
  <si>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</si>
  <si>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</si>
  <si>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</si>
  <si>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</si>
  <si>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</si>
  <si>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</si>
  <si>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</si>
  <si>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</si>
  <si>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</si>
  <si>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</si>
  <si>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</si>
  <si>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</si>
  <si>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</si>
  <si>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</si>
  <si>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</si>
  <si>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</si>
  <si>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</si>
  <si>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</si>
  <si>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</si>
  <si>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</si>
  <si>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</si>
  <si>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</si>
  <si>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</si>
  <si>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</si>
  <si>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</si>
  <si>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</si>
  <si>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</si>
  <si>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</si>
  <si>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</si>
  <si>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</si>
  <si>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</si>
  <si>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</si>
  <si>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</si>
  <si>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</si>
  <si>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</si>
  <si>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</si>
  <si>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</si>
  <si>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</si>
  <si>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</si>
  <si>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</si>
  <si>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</si>
  <si>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</si>
  <si>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</si>
  <si>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</si>
  <si>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</si>
  <si>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</si>
  <si>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</si>
  <si>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</si>
  <si>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</si>
  <si>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</si>
  <si>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</si>
  <si>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</si>
  <si>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</si>
  <si>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</si>
  <si>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</si>
  <si>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</si>
  <si>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</si>
  <si>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</si>
  <si>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</si>
  <si>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</si>
  <si>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</si>
  <si>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</si>
  <si>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</si>
  <si>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</si>
  <si>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</si>
  <si>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</si>
  <si>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</si>
  <si>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</si>
  <si>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</si>
  <si>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</si>
  <si>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</si>
  <si>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</si>
  <si>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</si>
  <si>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</si>
  <si>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</si>
  <si>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</si>
  <si>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</si>
  <si>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</si>
  <si>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</si>
  <si>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</si>
  <si>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</si>
  <si>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</si>
  <si>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</si>
  <si>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</si>
  <si>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</si>
  <si>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</si>
  <si>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</si>
  <si>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</si>
  <si>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</si>
  <si>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</si>
  <si>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</si>
  <si>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</si>
  <si>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</si>
  <si>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</si>
  <si>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</si>
  <si>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</si>
  <si>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</si>
  <si>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</si>
  <si>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</si>
  <si>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</si>
  <si>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</si>
  <si>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</si>
  <si>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</si>
  <si>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</si>
  <si>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</si>
  <si>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</si>
  <si>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</si>
  <si>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</si>
  <si>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</si>
  <si>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</si>
  <si>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</si>
  <si>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</si>
  <si>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</si>
  <si>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</si>
  <si>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</si>
  <si>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</si>
  <si>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</si>
  <si>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</si>
  <si>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</si>
  <si>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</si>
  <si>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</si>
  <si>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</si>
  <si>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</si>
  <si>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</si>
  <si>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</si>
  <si>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</si>
  <si>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</si>
  <si>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</si>
  <si>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</si>
  <si>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</si>
  <si>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</si>
  <si>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</si>
  <si>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</si>
  <si>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</si>
  <si>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</si>
  <si>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</si>
  <si>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</si>
  <si>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</si>
  <si>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</si>
  <si>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</si>
  <si>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</si>
  <si>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</si>
  <si>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</si>
  <si>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</si>
  <si>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</si>
  <si>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</si>
  <si>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</si>
  <si>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</si>
  <si>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</si>
  <si>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</si>
  <si>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</si>
  <si>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</si>
  <si>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</si>
  <si>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Carp. Met. Bernabeu</t>
  </si>
  <si>
    <t>Aseo</t>
  </si>
  <si>
    <t>800x2130 mm</t>
  </si>
  <si>
    <t>Magnético</t>
  </si>
  <si>
    <t>Magnética</t>
  </si>
  <si>
    <t>35056 - L 30x180 mm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</si>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</sst>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521805</xdr:colOff>
      <xdr:row>13</xdr:row>
      <xdr:rowOff>165653</xdr:rowOff>
    </xdr:from>
    <xdr:to>
      <xdr:col>4</xdr:col>
      <xdr:colOff>52438</xdr:colOff>
      <xdr:row>25</xdr:row>
      <xdr:rowOff>39653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80B5D-DA75-4A31-A992-47E253C12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5196" y="2799523"/>
          <a:ext cx="1079481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85" zoomScaleNormal="95" zoomScaleSheetLayoutView="85" workbookViewId="0">
      <selection activeCell="F18" sqref="F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20250036</v>
      </c>
      <c r="G7" s="8">
        <f ca="1">TODAY()</f>
        <v>45705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97</v>
      </c>
      <c r="C13" s="78" t="str">
        <f>IFERROR(VLOOKUP($B13,Tarifa_all_20240711!$A$2:$G$660,2,FALSE()),"-")</f>
        <v>MARCO PA MAGNET LAC.NEGRO TEXTURADO</v>
      </c>
      <c r="D13" s="78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1433</v>
      </c>
      <c r="B14" s="16" t="s">
        <v>111</v>
      </c>
      <c r="C14" s="78" t="str">
        <f>IFERROR(VLOOKUP($B14,Tarifa_all_20240711!$A$2:$G$660,2,FALSE()),"-")</f>
        <v>KIT PA PIVOTANTE MAGNET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501</v>
      </c>
      <c r="C16" s="78" t="str">
        <f>IFERROR(VLOOKUP($B16,Tarifa_all_20240711!$A$2:$G$660,2,FALSE()),"-")</f>
        <v>TIRADOR L 30X180 LAC.NEGRO TEXTURADO: 2 UDS</v>
      </c>
      <c r="D16" s="78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127</v>
      </c>
      <c r="C18" s="78" t="str">
        <f>IFERROR(VLOOKUP($B18,Tarifa_all_20240711!$A$2:$G$660,2,FALSE()),"-")</f>
        <v>PERFIL EMBELL.HORIZ. ADH LAC.NEGRO TEXTURADO</v>
      </c>
      <c r="D18" s="78"/>
      <c r="E18" s="17">
        <v>6</v>
      </c>
      <c r="F18" s="18">
        <f>IFERROR(VLOOKUP($B18,Tarifa_all_20240711!$A$2:$G$660,5,FALSE()),"-")</f>
        <v>21.794999999999998</v>
      </c>
      <c r="G18" s="18">
        <f t="shared" si="0"/>
        <v>130.76999999999998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613.97249999999997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topLeftCell="A37" zoomScale="115" zoomScaleNormal="85" zoomScaleSheetLayoutView="115" workbookViewId="0">
      <selection activeCell="F27" sqref="F2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Carp. Met. Bernabeu</v>
      </c>
      <c r="C9" s="87"/>
      <c r="D9" s="87"/>
      <c r="F9" s="3" t="s">
        <v>73</v>
      </c>
      <c r="G9" s="44">
        <f ca="1">TODAY()</f>
        <v>45705</v>
      </c>
    </row>
    <row r="10" spans="1:7" x14ac:dyDescent="0.25">
      <c r="A10" s="3" t="s">
        <v>74</v>
      </c>
      <c r="B10" s="11" t="str">
        <f>'DESPIECE (MATANALYSIS)'!C9</f>
        <v>Aseo</v>
      </c>
      <c r="C10" s="45"/>
      <c r="D10" s="45"/>
      <c r="E10" s="46"/>
      <c r="F10" s="47" t="s">
        <v>75</v>
      </c>
      <c r="G10" s="7">
        <f>'DESPIECE (MATANALYSIS)'!C7</f>
        <v>20250036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1444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1445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1446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1447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613.97249999999997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2025-02-17T15:45:33Z</dcterms:modified>
  <dc:language>es-ES</dc:language>
</cp:coreProperties>
</file>